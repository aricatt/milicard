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4"/>
  </bookViews>
  <sheets>
    <sheet name="SKU" sheetId="1" r:id="rId1"/>
    <sheet name="Nhập入库" sheetId="2" r:id="rId2"/>
    <sheet name="Xuất出库" sheetId="3" r:id="rId3"/>
    <sheet name="Hoàn回库" sheetId="4" r:id="rId4"/>
    <sheet name="Điều hàng调货" sheetId="8" r:id="rId5"/>
    <sheet name="Host主播库存" sheetId="6" r:id="rId6"/>
  </sheets>
  <definedNames>
    <definedName name="_xlnm._FilterDatabase" localSheetId="3" hidden="1">Hoàn回库!$A$1:$J$1011</definedName>
    <definedName name="_xlnm._FilterDatabase" localSheetId="5" hidden="1">Host主播库存!$A$1:$L$577</definedName>
    <definedName name="_xlnm._FilterDatabase" localSheetId="1" hidden="1">Nhập入库!$A$2:$N$115</definedName>
    <definedName name="_xlnm._FilterDatabase" localSheetId="4" hidden="1">'Điều hàng调货'!$H$1:$H$500</definedName>
    <definedName name="_xlnm._FilterDatabase" localSheetId="2" hidden="1">Xuất出库!$A$1:$J$888</definedName>
    <definedName name="Kind">OFFSET(SKU!$M$2,0,0,COUNTA(SKU!$M:$M)-1,1)</definedName>
    <definedName name="英文_越文名_Tên_SP">OFFSET(SKU!$A$2,0,0,COUNTA(SKU!$A:$A)-1,1)</definedName>
    <definedName name="运营">OFFSET(SKU!$L$2,0,0,COUNTA(SKU!$L:$L)-1,1)</definedName>
    <definedName name="主播">OFFSET(SKU!$K$2,0,0,COUNTA(SKU!$K:$K)-1,1)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<sst xmlns="http://schemas.openxmlformats.org/spreadsheetml/2006/main" count="9212" uniqueCount="557">
  <si>
    <r>
      <rPr>
        <b/>
        <sz val="12"/>
        <color theme="0"/>
        <rFont val="宋体"/>
        <charset val="134"/>
      </rPr>
      <t>英文</t>
    </r>
    <r>
      <rPr>
        <b/>
        <sz val="12"/>
        <color theme="0"/>
        <rFont val="Times New Roman"/>
        <charset val="134"/>
      </rPr>
      <t>/</t>
    </r>
    <r>
      <rPr>
        <b/>
        <sz val="12"/>
        <color theme="0"/>
        <rFont val="宋体"/>
        <charset val="134"/>
      </rPr>
      <t>越文名</t>
    </r>
    <r>
      <rPr>
        <b/>
        <sz val="12"/>
        <color theme="0"/>
        <rFont val="Times New Roman"/>
        <charset val="134"/>
      </rPr>
      <t>/Tên SP</t>
    </r>
  </si>
  <si>
    <r>
      <rPr>
        <b/>
        <sz val="12"/>
        <color theme="0"/>
        <rFont val="宋体"/>
        <charset val="134"/>
      </rPr>
      <t>中文名</t>
    </r>
    <r>
      <rPr>
        <b/>
        <sz val="12"/>
        <color theme="0"/>
        <rFont val="Times New Roman"/>
        <charset val="134"/>
      </rPr>
      <t>/Tên Tiếng Trung</t>
    </r>
  </si>
  <si>
    <r>
      <rPr>
        <b/>
        <sz val="12"/>
        <color theme="0"/>
        <rFont val="Times New Roman"/>
        <charset val="134"/>
      </rPr>
      <t>sku</t>
    </r>
    <r>
      <rPr>
        <b/>
        <sz val="12"/>
        <color theme="0"/>
        <rFont val="宋体"/>
        <charset val="134"/>
      </rPr>
      <t>序列</t>
    </r>
    <r>
      <rPr>
        <b/>
        <sz val="12"/>
        <color theme="0"/>
        <rFont val="Times New Roman"/>
        <charset val="134"/>
      </rPr>
      <t>/Code SKU</t>
    </r>
  </si>
  <si>
    <r>
      <rPr>
        <b/>
        <sz val="12"/>
        <color theme="0"/>
        <rFont val="宋体"/>
        <charset val="134"/>
      </rPr>
      <t>品类</t>
    </r>
    <r>
      <rPr>
        <b/>
        <sz val="12"/>
        <color theme="0"/>
        <rFont val="Times New Roman"/>
        <charset val="134"/>
      </rPr>
      <t>/Loại sp</t>
    </r>
  </si>
  <si>
    <r>
      <rPr>
        <b/>
        <sz val="12"/>
        <color theme="0"/>
        <rFont val="宋体"/>
        <charset val="134"/>
      </rPr>
      <t>厂商</t>
    </r>
    <r>
      <rPr>
        <b/>
        <sz val="12"/>
        <color theme="0"/>
        <rFont val="Times New Roman"/>
        <charset val="134"/>
      </rPr>
      <t>/NXB</t>
    </r>
  </si>
  <si>
    <r>
      <rPr>
        <b/>
        <sz val="12"/>
        <color theme="0"/>
        <rFont val="宋体"/>
        <charset val="134"/>
      </rPr>
      <t>盒</t>
    </r>
    <r>
      <rPr>
        <b/>
        <sz val="12"/>
        <color theme="0"/>
        <rFont val="Times New Roman"/>
        <charset val="134"/>
      </rPr>
      <t>/</t>
    </r>
    <r>
      <rPr>
        <b/>
        <sz val="12"/>
        <color theme="0"/>
        <rFont val="宋体"/>
        <charset val="134"/>
      </rPr>
      <t>箱</t>
    </r>
    <r>
      <rPr>
        <b/>
        <sz val="12"/>
        <color theme="0"/>
        <rFont val="Times New Roman"/>
        <charset val="134"/>
      </rPr>
      <t xml:space="preserve"> Hộp/Thùng</t>
    </r>
  </si>
  <si>
    <r>
      <rPr>
        <b/>
        <sz val="12"/>
        <color theme="0"/>
        <rFont val="宋体"/>
        <charset val="134"/>
      </rPr>
      <t>包</t>
    </r>
    <r>
      <rPr>
        <b/>
        <sz val="12"/>
        <color theme="0"/>
        <rFont val="Times New Roman"/>
        <charset val="134"/>
      </rPr>
      <t>/</t>
    </r>
    <r>
      <rPr>
        <b/>
        <sz val="12"/>
        <color theme="0"/>
        <rFont val="宋体"/>
        <charset val="134"/>
      </rPr>
      <t>盒</t>
    </r>
    <r>
      <rPr>
        <b/>
        <sz val="12"/>
        <color theme="0"/>
        <rFont val="Times New Roman"/>
        <charset val="134"/>
      </rPr>
      <t xml:space="preserve"> Pack/Hộp</t>
    </r>
  </si>
  <si>
    <r>
      <rPr>
        <b/>
        <sz val="12"/>
        <color theme="0"/>
        <rFont val="宋体"/>
        <charset val="134"/>
      </rPr>
      <t>图片</t>
    </r>
    <r>
      <rPr>
        <b/>
        <sz val="12"/>
        <color theme="0"/>
        <rFont val="Times New Roman"/>
        <charset val="134"/>
      </rPr>
      <t xml:space="preserve"> Ảnh</t>
    </r>
  </si>
  <si>
    <r>
      <rPr>
        <b/>
        <sz val="12"/>
        <color theme="0"/>
        <rFont val="宋体"/>
        <charset val="134"/>
      </rPr>
      <t>预售时间</t>
    </r>
  </si>
  <si>
    <r>
      <rPr>
        <b/>
        <sz val="12"/>
        <color theme="0"/>
        <rFont val="宋体"/>
        <charset val="134"/>
      </rPr>
      <t>主播</t>
    </r>
  </si>
  <si>
    <r>
      <rPr>
        <b/>
        <sz val="12"/>
        <color theme="0"/>
        <rFont val="宋体"/>
        <charset val="134"/>
      </rPr>
      <t>运营</t>
    </r>
  </si>
  <si>
    <r>
      <rPr>
        <b/>
        <sz val="12"/>
        <color theme="0"/>
        <rFont val="宋体"/>
        <charset val="134"/>
      </rPr>
      <t>品类</t>
    </r>
  </si>
  <si>
    <t>Pokemon</t>
  </si>
  <si>
    <r>
      <rPr>
        <sz val="11"/>
        <color rgb="FF000000"/>
        <rFont val="宋体"/>
        <charset val="134"/>
      </rPr>
      <t>《东株社》宝可梦水晶砖</t>
    </r>
  </si>
  <si>
    <r>
      <rPr>
        <sz val="11"/>
        <color theme="1"/>
        <rFont val="Times New Roman"/>
        <charset val="134"/>
      </rPr>
      <t>Thẻ hộp/</t>
    </r>
    <r>
      <rPr>
        <sz val="11"/>
        <color theme="1"/>
        <rFont val="宋体"/>
        <charset val="134"/>
      </rPr>
      <t>卡砖</t>
    </r>
  </si>
  <si>
    <r>
      <rPr>
        <sz val="11"/>
        <color rgb="FF000000"/>
        <rFont val="宋体"/>
        <charset val="134"/>
      </rPr>
      <t>东株社</t>
    </r>
  </si>
  <si>
    <r>
      <rPr>
        <sz val="11"/>
        <color theme="1"/>
        <rFont val="Times New Roman"/>
        <charset val="134"/>
      </rPr>
      <t xml:space="preserve">Thùy </t>
    </r>
    <r>
      <rPr>
        <sz val="11"/>
        <color theme="1"/>
        <rFont val="宋体"/>
        <charset val="134"/>
      </rPr>
      <t>阿锤</t>
    </r>
  </si>
  <si>
    <r>
      <rPr>
        <sz val="11"/>
        <color theme="1"/>
        <rFont val="Times New Roman"/>
        <charset val="134"/>
      </rPr>
      <t xml:space="preserve">Hoàng </t>
    </r>
    <r>
      <rPr>
        <sz val="11"/>
        <color theme="1"/>
        <rFont val="宋体"/>
        <charset val="134"/>
      </rPr>
      <t>范范</t>
    </r>
  </si>
  <si>
    <t>Moon Card Sailor Moon</t>
  </si>
  <si>
    <r>
      <rPr>
        <sz val="11"/>
        <color rgb="FF000000"/>
        <rFont val="Times New Roman"/>
        <charset val="134"/>
      </rPr>
      <t>MoonCard</t>
    </r>
    <r>
      <rPr>
        <sz val="11"/>
        <color rgb="FF000000"/>
        <rFont val="宋体"/>
        <charset val="134"/>
      </rPr>
      <t>月卡《美少女战士》第三弹</t>
    </r>
  </si>
  <si>
    <r>
      <rPr>
        <sz val="11"/>
        <color theme="1"/>
        <rFont val="Times New Roman"/>
        <charset val="134"/>
      </rPr>
      <t>Card/</t>
    </r>
    <r>
      <rPr>
        <sz val="11"/>
        <color theme="1"/>
        <rFont val="宋体"/>
        <charset val="134"/>
      </rPr>
      <t>卡牌</t>
    </r>
  </si>
  <si>
    <r>
      <rPr>
        <sz val="11"/>
        <color theme="1"/>
        <rFont val="Times New Roman"/>
        <charset val="134"/>
      </rPr>
      <t>MoonCard</t>
    </r>
    <r>
      <rPr>
        <sz val="11"/>
        <color theme="1"/>
        <rFont val="宋体"/>
        <charset val="134"/>
      </rPr>
      <t>月卡</t>
    </r>
  </si>
  <si>
    <r>
      <rPr>
        <sz val="11"/>
        <color theme="1"/>
        <rFont val="Times New Roman"/>
        <charset val="134"/>
      </rPr>
      <t xml:space="preserve">Bội Anh </t>
    </r>
    <r>
      <rPr>
        <sz val="11"/>
        <color theme="1"/>
        <rFont val="宋体"/>
        <charset val="134"/>
      </rPr>
      <t>倍英</t>
    </r>
  </si>
  <si>
    <r>
      <rPr>
        <sz val="11"/>
        <color theme="1"/>
        <rFont val="Times New Roman"/>
        <charset val="134"/>
      </rPr>
      <t xml:space="preserve">Huệ </t>
    </r>
    <r>
      <rPr>
        <sz val="11"/>
        <color theme="1"/>
        <rFont val="宋体"/>
        <charset val="134"/>
      </rPr>
      <t>氏惠</t>
    </r>
  </si>
  <si>
    <t>DUO Kyn</t>
  </si>
  <si>
    <r>
      <rPr>
        <sz val="10"/>
        <color rgb="FF000000"/>
        <rFont val="Times New Roman"/>
        <charset val="134"/>
      </rPr>
      <t>DUO</t>
    </r>
    <r>
      <rPr>
        <sz val="10"/>
        <color rgb="FF000000"/>
        <rFont val="微软雅黑"/>
        <charset val="134"/>
      </rPr>
      <t>米全新出品鬼灭之刃</t>
    </r>
    <r>
      <rPr>
        <sz val="10"/>
        <color rgb="FF000000"/>
        <rFont val="Times New Roman"/>
        <charset val="134"/>
      </rPr>
      <t>-</t>
    </r>
    <r>
      <rPr>
        <sz val="10"/>
        <color rgb="FF000000"/>
        <rFont val="微软雅黑"/>
        <charset val="134"/>
      </rPr>
      <t>柱合会议篇第二弹</t>
    </r>
  </si>
  <si>
    <r>
      <rPr>
        <sz val="10"/>
        <color rgb="FF000000"/>
        <rFont val="Times New Roman"/>
        <charset val="134"/>
      </rPr>
      <t>DUO</t>
    </r>
    <r>
      <rPr>
        <sz val="10"/>
        <color rgb="FF000000"/>
        <rFont val="微软雅黑"/>
        <charset val="134"/>
      </rPr>
      <t>米</t>
    </r>
  </si>
  <si>
    <r>
      <rPr>
        <sz val="11"/>
        <color theme="1"/>
        <rFont val="Times New Roman"/>
        <charset val="134"/>
      </rPr>
      <t xml:space="preserve">Thành Đạt </t>
    </r>
    <r>
      <rPr>
        <sz val="11"/>
        <color theme="1"/>
        <rFont val="宋体"/>
        <charset val="134"/>
      </rPr>
      <t>成达</t>
    </r>
  </si>
  <si>
    <r>
      <rPr>
        <sz val="11"/>
        <color theme="1"/>
        <rFont val="Times New Roman"/>
        <charset val="134"/>
      </rPr>
      <t xml:space="preserve">Dũng </t>
    </r>
    <r>
      <rPr>
        <sz val="11"/>
        <color theme="1"/>
        <rFont val="宋体"/>
        <charset val="134"/>
      </rPr>
      <t>阿勇</t>
    </r>
  </si>
  <si>
    <r>
      <rPr>
        <sz val="11"/>
        <color theme="1"/>
        <rFont val="Times New Roman"/>
        <charset val="134"/>
      </rPr>
      <t>Thẻ xé/</t>
    </r>
    <r>
      <rPr>
        <sz val="11"/>
        <color theme="1"/>
        <rFont val="宋体"/>
        <charset val="134"/>
      </rPr>
      <t>撕撕乐</t>
    </r>
  </si>
  <si>
    <t>Jujutsu vol 1</t>
  </si>
  <si>
    <r>
      <rPr>
        <sz val="11"/>
        <color theme="1"/>
        <rFont val="宋体"/>
        <charset val="134"/>
      </rPr>
      <t>初见花海咒术回战第一弹</t>
    </r>
  </si>
  <si>
    <r>
      <rPr>
        <sz val="11"/>
        <color theme="1"/>
        <rFont val="宋体"/>
        <charset val="134"/>
      </rPr>
      <t>贝贝文创</t>
    </r>
  </si>
  <si>
    <t>Mimi</t>
  </si>
  <si>
    <r>
      <rPr>
        <sz val="11"/>
        <color theme="1"/>
        <rFont val="Times New Roman"/>
        <charset val="134"/>
      </rPr>
      <t xml:space="preserve">Trà My </t>
    </r>
    <r>
      <rPr>
        <sz val="11"/>
        <color theme="1"/>
        <rFont val="宋体"/>
        <charset val="134"/>
      </rPr>
      <t>茶梅</t>
    </r>
  </si>
  <si>
    <r>
      <rPr>
        <sz val="11"/>
        <color theme="1"/>
        <rFont val="Times New Roman"/>
        <charset val="134"/>
      </rPr>
      <t>Thẻ bự/</t>
    </r>
    <r>
      <rPr>
        <sz val="11"/>
        <color theme="1"/>
        <rFont val="宋体"/>
        <charset val="134"/>
      </rPr>
      <t>色纸</t>
    </r>
  </si>
  <si>
    <t>Gibli Wind</t>
  </si>
  <si>
    <r>
      <rPr>
        <sz val="11"/>
        <color theme="1"/>
        <rFont val="宋体"/>
        <charset val="134"/>
      </rPr>
      <t>椿柚文创宫崎骏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被风吹散的秘密邮票第一弹</t>
    </r>
  </si>
  <si>
    <r>
      <rPr>
        <sz val="11"/>
        <color theme="1"/>
        <rFont val="Times New Roman"/>
        <charset val="134"/>
      </rPr>
      <t>Card/</t>
    </r>
    <r>
      <rPr>
        <sz val="11"/>
        <color theme="1"/>
        <rFont val="宋体"/>
        <charset val="134"/>
      </rPr>
      <t>邮票</t>
    </r>
  </si>
  <si>
    <r>
      <rPr>
        <sz val="11"/>
        <color theme="1"/>
        <rFont val="宋体"/>
        <charset val="134"/>
      </rPr>
      <t>椿柚文创</t>
    </r>
  </si>
  <si>
    <r>
      <rPr>
        <sz val="11"/>
        <color theme="1"/>
        <rFont val="Times New Roman"/>
        <charset val="134"/>
      </rPr>
      <t xml:space="preserve">Hà </t>
    </r>
    <r>
      <rPr>
        <sz val="11"/>
        <color theme="1"/>
        <rFont val="宋体"/>
        <charset val="134"/>
      </rPr>
      <t>小河</t>
    </r>
  </si>
  <si>
    <r>
      <rPr>
        <sz val="11"/>
        <color theme="1"/>
        <rFont val="Times New Roman"/>
        <charset val="134"/>
      </rPr>
      <t xml:space="preserve">Tum </t>
    </r>
    <r>
      <rPr>
        <sz val="11"/>
        <color theme="1"/>
        <rFont val="宋体"/>
        <charset val="134"/>
      </rPr>
      <t>阿庄</t>
    </r>
  </si>
  <si>
    <r>
      <rPr>
        <sz val="11"/>
        <color theme="1"/>
        <rFont val="Times New Roman"/>
        <charset val="134"/>
      </rPr>
      <t>Phiếu tem/</t>
    </r>
    <r>
      <rPr>
        <sz val="11"/>
        <color theme="1"/>
        <rFont val="宋体"/>
        <charset val="134"/>
      </rPr>
      <t>邮票</t>
    </r>
  </si>
  <si>
    <t>Mây và Hạ</t>
  </si>
  <si>
    <r>
      <rPr>
        <sz val="11"/>
        <color theme="1"/>
        <rFont val="宋体"/>
        <charset val="134"/>
      </rPr>
      <t>云映文化「云之境の夏」第二弹</t>
    </r>
    <r>
      <rPr>
        <sz val="11"/>
        <color theme="1"/>
        <rFont val="Times New Roman"/>
        <charset val="134"/>
      </rPr>
      <t>·</t>
    </r>
    <r>
      <rPr>
        <sz val="11"/>
        <color theme="1"/>
        <rFont val="宋体"/>
        <charset val="134"/>
      </rPr>
      <t>宫崎骏珍藏卡牌</t>
    </r>
  </si>
  <si>
    <r>
      <rPr>
        <sz val="11"/>
        <color theme="1"/>
        <rFont val="宋体"/>
        <charset val="134"/>
      </rPr>
      <t>云映文化</t>
    </r>
  </si>
  <si>
    <r>
      <rPr>
        <sz val="11"/>
        <color theme="1"/>
        <rFont val="Times New Roman"/>
        <charset val="134"/>
      </rPr>
      <t xml:space="preserve">Như </t>
    </r>
    <r>
      <rPr>
        <sz val="11"/>
        <color theme="1"/>
        <rFont val="宋体"/>
        <charset val="134"/>
      </rPr>
      <t>小如</t>
    </r>
  </si>
  <si>
    <r>
      <rPr>
        <sz val="11"/>
        <color theme="1"/>
        <rFont val="Times New Roman"/>
        <charset val="134"/>
      </rPr>
      <t>Hoàng Oanh</t>
    </r>
    <r>
      <rPr>
        <sz val="11"/>
        <color theme="1"/>
        <rFont val="宋体"/>
        <charset val="134"/>
      </rPr>
      <t>黄莹</t>
    </r>
  </si>
  <si>
    <r>
      <rPr>
        <sz val="11"/>
        <color theme="1"/>
        <rFont val="Times New Roman"/>
        <charset val="134"/>
      </rPr>
      <t>Bagde/</t>
    </r>
    <r>
      <rPr>
        <sz val="11"/>
        <color theme="1"/>
        <rFont val="宋体"/>
        <charset val="134"/>
      </rPr>
      <t>吧唧</t>
    </r>
  </si>
  <si>
    <t>Kawaii Gibli</t>
  </si>
  <si>
    <r>
      <rPr>
        <sz val="11"/>
        <color theme="1"/>
        <rFont val="Times New Roman"/>
        <charset val="134"/>
      </rPr>
      <t>kawaii</t>
    </r>
    <r>
      <rPr>
        <sz val="11"/>
        <color theme="1"/>
        <rFont val="宋体"/>
        <charset val="134"/>
      </rPr>
      <t>宫崎骏梦幻之国</t>
    </r>
  </si>
  <si>
    <t>kawaii</t>
  </si>
  <si>
    <r>
      <rPr>
        <sz val="11"/>
        <color theme="1"/>
        <rFont val="Times New Roman"/>
        <charset val="134"/>
      </rPr>
      <t xml:space="preserve">Vi </t>
    </r>
    <r>
      <rPr>
        <sz val="11"/>
        <color theme="1"/>
        <rFont val="宋体"/>
        <charset val="134"/>
      </rPr>
      <t>小薇</t>
    </r>
  </si>
  <si>
    <t>Linh 美玲</t>
  </si>
  <si>
    <t>Lập thể/立体水晶</t>
  </si>
  <si>
    <t>X work Sailor Moon</t>
  </si>
  <si>
    <r>
      <rPr>
        <sz val="11"/>
        <color theme="1"/>
        <rFont val="Times New Roman"/>
        <charset val="134"/>
      </rPr>
      <t>XWork</t>
    </r>
    <r>
      <rPr>
        <sz val="11"/>
        <color theme="1"/>
        <rFont val="宋体"/>
        <charset val="134"/>
      </rPr>
      <t>美少女战士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璀璨之梦</t>
    </r>
  </si>
  <si>
    <t>XWork</t>
  </si>
  <si>
    <r>
      <rPr>
        <sz val="11"/>
        <color theme="1"/>
        <rFont val="Times New Roman"/>
        <charset val="134"/>
      </rPr>
      <t xml:space="preserve">Phương </t>
    </r>
    <r>
      <rPr>
        <sz val="11"/>
        <color theme="1"/>
        <rFont val="宋体"/>
        <charset val="134"/>
      </rPr>
      <t>小芳</t>
    </r>
  </si>
  <si>
    <t>Tuyền 绚</t>
  </si>
  <si>
    <t>Đồ chơi/玩具</t>
  </si>
  <si>
    <t>Vancard Sanrio</t>
  </si>
  <si>
    <r>
      <rPr>
        <sz val="11"/>
        <color theme="1"/>
        <rFont val="宋体"/>
        <charset val="134"/>
      </rPr>
      <t>万画云游三丽鸥家族百变</t>
    </r>
    <r>
      <rPr>
        <sz val="11"/>
        <color theme="1"/>
        <rFont val="Times New Roman"/>
        <charset val="134"/>
      </rPr>
      <t>cos</t>
    </r>
    <r>
      <rPr>
        <sz val="11"/>
        <color theme="1"/>
        <rFont val="宋体"/>
        <charset val="134"/>
      </rPr>
      <t>收藏卡</t>
    </r>
  </si>
  <si>
    <r>
      <rPr>
        <sz val="11"/>
        <color theme="1"/>
        <rFont val="宋体"/>
        <charset val="134"/>
      </rPr>
      <t>万画云游</t>
    </r>
  </si>
  <si>
    <r>
      <rPr>
        <sz val="11"/>
        <color theme="1"/>
        <rFont val="Times New Roman"/>
        <charset val="134"/>
      </rPr>
      <t xml:space="preserve">Thanh </t>
    </r>
    <r>
      <rPr>
        <sz val="11"/>
        <color theme="1"/>
        <rFont val="宋体"/>
        <charset val="134"/>
      </rPr>
      <t>阿青</t>
    </r>
  </si>
  <si>
    <t>Xuân Nhi 春妮</t>
  </si>
  <si>
    <t>Wamder Roaming Sakura</t>
  </si>
  <si>
    <r>
      <rPr>
        <sz val="11"/>
        <color theme="1"/>
        <rFont val="宋体"/>
        <charset val="134"/>
      </rPr>
      <t>玩的入迷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魔卡少女樱第一弹</t>
    </r>
    <r>
      <rPr>
        <sz val="11"/>
        <color theme="1"/>
        <rFont val="Times New Roman"/>
        <charset val="134"/>
      </rPr>
      <t>—</t>
    </r>
    <r>
      <rPr>
        <sz val="11"/>
        <color theme="1"/>
        <rFont val="宋体"/>
        <charset val="134"/>
      </rPr>
      <t>樱之绮遇</t>
    </r>
  </si>
  <si>
    <r>
      <rPr>
        <sz val="11"/>
        <color theme="1"/>
        <rFont val="宋体"/>
        <charset val="134"/>
      </rPr>
      <t>玩的入迷</t>
    </r>
  </si>
  <si>
    <t>Zenex</t>
  </si>
  <si>
    <t>Tú Phượng 苏凤</t>
  </si>
  <si>
    <t>Gibli Hoa</t>
  </si>
  <si>
    <r>
      <rPr>
        <sz val="11"/>
        <color theme="1"/>
        <rFont val="宋体"/>
        <charset val="134"/>
      </rPr>
      <t>灿卡文创宫崎骏第二弹《花涧物语》</t>
    </r>
  </si>
  <si>
    <r>
      <rPr>
        <sz val="11"/>
        <color theme="1"/>
        <rFont val="宋体"/>
        <charset val="134"/>
      </rPr>
      <t>灿卡文创</t>
    </r>
  </si>
  <si>
    <t>Hoàng Anh黄英</t>
  </si>
  <si>
    <t>Attack on Titan</t>
  </si>
  <si>
    <r>
      <rPr>
        <sz val="11"/>
        <color theme="1"/>
        <rFont val="宋体"/>
        <charset val="134"/>
      </rPr>
      <t>卡文化进击的巨人</t>
    </r>
  </si>
  <si>
    <r>
      <rPr>
        <sz val="11"/>
        <color theme="1"/>
        <rFont val="宋体"/>
        <charset val="134"/>
      </rPr>
      <t>卡文化</t>
    </r>
  </si>
  <si>
    <t>Lệ Quyên 丽娟</t>
  </si>
  <si>
    <t>Kny Hoàng Card</t>
  </si>
  <si>
    <r>
      <rPr>
        <sz val="11"/>
        <color theme="1"/>
        <rFont val="宋体"/>
        <charset val="134"/>
      </rPr>
      <t>皇卡</t>
    </r>
    <r>
      <rPr>
        <sz val="11"/>
        <color theme="1"/>
        <rFont val="Times New Roman"/>
        <charset val="134"/>
      </rPr>
      <t xml:space="preserve"> × </t>
    </r>
    <r>
      <rPr>
        <sz val="11"/>
        <color theme="1"/>
        <rFont val="宋体"/>
        <charset val="134"/>
      </rPr>
      <t>鬼灭《血月之契》篇决战无限城收藏卡</t>
    </r>
  </si>
  <si>
    <r>
      <rPr>
        <sz val="11"/>
        <color theme="1"/>
        <rFont val="宋体"/>
        <charset val="134"/>
      </rPr>
      <t>皇卡</t>
    </r>
  </si>
  <si>
    <t>Khoa 科</t>
  </si>
  <si>
    <t>Tinh Mộng Gibli thẻ xé</t>
  </si>
  <si>
    <t xml:space="preserve">星梦文创-Studio Ghibli宫崎骏撕撕乐系列 </t>
  </si>
  <si>
    <r>
      <rPr>
        <sz val="11"/>
        <color theme="1"/>
        <rFont val="宋体"/>
        <charset val="134"/>
      </rPr>
      <t>星梦文创</t>
    </r>
  </si>
  <si>
    <t>Trường Vũ 长宇</t>
  </si>
  <si>
    <t>MH Gibli</t>
  </si>
  <si>
    <r>
      <rPr>
        <sz val="11"/>
        <color theme="1"/>
        <rFont val="宋体"/>
        <charset val="134"/>
      </rPr>
      <t>梦绘文创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宫崎骏第二弹</t>
    </r>
  </si>
  <si>
    <r>
      <rPr>
        <sz val="11"/>
        <color theme="1"/>
        <rFont val="宋体"/>
        <charset val="134"/>
      </rPr>
      <t>梦绘文创</t>
    </r>
  </si>
  <si>
    <t>Phước 小福</t>
  </si>
  <si>
    <t>Quàng Thượng</t>
  </si>
  <si>
    <r>
      <rPr>
        <sz val="11"/>
        <color theme="1"/>
        <rFont val="宋体"/>
        <charset val="134"/>
      </rPr>
      <t>思梨普文创《</t>
    </r>
    <r>
      <rPr>
        <sz val="11"/>
        <color theme="1"/>
        <rFont val="Times New Roman"/>
        <charset val="134"/>
      </rPr>
      <t>hey!</t>
    </r>
    <r>
      <rPr>
        <sz val="11"/>
        <color theme="1"/>
        <rFont val="宋体"/>
        <charset val="134"/>
      </rPr>
      <t>国王陛下》集换式艺术家典藏卡</t>
    </r>
  </si>
  <si>
    <r>
      <rPr>
        <sz val="11"/>
        <color theme="1"/>
        <rFont val="宋体"/>
        <charset val="134"/>
      </rPr>
      <t>思梨普文创</t>
    </r>
  </si>
  <si>
    <t>Tập huấn 培训</t>
  </si>
  <si>
    <t>Mộng cảnh Sailor Moon</t>
  </si>
  <si>
    <r>
      <rPr>
        <sz val="11"/>
        <color theme="1"/>
        <rFont val="宋体"/>
        <charset val="134"/>
      </rPr>
      <t>梦境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美少女战士第一弹</t>
    </r>
  </si>
  <si>
    <r>
      <rPr>
        <sz val="11"/>
        <color theme="1"/>
        <rFont val="宋体"/>
        <charset val="134"/>
      </rPr>
      <t>梦境</t>
    </r>
  </si>
  <si>
    <t>Kim Ngân 金银</t>
  </si>
  <si>
    <t>Sacred Sailor Moon</t>
  </si>
  <si>
    <r>
      <rPr>
        <sz val="11"/>
        <color theme="1"/>
        <rFont val="宋体"/>
        <charset val="134"/>
      </rPr>
      <t>圣月美少女战士星尘协奏曲长卡</t>
    </r>
  </si>
  <si>
    <r>
      <rPr>
        <sz val="11"/>
        <color theme="1"/>
        <rFont val="宋体"/>
        <charset val="134"/>
      </rPr>
      <t>聖月</t>
    </r>
  </si>
  <si>
    <t>Kỳ Duyên 琪媛</t>
  </si>
  <si>
    <t>Goods Power TQTP</t>
  </si>
  <si>
    <r>
      <rPr>
        <sz val="11"/>
        <color theme="1"/>
        <rFont val="宋体"/>
        <charset val="134"/>
      </rPr>
      <t>谷子力量</t>
    </r>
    <r>
      <rPr>
        <sz val="11"/>
        <color theme="1"/>
        <rFont val="Times New Roman"/>
        <charset val="134"/>
      </rPr>
      <t xml:space="preserve"> x </t>
    </r>
    <r>
      <rPr>
        <sz val="11"/>
        <color theme="1"/>
        <rFont val="宋体"/>
        <charset val="134"/>
      </rPr>
      <t>竹烟波月亚克力透卡</t>
    </r>
  </si>
  <si>
    <r>
      <rPr>
        <sz val="11"/>
        <color theme="1"/>
        <rFont val="宋体"/>
        <charset val="134"/>
      </rPr>
      <t>谷子力量</t>
    </r>
  </si>
  <si>
    <t>Ngọc Nhi 玉儿</t>
  </si>
  <si>
    <t>Sakura Card Fun</t>
  </si>
  <si>
    <r>
      <rPr>
        <sz val="11"/>
        <color theme="1"/>
        <rFont val="宋体"/>
        <charset val="134"/>
      </rPr>
      <t>集卡社小樱</t>
    </r>
  </si>
  <si>
    <r>
      <rPr>
        <sz val="11"/>
        <color theme="1"/>
        <rFont val="宋体"/>
        <charset val="134"/>
      </rPr>
      <t>集卡社</t>
    </r>
  </si>
  <si>
    <t>Phân phối các tiệm</t>
  </si>
  <si>
    <t>Shingu Conan phiếu tem</t>
  </si>
  <si>
    <r>
      <rPr>
        <sz val="11"/>
        <color theme="1"/>
        <rFont val="宋体"/>
        <charset val="134"/>
      </rPr>
      <t>新谷动漫名侦探柯南</t>
    </r>
    <r>
      <rPr>
        <sz val="11"/>
        <color theme="1"/>
        <rFont val="Times New Roman"/>
        <charset val="134"/>
      </rPr>
      <t>·</t>
    </r>
    <r>
      <rPr>
        <sz val="11"/>
        <color theme="1"/>
        <rFont val="宋体"/>
        <charset val="134"/>
      </rPr>
      <t>仲夏夜之恋邮票集</t>
    </r>
  </si>
  <si>
    <r>
      <rPr>
        <sz val="11"/>
        <color theme="1"/>
        <rFont val="宋体"/>
        <charset val="134"/>
      </rPr>
      <t>新谷动漫</t>
    </r>
  </si>
  <si>
    <t>Thu Giang秋江</t>
  </si>
  <si>
    <t>Sailor Shining</t>
  </si>
  <si>
    <r>
      <rPr>
        <sz val="11"/>
        <color theme="1"/>
        <rFont val="宋体"/>
        <charset val="134"/>
      </rPr>
      <t>【耀光</t>
    </r>
    <r>
      <rPr>
        <sz val="11"/>
        <color theme="1"/>
        <rFont val="Times New Roman"/>
        <charset val="134"/>
      </rPr>
      <t>·</t>
    </r>
    <r>
      <rPr>
        <sz val="11"/>
        <color theme="1"/>
        <rFont val="宋体"/>
        <charset val="134"/>
      </rPr>
      <t>美少女战士】长卡卡砖</t>
    </r>
  </si>
  <si>
    <r>
      <rPr>
        <sz val="11"/>
        <color theme="1"/>
        <rFont val="宋体"/>
        <charset val="134"/>
      </rPr>
      <t>耀光</t>
    </r>
  </si>
  <si>
    <t>Test Live</t>
  </si>
  <si>
    <t>Tinh quang Genshin</t>
  </si>
  <si>
    <r>
      <rPr>
        <sz val="11"/>
        <color theme="1"/>
        <rFont val="宋体"/>
        <charset val="134"/>
      </rPr>
      <t>风信文创尘世相逢之约星光来信原神邮票第一弹</t>
    </r>
  </si>
  <si>
    <r>
      <rPr>
        <sz val="11"/>
        <color theme="1"/>
        <rFont val="宋体"/>
        <charset val="134"/>
      </rPr>
      <t>风信文创</t>
    </r>
  </si>
  <si>
    <t>Cẩm Giang 锦江</t>
  </si>
  <si>
    <t>Conan đám cưới A5 vol 1</t>
  </si>
  <si>
    <r>
      <rPr>
        <sz val="11"/>
        <color theme="1"/>
        <rFont val="宋体"/>
        <charset val="134"/>
      </rPr>
      <t>漫影工作室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柯南</t>
    </r>
    <r>
      <rPr>
        <sz val="11"/>
        <color theme="1"/>
        <rFont val="Times New Roman"/>
        <charset val="134"/>
      </rPr>
      <t xml:space="preserve">-A5 </t>
    </r>
    <r>
      <rPr>
        <sz val="11"/>
        <color theme="1"/>
        <rFont val="宋体"/>
        <charset val="134"/>
      </rPr>
      <t>大卡第一弹</t>
    </r>
  </si>
  <si>
    <r>
      <rPr>
        <sz val="11"/>
        <color theme="1"/>
        <rFont val="宋体"/>
        <charset val="134"/>
      </rPr>
      <t>漫影工作室</t>
    </r>
  </si>
  <si>
    <r>
      <rPr>
        <sz val="11"/>
        <color theme="1"/>
        <rFont val="Times New Roman"/>
        <charset val="134"/>
      </rPr>
      <t xml:space="preserve">Bảo Ngọc </t>
    </r>
    <r>
      <rPr>
        <sz val="11"/>
        <color theme="1"/>
        <rFont val="DengXian"/>
        <charset val="134"/>
      </rPr>
      <t>宝玉</t>
    </r>
  </si>
  <si>
    <t>Quân sơn TQTP</t>
  </si>
  <si>
    <r>
      <rPr>
        <sz val="11"/>
        <color theme="1"/>
        <rFont val="宋体"/>
        <charset val="134"/>
      </rPr>
      <t>君屹文化耽美古风收藏新纪元《言辞忆梦》撕撕乐</t>
    </r>
  </si>
  <si>
    <r>
      <rPr>
        <sz val="11"/>
        <color theme="1"/>
        <rFont val="宋体"/>
        <charset val="134"/>
      </rPr>
      <t>君屹文化</t>
    </r>
  </si>
  <si>
    <t>Thanh Vy 清薇</t>
  </si>
  <si>
    <t>Hải Minh LnD</t>
  </si>
  <si>
    <r>
      <rPr>
        <sz val="11"/>
        <color theme="1"/>
        <rFont val="宋体"/>
        <charset val="134"/>
      </rPr>
      <t>星恋文创</t>
    </r>
    <r>
      <rPr>
        <sz val="11"/>
        <color theme="1"/>
        <rFont val="Times New Roman"/>
        <charset val="134"/>
      </rPr>
      <t>·</t>
    </r>
    <r>
      <rPr>
        <sz val="11"/>
        <color theme="1"/>
        <rFont val="宋体"/>
        <charset val="134"/>
      </rPr>
      <t>恋与深空《晦明交错之间》亚克力相框卡</t>
    </r>
  </si>
  <si>
    <r>
      <rPr>
        <sz val="11"/>
        <color theme="1"/>
        <rFont val="宋体"/>
        <charset val="134"/>
      </rPr>
      <t>星恋文创</t>
    </r>
  </si>
  <si>
    <t>Thái Châu 泰珠</t>
  </si>
  <si>
    <t>LnD phiếu tem</t>
  </si>
  <si>
    <r>
      <rPr>
        <sz val="11"/>
        <color theme="1"/>
        <rFont val="宋体"/>
        <charset val="134"/>
      </rPr>
      <t>深空绘约文创我不爱世界只爱你邮票撕拉卡</t>
    </r>
  </si>
  <si>
    <r>
      <rPr>
        <sz val="11"/>
        <color theme="1"/>
        <rFont val="宋体"/>
        <charset val="134"/>
      </rPr>
      <t>深空绘约文创</t>
    </r>
  </si>
  <si>
    <t>Trường Giang 长江</t>
  </si>
  <si>
    <t>Trendy Toyka Genshin</t>
  </si>
  <si>
    <r>
      <rPr>
        <sz val="11"/>
        <color theme="1"/>
        <rFont val="宋体"/>
        <charset val="134"/>
      </rPr>
      <t>潮玩咔原神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尘世收藏卡</t>
    </r>
  </si>
  <si>
    <r>
      <rPr>
        <sz val="11"/>
        <color theme="1"/>
        <rFont val="宋体"/>
        <charset val="134"/>
      </rPr>
      <t>潮玩咔</t>
    </r>
  </si>
  <si>
    <t>Thanh Hằng 青姮</t>
  </si>
  <si>
    <t>Sakura House</t>
  </si>
  <si>
    <r>
      <rPr>
        <sz val="11"/>
        <color theme="1"/>
        <rFont val="宋体"/>
        <charset val="134"/>
      </rPr>
      <t>樱花屋魔卡少女樱</t>
    </r>
  </si>
  <si>
    <r>
      <rPr>
        <sz val="11"/>
        <color theme="1"/>
        <rFont val="宋体"/>
        <charset val="134"/>
      </rPr>
      <t>樱花屋</t>
    </r>
  </si>
  <si>
    <t>Mỹ Nhàn 美嫻</t>
  </si>
  <si>
    <t>Mộng ảnh Hắc Quản Gia</t>
  </si>
  <si>
    <r>
      <rPr>
        <sz val="11"/>
        <color theme="1"/>
        <rFont val="宋体"/>
        <charset val="134"/>
      </rPr>
      <t>梦影动漫黑执事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典藏版收藏卡牌</t>
    </r>
  </si>
  <si>
    <r>
      <rPr>
        <sz val="11"/>
        <color theme="1"/>
        <rFont val="宋体"/>
        <charset val="134"/>
      </rPr>
      <t>梦影动漫</t>
    </r>
  </si>
  <si>
    <t>Kiều Phượng 桥凤</t>
  </si>
  <si>
    <t>SK MĐTS phiếu tem</t>
  </si>
  <si>
    <r>
      <rPr>
        <sz val="11"/>
        <color theme="1"/>
        <rFont val="宋体"/>
        <charset val="134"/>
      </rPr>
      <t>胜卡文创</t>
    </r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魔道祖师云深不忘邮票评级卡砖</t>
    </r>
  </si>
  <si>
    <r>
      <rPr>
        <sz val="11"/>
        <color theme="1"/>
        <rFont val="宋体"/>
        <charset val="134"/>
      </rPr>
      <t>胜卡文创</t>
    </r>
  </si>
  <si>
    <t>Phương Thảo 芳草</t>
  </si>
  <si>
    <t>Huixin MĐTS</t>
  </si>
  <si>
    <r>
      <rPr>
        <sz val="11"/>
        <color theme="1"/>
        <rFont val="宋体"/>
        <charset val="134"/>
      </rPr>
      <t>绘心阁《魔道祖师</t>
    </r>
    <r>
      <rPr>
        <sz val="11"/>
        <color theme="1"/>
        <rFont val="Times New Roman"/>
        <charset val="134"/>
      </rPr>
      <t>—</t>
    </r>
    <r>
      <rPr>
        <sz val="11"/>
        <color theme="1"/>
        <rFont val="宋体"/>
        <charset val="134"/>
      </rPr>
      <t>殊途同归》色纸卡牌</t>
    </r>
  </si>
  <si>
    <r>
      <rPr>
        <sz val="11"/>
        <color theme="1"/>
        <rFont val="宋体"/>
        <charset val="134"/>
      </rPr>
      <t>绘心阁</t>
    </r>
  </si>
  <si>
    <t>Minh Thư 明书</t>
  </si>
  <si>
    <t>LnD thẻ xé Ngàn lần động tâm</t>
  </si>
  <si>
    <r>
      <rPr>
        <sz val="11"/>
        <color theme="1"/>
        <rFont val="宋体"/>
        <charset val="134"/>
      </rPr>
      <t>慕光文创「一千次心动」系列撕撕乐</t>
    </r>
  </si>
  <si>
    <r>
      <rPr>
        <sz val="11"/>
        <color theme="1"/>
        <rFont val="宋体"/>
        <charset val="134"/>
      </rPr>
      <t>慕光文创</t>
    </r>
  </si>
  <si>
    <t>Uyên Mai 媛梅</t>
  </si>
  <si>
    <t>Lan Đình A6 tổng hợp</t>
  </si>
  <si>
    <r>
      <rPr>
        <sz val="11"/>
        <color theme="1"/>
        <rFont val="宋体"/>
        <charset val="134"/>
      </rPr>
      <t>兰亭文创</t>
    </r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墨家三宝典藏色纸砚池春深系列</t>
    </r>
  </si>
  <si>
    <r>
      <rPr>
        <sz val="11"/>
        <color theme="1"/>
        <rFont val="宋体"/>
        <charset val="134"/>
      </rPr>
      <t>兰亭文创</t>
    </r>
  </si>
  <si>
    <t>Kiều Ngân 桥银</t>
  </si>
  <si>
    <t>KK card Shinkai Makoto vol 1</t>
  </si>
  <si>
    <r>
      <rPr>
        <sz val="11"/>
        <color theme="1"/>
        <rFont val="Times New Roman"/>
        <charset val="134"/>
      </rPr>
      <t xml:space="preserve">KK CARD × </t>
    </r>
    <r>
      <rPr>
        <sz val="11"/>
        <color theme="1"/>
        <rFont val="宋体"/>
        <charset val="134"/>
      </rPr>
      <t>新海诚系列第一弹</t>
    </r>
  </si>
  <si>
    <t>KK CARD</t>
  </si>
  <si>
    <t>Hà chi 哈芝</t>
  </si>
  <si>
    <t>Yanka LnD</t>
  </si>
  <si>
    <r>
      <rPr>
        <sz val="11"/>
        <color theme="1"/>
        <rFont val="宋体"/>
        <charset val="134"/>
      </rPr>
      <t>《研卡文创》第三弹收藏色纸</t>
    </r>
  </si>
  <si>
    <r>
      <rPr>
        <sz val="11"/>
        <color theme="1"/>
        <rFont val="宋体"/>
        <charset val="134"/>
      </rPr>
      <t>研卡文创</t>
    </r>
  </si>
  <si>
    <t>Thúy Phụng 翠凤</t>
  </si>
  <si>
    <t>Madhouse Sakura phiếu tem</t>
  </si>
  <si>
    <r>
      <rPr>
        <sz val="11"/>
        <color theme="1"/>
        <rFont val="宋体"/>
        <charset val="134"/>
      </rPr>
      <t>磁吸邮票《咪咕咪咕</t>
    </r>
    <r>
      <rPr>
        <sz val="11"/>
        <color theme="1"/>
        <rFont val="Times New Roman"/>
        <charset val="134"/>
      </rPr>
      <t>&amp;</t>
    </r>
    <r>
      <rPr>
        <sz val="11"/>
        <color theme="1"/>
        <rFont val="宋体"/>
        <charset val="134"/>
      </rPr>
      <t>魔卡少女樱》</t>
    </r>
  </si>
  <si>
    <r>
      <rPr>
        <sz val="11"/>
        <color theme="1"/>
        <rFont val="宋体"/>
        <charset val="134"/>
      </rPr>
      <t>咪咕咪咕</t>
    </r>
  </si>
  <si>
    <t>Thúy Vy 翠薇</t>
  </si>
  <si>
    <t>LnD Gió hạ từng hôn mi em</t>
  </si>
  <si>
    <t>浮光工作室❤第三弹【夏风吻过你的睫毛】</t>
  </si>
  <si>
    <t>Card/卡牌</t>
  </si>
  <si>
    <t>浮光工作室</t>
  </si>
  <si>
    <t>Sếp Châu周总</t>
  </si>
  <si>
    <t>OP Phi Phàm</t>
  </si>
  <si>
    <t>非凡航海王第五弹</t>
  </si>
  <si>
    <t>非凡</t>
  </si>
  <si>
    <t>Hồng Nhung 红蓉</t>
  </si>
  <si>
    <t>Kuka Maltese</t>
  </si>
  <si>
    <t>酷卡文化-线条小狗3弹</t>
  </si>
  <si>
    <t>酷卡文化</t>
  </si>
  <si>
    <t>Khách ngoài 外客</t>
  </si>
  <si>
    <t>Bearie Genshin Impact</t>
  </si>
  <si>
    <t>小熊工坊「原神」A6色纸</t>
  </si>
  <si>
    <t>Thẻ bự/色纸</t>
  </si>
  <si>
    <t>小熊工坊</t>
  </si>
  <si>
    <t>Butterbear vol 2</t>
  </si>
  <si>
    <t>黄油小熊系列收藏卡第二弹 小熊的观察日记</t>
  </si>
  <si>
    <t>玖人文化</t>
  </si>
  <si>
    <t>XR Sailor Moon</t>
  </si>
  <si>
    <t>光恋XR-披荆斩棘-美少女战士</t>
  </si>
  <si>
    <t>光恋XR</t>
  </si>
  <si>
    <t>Source University Genshin thẻ CD</t>
  </si>
  <si>
    <t>源宇宙原神.空月の歌·周边CD票根邮票组合套装</t>
  </si>
  <si>
    <t>源宇宙原神</t>
  </si>
  <si>
    <t>Conan lập thể</t>
  </si>
  <si>
    <t>名侦探柯南谜层交错</t>
  </si>
  <si>
    <t>Đèn Gibli DIY</t>
  </si>
  <si>
    <t>夜灯</t>
  </si>
  <si>
    <t>Xưởng Teyvat Genshin Impact A6</t>
  </si>
  <si>
    <t>提瓦特工坊·原神水晶色纸</t>
  </si>
  <si>
    <t>提瓦特工坊</t>
  </si>
  <si>
    <t>Narasha Sailor Moon thẻ xé</t>
  </si>
  <si>
    <t>奈良社《极昼漫游》美少女战士撕撕乐+异形小卡</t>
  </si>
  <si>
    <t>Thẻ xé/撕撕乐</t>
  </si>
  <si>
    <t>奈良社</t>
  </si>
  <si>
    <t>Melting point</t>
  </si>
  <si>
    <t>野火文创《月下悸动》 韩漫耽美撕撕乐</t>
  </si>
  <si>
    <t>野火文创</t>
  </si>
  <si>
    <t>Hoàng tử bé và Alice</t>
  </si>
  <si>
    <t>小王子与爱丽丝</t>
  </si>
  <si>
    <t>卡盟文创</t>
  </si>
  <si>
    <t>Nanka Sakura</t>
  </si>
  <si>
    <t>南卡《魔卡少女樱》</t>
  </si>
  <si>
    <t>南卡</t>
  </si>
  <si>
    <t>Kayou Conan Vol 5</t>
  </si>
  <si>
    <t>柯南洞悉包第五弹</t>
  </si>
  <si>
    <t>卡游</t>
  </si>
  <si>
    <t>Hoa rơi chỉ vì quân</t>
  </si>
  <si>
    <t>悦灵文创 《落花只为君》第三弹</t>
  </si>
  <si>
    <t>悦灵文创</t>
  </si>
  <si>
    <t>Mèo chiêu tài</t>
  </si>
  <si>
    <t>太阳能招财猫</t>
  </si>
  <si>
    <t>招财猫</t>
  </si>
  <si>
    <t xml:space="preserve">Scroll Painting Thanh gươm diệt quỷ </t>
  </si>
  <si>
    <t>绘卷文创 - 梦境入画【鬼灭之刃系列收藏卡砖】</t>
  </si>
  <si>
    <t>Thẻ hộp/卡砖</t>
  </si>
  <si>
    <t>绘卷文创</t>
  </si>
  <si>
    <t xml:space="preserve"> Card Fun Thiên quan tứ phúc bản hoạt hình</t>
  </si>
  <si>
    <t>集卡社天官赐福动画周年纪念版</t>
  </si>
  <si>
    <t>集卡社</t>
  </si>
  <si>
    <t>Kabao Sanrio Gia tộc mùa đông ấm áp</t>
  </si>
  <si>
    <t>三丽鸥家族暖冬</t>
  </si>
  <si>
    <t>卡宝</t>
  </si>
  <si>
    <t>Kabao Sanrio Hello Kitty Mộng cảnh tuần lễ</t>
  </si>
  <si>
    <t>三丽鸥家族hello kitty梦境巡礼</t>
  </si>
  <si>
    <t>Thanh gươm Vị Miên chi Dạ</t>
  </si>
  <si>
    <t>鬼灭之刃·炽阳文创《未眠之夜 》限定双闪色纸</t>
  </si>
  <si>
    <t>炽阳文创</t>
  </si>
  <si>
    <t xml:space="preserve"> Manga Forest Ghibli vol 3</t>
  </si>
  <si>
    <t>漫の森《宫崎骏第三弹·奇幻之旅》</t>
  </si>
  <si>
    <t>漫の森</t>
  </si>
  <si>
    <t>Bản tổng hợp cổ phong Đam ư mỹ sắc vol 3</t>
  </si>
  <si>
    <t>灵漫社《耽于美涩》古风系列收藏卡牌第三弹</t>
  </si>
  <si>
    <t>灵漫社</t>
  </si>
  <si>
    <t>Kayou Mobile Legend</t>
  </si>
  <si>
    <t>Mobile Legends: Bang Bang-Collectible Cards-Hand of Destiny-001A-SEA</t>
  </si>
  <si>
    <t>Floating Dream Đồng cảnh kỳ mộng</t>
  </si>
  <si>
    <t>浮梦集 「童境绮梦」艺术家联名收藏卡牌</t>
  </si>
  <si>
    <t>浮梦集</t>
  </si>
  <si>
    <t xml:space="preserve">  Source Universe Honkai Star Rail A6</t>
  </si>
  <si>
    <t>源宇宙崩铁色纸</t>
  </si>
  <si>
    <t>源宇宙</t>
  </si>
  <si>
    <t>Genshin Impact ver Đáp án của vận mệnh</t>
  </si>
  <si>
    <t>【行星文创·上上签·命运答案】X全新原神系列上上签</t>
  </si>
  <si>
    <t>行星文创</t>
  </si>
  <si>
    <t>Kayou Conan vol 2 (bánh quy)</t>
  </si>
  <si>
    <t>卡游柯南揭秘包第2弹</t>
  </si>
  <si>
    <t>Honkai Star Rail A6 Tinh Trình Khởi Động</t>
  </si>
  <si>
    <t>拓宇文创—崩铁·启航星程 A6 亚克力色纸</t>
  </si>
  <si>
    <t>拓宇文创</t>
  </si>
  <si>
    <t>Trúc Ảnh Dao Tiên thẻ xé đam mỹ</t>
  </si>
  <si>
    <t>《竹影摇笺》耽美撕撕乐系列</t>
  </si>
  <si>
    <t>cần đếm lại</t>
  </si>
  <si>
    <t>YiHua Wuthering Waves thẻ xé</t>
  </si>
  <si>
    <t>【艺画文创】鸣潮撕撕乐</t>
  </si>
  <si>
    <t>艺画文创</t>
  </si>
  <si>
    <t>Nhất Nặc Chung Sinh Tổng hợp 3 bộ của Mặc Hương</t>
  </si>
  <si>
    <t>【喵谷】&amp;【一诺终生】墨香三部曲系列色纸【魔道】【天官】【渣反】第二弹</t>
  </si>
  <si>
    <t>喵谷</t>
  </si>
  <si>
    <t>Kayou Jujutsu Kaisen</t>
  </si>
  <si>
    <t>咒术回战-术士收藏卡-高专篇</t>
  </si>
  <si>
    <t>Mô hình chim đồ chơi trang trí xe</t>
  </si>
  <si>
    <t>伴飞小鸟</t>
  </si>
  <si>
    <t>未知</t>
  </si>
  <si>
    <t>Kayou Conan vol 2 (bản 2 tệ)</t>
  </si>
  <si>
    <t>名侦探柯南-名推理收藏卡-觅影包-第2弹</t>
  </si>
  <si>
    <t>Light bản tổng hợp BL thẻ xé</t>
  </si>
  <si>
    <t>火萤文创【帷幕将倾】俊男唯美撕撕乐</t>
  </si>
  <si>
    <t>火萤文创</t>
  </si>
  <si>
    <t>Wanka Thanh gươm diệt quỷ ver Nhật luân</t>
  </si>
  <si>
    <t>《万卡卡文创》鬼灭之刃日轮破晓第一弹</t>
  </si>
  <si>
    <t>万卡卡文创</t>
  </si>
  <si>
    <t>Aikaho Thanh gươm diệt quỷ</t>
  </si>
  <si>
    <t>【Aikaho】鬼灭之刃第四弹 集结 【DS-04 Muster】</t>
  </si>
  <si>
    <t>Aikaho</t>
  </si>
  <si>
    <t>Genshin Impact World game</t>
  </si>
  <si>
    <t>多多文创原神第二弹卡砖—神眸再现</t>
  </si>
  <si>
    <t>多多文创</t>
  </si>
  <si>
    <t>Conan ver mã Morse phiếu tem</t>
  </si>
  <si>
    <t>摩斯社×名侦探柯南-摩斯密码系列评级邮票</t>
  </si>
  <si>
    <t>摩斯社</t>
  </si>
  <si>
    <t>Kaquduo chuyện cổ tích - Thiên dạ hội quyển</t>
  </si>
  <si>
    <t>卡趣多《童话-千夜绘卷》艺术典藏卡牌</t>
  </si>
  <si>
    <t>卡趣多</t>
  </si>
  <si>
    <t>Card Fun Cây Nấm Nhỏ ver Mạt thế thâm uyên</t>
  </si>
  <si>
    <t>《小蘑菇》流荧版收藏卡-末世深渊</t>
  </si>
  <si>
    <t>Kyoto Sailor Moon vol 4</t>
  </si>
  <si>
    <t>京都社 美少女战士 · 第4弹</t>
  </si>
  <si>
    <t>京都社</t>
  </si>
  <si>
    <t>Genshin A6 Tiwayimeng (Viết tắt Tiwa)</t>
  </si>
  <si>
    <t>吾羽文创-全亚克力正方形原神色纸</t>
  </si>
  <si>
    <t>吾羽文创</t>
  </si>
  <si>
    <t>Card Fun Thiên quan tứ phúc Hoa đăng chiếu dạ</t>
  </si>
  <si>
    <t>天官赐福花灯照夜</t>
  </si>
  <si>
    <t>Card Fun Trảm thần chi phàm trần thần vực</t>
  </si>
  <si>
    <t>《斩神之凡尘神域》典藏版收藏卡</t>
  </si>
  <si>
    <t>Naruto thẻ xé</t>
  </si>
  <si>
    <t>火影忍者·手绘复刻撕撕乐</t>
  </si>
  <si>
    <t>Conan ver Party nguy hiểm</t>
  </si>
  <si>
    <t>【潮迷文创】名侦探柯南-危险排队-周边创意艺术色纸</t>
  </si>
  <si>
    <t>潮迷文创</t>
  </si>
  <si>
    <t>World Cup 2026</t>
  </si>
  <si>
    <t>世界杯足球2026</t>
  </si>
  <si>
    <t>义乌</t>
  </si>
  <si>
    <t>Kayou Conan vol 3 (bản 2 tệ)</t>
  </si>
  <si>
    <t>名侦探柯南-名推理收藏卡-觅影包-第3弹</t>
  </si>
  <si>
    <t>Sao Hỏa Maltese</t>
  </si>
  <si>
    <t>星火线条小狗</t>
  </si>
  <si>
    <t>星火</t>
  </si>
  <si>
    <t>Yimeng Ghibli chữa lành cả đời</t>
  </si>
  <si>
    <t>依梦×宫崎骏の治愈一生</t>
  </si>
  <si>
    <t>依梦</t>
  </si>
  <si>
    <t>Card Fun Lilo&amp;Stitch Dân chơi bách biến</t>
  </si>
  <si>
    <t>星际宝贝百变顽家收藏卡</t>
  </si>
  <si>
    <t>Tử Vi Sakura thẻ xé</t>
  </si>
  <si>
    <t>紫薇文创×魔卡少女樱·撕撕乐</t>
  </si>
  <si>
    <t>紫薇文创</t>
  </si>
  <si>
    <t>Tinh tú hội họa Shinkai Makoto</t>
  </si>
  <si>
    <t>星绘社新海诚系列卡牌</t>
  </si>
  <si>
    <t>星绘社</t>
  </si>
  <si>
    <t>Nam thần đam mỹ A6 Điệp hải mộng hoa</t>
  </si>
  <si>
    <t>山海文创《蝶海梦花》耽美男神A6纯亚克力色纸</t>
  </si>
  <si>
    <t>山海文创</t>
  </si>
  <si>
    <t>WUPO Tranh nghệ thuật hội họa vol 1</t>
  </si>
  <si>
    <t>WUPO艺术家手绘系列色纸第一弹</t>
  </si>
  <si>
    <t>WUPO</t>
  </si>
  <si>
    <t>Sailor Moon Tinh Túy</t>
  </si>
  <si>
    <t>至臻文创美少女战士</t>
  </si>
  <si>
    <t>至臻文创</t>
  </si>
  <si>
    <t>Card Fun Thương Tiến Tửu - Kiếm Chỉ Sơn Hà</t>
  </si>
  <si>
    <t>《将进酒》漫画纪念收藏卡-剑指山河</t>
  </si>
  <si>
    <t>Series Đam Mỹ - Bộ Tarot Nhân Duyên Tam Giới</t>
  </si>
  <si>
    <t>【念君集·双心占卜·耽美系列】三界情缘塔罗牌</t>
  </si>
  <si>
    <t>念君集</t>
  </si>
  <si>
    <t>Thanh Nghiễn Sailor Moon vol 1</t>
  </si>
  <si>
    <t>青彦美少女战士 · 第 1 弹</t>
  </si>
  <si>
    <t>青彦</t>
  </si>
  <si>
    <t>Yi Card One Piece vol 2</t>
  </si>
  <si>
    <t>《意卡文创海贼王》第二弹</t>
  </si>
  <si>
    <t>意卡文创</t>
  </si>
  <si>
    <t>Kamiya Rorojump Bách Biến vol 1</t>
  </si>
  <si>
    <t>卡迷家xROROJUMP肉肉酱正版授权第一弹《肉肉酱-百变系列-典藏卡》</t>
  </si>
  <si>
    <t>卡迷家</t>
  </si>
  <si>
    <t>Kỳ Lân One Piece ver Tiên đạo thiên hạ vol 1</t>
  </si>
  <si>
    <t>麒麟文创航海王第一弹-仙道天下</t>
  </si>
  <si>
    <t>麒麟文创</t>
  </si>
  <si>
    <t>Card Fun Zootopia ver Thần thám Cáo Thỏ</t>
  </si>
  <si>
    <t>疯狂动物城白金收藏卡狐兔神探</t>
  </si>
  <si>
    <t>CM Thẻ vàng Thanh gươm diệt quỷ</t>
  </si>
  <si>
    <t>鬼灭之刃纪念钞黄金闪卡</t>
  </si>
  <si>
    <t>Mumu Card Thanh gươm diệt quỷ</t>
  </si>
  <si>
    <t>木木卡舍·鬼灭之刃无限城篇</t>
  </si>
  <si>
    <t>木木卡舍</t>
  </si>
  <si>
    <t>Vân Ảnh Ghibli Cuộn Tranh Thời Gian</t>
  </si>
  <si>
    <t>云映文化时光绘卷·宫崎骏珍藏卡牌</t>
  </si>
  <si>
    <t>云映文化</t>
  </si>
  <si>
    <t>Hi card Conan vol 4</t>
  </si>
  <si>
    <t>Hi卡柯南第四弹《一切都会大白于天下》</t>
  </si>
  <si>
    <t>Hi卡</t>
  </si>
  <si>
    <t>Mobile Legend vol 1 Assemble Treasure pack</t>
  </si>
  <si>
    <t>Mancy</t>
  </si>
  <si>
    <t>Mobile Legend vol 1 Assemble Legend pack</t>
  </si>
  <si>
    <t>Mobile Legend vol 1 Assemble Classic pack</t>
  </si>
  <si>
    <t>Free Fire Mini Spark Follow pack</t>
  </si>
  <si>
    <t>Free Fire Blaze Core pack</t>
  </si>
  <si>
    <r>
      <rPr>
        <b/>
        <sz val="11"/>
        <color theme="1"/>
        <rFont val="Times New Roman"/>
        <charset val="134"/>
      </rPr>
      <t>sku</t>
    </r>
    <r>
      <rPr>
        <b/>
        <sz val="11"/>
        <color theme="1"/>
        <rFont val="宋体"/>
        <charset val="134"/>
      </rPr>
      <t>序列</t>
    </r>
    <r>
      <rPr>
        <b/>
        <sz val="11"/>
        <color theme="1"/>
        <rFont val="Times New Roman"/>
        <charset val="134"/>
      </rPr>
      <t xml:space="preserve"> 
SKU CODE</t>
    </r>
  </si>
  <si>
    <r>
      <rPr>
        <b/>
        <sz val="11"/>
        <color theme="1"/>
        <rFont val="宋体"/>
        <charset val="134"/>
      </rPr>
      <t>中文名</t>
    </r>
    <r>
      <rPr>
        <b/>
        <sz val="11"/>
        <color theme="1"/>
        <rFont val="Times New Roman"/>
        <charset val="134"/>
      </rPr>
      <t xml:space="preserve"> 
Tên tiếng Trung</t>
    </r>
  </si>
  <si>
    <r>
      <rPr>
        <b/>
        <sz val="11"/>
        <color theme="1"/>
        <rFont val="宋体"/>
        <charset val="134"/>
      </rPr>
      <t>英文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宋体"/>
        <charset val="134"/>
      </rPr>
      <t>越文名</t>
    </r>
    <r>
      <rPr>
        <b/>
        <sz val="11"/>
        <color theme="1"/>
        <rFont val="Times New Roman"/>
        <charset val="134"/>
      </rPr>
      <t xml:space="preserve"> Tên tiếng Việt</t>
    </r>
  </si>
  <si>
    <r>
      <rPr>
        <b/>
        <sz val="11"/>
        <color theme="1"/>
        <rFont val="宋体"/>
        <charset val="134"/>
      </rPr>
      <t>品类</t>
    </r>
    <r>
      <rPr>
        <b/>
        <sz val="11"/>
        <color theme="1"/>
        <rFont val="Times New Roman"/>
        <charset val="134"/>
      </rPr>
      <t xml:space="preserve"> Loại sp</t>
    </r>
  </si>
  <si>
    <r>
      <rPr>
        <b/>
        <sz val="11"/>
        <color theme="1"/>
        <rFont val="宋体"/>
        <charset val="134"/>
      </rPr>
      <t>厂商</t>
    </r>
    <r>
      <rPr>
        <b/>
        <sz val="11"/>
        <color theme="1"/>
        <rFont val="Times New Roman"/>
        <charset val="134"/>
      </rPr>
      <t xml:space="preserve"> NXB</t>
    </r>
  </si>
  <si>
    <r>
      <rPr>
        <b/>
        <sz val="11"/>
        <color theme="1"/>
        <rFont val="宋体"/>
        <charset val="134"/>
      </rPr>
      <t>规格</t>
    </r>
    <r>
      <rPr>
        <b/>
        <sz val="11"/>
        <color theme="1"/>
        <rFont val="Times New Roman"/>
        <charset val="134"/>
      </rPr>
      <t xml:space="preserve"> Thông số</t>
    </r>
  </si>
  <si>
    <r>
      <rPr>
        <b/>
        <sz val="11"/>
        <color theme="1"/>
        <rFont val="宋体"/>
        <charset val="134"/>
      </rPr>
      <t>仓库名</t>
    </r>
    <r>
      <rPr>
        <b/>
        <sz val="11"/>
        <color theme="1"/>
        <rFont val="Times New Roman"/>
        <charset val="134"/>
      </rPr>
      <t xml:space="preserve">
Tên kho</t>
    </r>
  </si>
  <si>
    <r>
      <rPr>
        <b/>
        <sz val="11"/>
        <color theme="1"/>
        <rFont val="宋体"/>
        <charset val="134"/>
      </rPr>
      <t>入库人</t>
    </r>
    <r>
      <rPr>
        <b/>
        <sz val="11"/>
        <color theme="1"/>
        <rFont val="Times New Roman"/>
        <charset val="134"/>
      </rPr>
      <t xml:space="preserve">
Người nhập kho</t>
    </r>
  </si>
  <si>
    <r>
      <rPr>
        <b/>
        <sz val="11"/>
        <color theme="1"/>
        <rFont val="宋体"/>
        <charset val="134"/>
      </rPr>
      <t>入库时间</t>
    </r>
    <r>
      <rPr>
        <b/>
        <sz val="11"/>
        <color theme="1"/>
        <rFont val="Times New Roman"/>
        <charset val="134"/>
      </rPr>
      <t xml:space="preserve">
Thời gian</t>
    </r>
  </si>
  <si>
    <r>
      <rPr>
        <b/>
        <sz val="11"/>
        <color theme="1"/>
        <rFont val="宋体"/>
        <charset val="134"/>
      </rPr>
      <t>剩余库存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宋体"/>
        <charset val="134"/>
      </rPr>
      <t>盒</t>
    </r>
    <r>
      <rPr>
        <b/>
        <sz val="11"/>
        <color theme="1"/>
        <rFont val="Times New Roman"/>
        <charset val="134"/>
      </rPr>
      <t xml:space="preserve">
Tồn kho (hộp)</t>
    </r>
  </si>
  <si>
    <r>
      <rPr>
        <b/>
        <sz val="11"/>
        <color theme="1"/>
        <rFont val="宋体"/>
        <charset val="134"/>
      </rPr>
      <t>剩余库存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宋体"/>
        <charset val="134"/>
      </rPr>
      <t>包</t>
    </r>
    <r>
      <rPr>
        <b/>
        <sz val="11"/>
        <color theme="1"/>
        <rFont val="Times New Roman"/>
        <charset val="134"/>
      </rPr>
      <t xml:space="preserve">
Tồn kho (Pack)</t>
    </r>
  </si>
  <si>
    <r>
      <rPr>
        <b/>
        <sz val="11"/>
        <color theme="1"/>
        <rFont val="宋体"/>
        <charset val="134"/>
      </rPr>
      <t>箱</t>
    </r>
    <r>
      <rPr>
        <b/>
        <sz val="11"/>
        <color theme="1"/>
        <rFont val="Times New Roman"/>
        <charset val="134"/>
      </rPr>
      <t xml:space="preserve"> Thùng</t>
    </r>
  </si>
  <si>
    <r>
      <rPr>
        <b/>
        <sz val="11"/>
        <color theme="1"/>
        <rFont val="宋体"/>
        <charset val="134"/>
      </rPr>
      <t>盒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宋体"/>
        <charset val="134"/>
      </rPr>
      <t>箱</t>
    </r>
    <r>
      <rPr>
        <b/>
        <sz val="11"/>
        <color theme="1"/>
        <rFont val="Times New Roman"/>
        <charset val="134"/>
      </rPr>
      <t xml:space="preserve"> Hộp</t>
    </r>
  </si>
  <si>
    <r>
      <rPr>
        <b/>
        <sz val="11"/>
        <color theme="1"/>
        <rFont val="宋体"/>
        <charset val="134"/>
      </rPr>
      <t>包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宋体"/>
        <charset val="134"/>
      </rPr>
      <t>盒</t>
    </r>
    <r>
      <rPr>
        <b/>
        <sz val="11"/>
        <color theme="1"/>
        <rFont val="Times New Roman"/>
        <charset val="134"/>
      </rPr>
      <t xml:space="preserve"> Pack</t>
    </r>
  </si>
  <si>
    <r>
      <rPr>
        <b/>
        <sz val="11"/>
        <color theme="1"/>
        <rFont val="宋体"/>
        <charset val="134"/>
      </rPr>
      <t>总包数</t>
    </r>
    <r>
      <rPr>
        <b/>
        <sz val="11"/>
        <color theme="1"/>
        <rFont val="Times New Roman"/>
        <charset val="134"/>
      </rPr>
      <t xml:space="preserve"> Tổng pack</t>
    </r>
  </si>
  <si>
    <r>
      <rPr>
        <sz val="11"/>
        <color theme="1"/>
        <rFont val="Times New Roman"/>
        <charset val="134"/>
      </rPr>
      <t>G</t>
    </r>
    <r>
      <rPr>
        <sz val="11"/>
        <color theme="1"/>
        <rFont val="宋体"/>
        <charset val="134"/>
      </rPr>
      <t>层仓库</t>
    </r>
  </si>
  <si>
    <t>2025.10.15</t>
  </si>
  <si>
    <t>2025.10.17</t>
  </si>
  <si>
    <t>2025.10.19</t>
  </si>
  <si>
    <t>2025.11.05</t>
  </si>
  <si>
    <t>Dũng 阿勇</t>
  </si>
  <si>
    <t>2025.11.25</t>
  </si>
  <si>
    <t>Hoàng 范范</t>
  </si>
  <si>
    <t>2025.12.04</t>
  </si>
  <si>
    <t>2025.12.08</t>
  </si>
  <si>
    <t>2025.12.12</t>
  </si>
  <si>
    <t>2025.12.19</t>
  </si>
  <si>
    <r>
      <rPr>
        <b/>
        <sz val="11"/>
        <color theme="1"/>
        <rFont val="宋体"/>
        <charset val="134"/>
      </rPr>
      <t>英文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宋体"/>
        <charset val="134"/>
      </rPr>
      <t>越文名</t>
    </r>
    <r>
      <rPr>
        <b/>
        <sz val="11"/>
        <color theme="1"/>
        <rFont val="Times New Roman"/>
        <charset val="134"/>
      </rPr>
      <t xml:space="preserve"> 
Tên tiếng Việt</t>
    </r>
  </si>
  <si>
    <r>
      <rPr>
        <b/>
        <sz val="11"/>
        <color theme="1"/>
        <rFont val="宋体"/>
        <charset val="134"/>
      </rPr>
      <t>数量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宋体"/>
        <charset val="134"/>
      </rPr>
      <t>盒</t>
    </r>
    <r>
      <rPr>
        <b/>
        <sz val="11"/>
        <color theme="1"/>
        <rFont val="Times New Roman"/>
        <charset val="134"/>
      </rPr>
      <t xml:space="preserve">
SL (Hộp)</t>
    </r>
  </si>
  <si>
    <r>
      <rPr>
        <b/>
        <sz val="11"/>
        <color rgb="FF000000"/>
        <rFont val="宋体"/>
        <charset val="134"/>
      </rPr>
      <t>整盒包数</t>
    </r>
    <r>
      <rPr>
        <b/>
        <sz val="11"/>
        <color rgb="FF000000"/>
        <rFont val="Times New Roman"/>
        <charset val="134"/>
      </rPr>
      <t xml:space="preserve">
SL (Pack/Tổng hộp)</t>
    </r>
  </si>
  <si>
    <r>
      <rPr>
        <b/>
        <sz val="11"/>
        <color theme="1"/>
        <rFont val="宋体"/>
        <charset val="134"/>
      </rPr>
      <t>零散包数</t>
    </r>
    <r>
      <rPr>
        <b/>
        <sz val="11"/>
        <color theme="1"/>
        <rFont val="Times New Roman"/>
        <charset val="134"/>
      </rPr>
      <t xml:space="preserve">
Pack lẻ</t>
    </r>
  </si>
  <si>
    <r>
      <rPr>
        <b/>
        <sz val="11"/>
        <color theme="1"/>
        <rFont val="宋体"/>
        <charset val="134"/>
      </rPr>
      <t>主播</t>
    </r>
    <r>
      <rPr>
        <b/>
        <sz val="11"/>
        <color theme="1"/>
        <rFont val="Times New Roman"/>
        <charset val="134"/>
      </rPr>
      <t xml:space="preserve">
Host</t>
    </r>
  </si>
  <si>
    <r>
      <rPr>
        <b/>
        <sz val="11"/>
        <color theme="1"/>
        <rFont val="宋体"/>
        <charset val="134"/>
      </rPr>
      <t>取货人</t>
    </r>
    <r>
      <rPr>
        <b/>
        <sz val="11"/>
        <color theme="1"/>
        <rFont val="Times New Roman"/>
        <charset val="134"/>
      </rPr>
      <t xml:space="preserve">
Người xuất</t>
    </r>
  </si>
  <si>
    <r>
      <rPr>
        <b/>
        <sz val="11"/>
        <color theme="1"/>
        <rFont val="宋体"/>
        <charset val="134"/>
      </rPr>
      <t>出库日期</t>
    </r>
    <r>
      <rPr>
        <b/>
        <sz val="11"/>
        <color theme="1"/>
        <rFont val="Times New Roman"/>
        <charset val="134"/>
      </rPr>
      <t xml:space="preserve">
Ngày xuất</t>
    </r>
  </si>
  <si>
    <r>
      <rPr>
        <b/>
        <sz val="11"/>
        <color theme="1"/>
        <rFont val="宋体"/>
        <charset val="134"/>
      </rPr>
      <t>时间</t>
    </r>
    <r>
      <rPr>
        <b/>
        <sz val="11"/>
        <color theme="1"/>
        <rFont val="Times New Roman"/>
        <charset val="134"/>
      </rPr>
      <t xml:space="preserve">
Thời gian</t>
    </r>
  </si>
  <si>
    <t>2025.10.16</t>
  </si>
  <si>
    <t>Thùy 阿锤</t>
  </si>
  <si>
    <t>Huệ 氏惠</t>
  </si>
  <si>
    <t>Trà My 茶梅</t>
  </si>
  <si>
    <t>Hà 小河</t>
  </si>
  <si>
    <t>Bội Anh 倍英</t>
  </si>
  <si>
    <t>Phương 小芳</t>
  </si>
  <si>
    <t>Tum 阿庄</t>
  </si>
  <si>
    <t>Như 小如</t>
  </si>
  <si>
    <t>Vi 小薇</t>
  </si>
  <si>
    <t>Hoàng Oanh黄莹</t>
  </si>
  <si>
    <t>Thành Đạt 成达</t>
  </si>
  <si>
    <t>Thanh 阿青</t>
  </si>
  <si>
    <t>Kiều Anh侨英</t>
  </si>
  <si>
    <t>2025.10.22</t>
  </si>
  <si>
    <t>2025.10.23</t>
  </si>
  <si>
    <t>2025.10.24</t>
  </si>
  <si>
    <t>2025.10.25</t>
  </si>
  <si>
    <t>2025.10.26</t>
  </si>
  <si>
    <t>2025.10.28</t>
  </si>
  <si>
    <t>2025.10.27</t>
  </si>
  <si>
    <t>2025.10.29</t>
  </si>
  <si>
    <t>Trường vũ 长宇</t>
  </si>
  <si>
    <t>2025.10.30</t>
  </si>
  <si>
    <t>2025.10.31</t>
  </si>
  <si>
    <t>2025.11.1</t>
  </si>
  <si>
    <t>2025.10.18</t>
  </si>
  <si>
    <t>1/11/2025</t>
  </si>
  <si>
    <t>2/11/2025</t>
  </si>
  <si>
    <t>4/11/2025</t>
  </si>
  <si>
    <t>5/11/2025</t>
  </si>
  <si>
    <t>19/10/2025</t>
  </si>
  <si>
    <t>05/11/2025</t>
  </si>
  <si>
    <t>6/11/2025</t>
  </si>
  <si>
    <t>7/11/2025</t>
  </si>
  <si>
    <t>6/11/2026</t>
  </si>
  <si>
    <t>8/11/2025</t>
  </si>
  <si>
    <t>22/10/2025</t>
  </si>
  <si>
    <t>23/10/2025</t>
  </si>
  <si>
    <t>8/11/2026</t>
  </si>
  <si>
    <t>8/11/2027</t>
  </si>
  <si>
    <t>9/11/2025</t>
  </si>
  <si>
    <t>11/11/2025</t>
  </si>
  <si>
    <t>12/11/2025</t>
  </si>
  <si>
    <t>Nhật Linh 日琳</t>
  </si>
  <si>
    <t>13/11/2025</t>
  </si>
  <si>
    <t>14/11/2025</t>
  </si>
  <si>
    <t>Thu Trang 秋妆</t>
  </si>
  <si>
    <t>15/11/2025</t>
  </si>
  <si>
    <t>16/11/2025</t>
  </si>
  <si>
    <t>18/11/2025</t>
  </si>
  <si>
    <t>19/11/2025</t>
  </si>
  <si>
    <t>16/10/2025</t>
  </si>
  <si>
    <t>20/11/2025</t>
  </si>
  <si>
    <t>21/11/2025</t>
  </si>
  <si>
    <t>22/11/2025</t>
  </si>
  <si>
    <t>Bảo Ngọc 宝玉</t>
  </si>
  <si>
    <t>23/11/2025</t>
  </si>
  <si>
    <t>25/11/2025</t>
  </si>
  <si>
    <t>26/11/2025</t>
  </si>
  <si>
    <t>27/11/2025</t>
  </si>
  <si>
    <t>28/11/2025</t>
  </si>
  <si>
    <t>29/11/2025</t>
  </si>
  <si>
    <t>29/11/20/25</t>
  </si>
  <si>
    <t>30/11/2025</t>
  </si>
  <si>
    <t>1/12/2025</t>
  </si>
  <si>
    <t>2/12/2025</t>
  </si>
  <si>
    <t>20/112025</t>
  </si>
  <si>
    <t>3/12/2025</t>
  </si>
  <si>
    <t>4/12/2025</t>
  </si>
  <si>
    <t>5/12/2025</t>
  </si>
  <si>
    <t>6/12/2025</t>
  </si>
  <si>
    <t>7/12/2025</t>
  </si>
  <si>
    <t>9/12/2025</t>
  </si>
  <si>
    <t>10/12/2025</t>
  </si>
  <si>
    <t>11/12/2025</t>
  </si>
  <si>
    <t>12/12/2025</t>
  </si>
  <si>
    <t>13/12/2025</t>
  </si>
  <si>
    <t>Tú phượng 苏凤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</si>
  <si>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</si>
  <si>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</si>
  <si>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</si>
  <si>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</si>
  <si>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</si>
  <si>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</si>
  <si>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</si>
  <si>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</si>
  <si>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</si>
  <si>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</si>
  <si>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</si>
  <si>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</si>
  <si>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</si>
  <si>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</si>
  <si>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my note rồi</t>
  </si>
  <si>
    <t>28/12/2025</t>
  </si>
  <si>
    <t>29/12/2025</t>
  </si>
  <si>
    <t>30/12/2025</t>
  </si>
  <si>
    <t>31/12/2025</t>
  </si>
  <si>
    <t>02/01/2026</t>
  </si>
  <si>
    <t>03/01/2026</t>
  </si>
  <si>
    <t>04/01/2026</t>
  </si>
  <si>
    <t>数量/盒
SL hộp</t>
  </si>
  <si>
    <r>
      <rPr>
        <b/>
        <sz val="11"/>
        <color rgb="FF000000"/>
        <rFont val="宋体"/>
        <charset val="134"/>
      </rPr>
      <t>整盒包数</t>
    </r>
    <r>
      <rPr>
        <b/>
        <sz val="11"/>
        <color rgb="FF000000"/>
        <rFont val="Times New Roman"/>
        <charset val="134"/>
      </rPr>
      <t xml:space="preserve">
SL (Pack/Tổng Hộp)</t>
    </r>
  </si>
  <si>
    <r>
      <rPr>
        <b/>
        <sz val="11"/>
        <color rgb="FF000000"/>
        <rFont val="宋体"/>
        <charset val="134"/>
      </rPr>
      <t>主播</t>
    </r>
    <r>
      <rPr>
        <b/>
        <sz val="11"/>
        <color rgb="FF000000"/>
        <rFont val="Times New Roman"/>
        <charset val="134"/>
      </rPr>
      <t xml:space="preserve">
Từ Host</t>
    </r>
  </si>
  <si>
    <r>
      <rPr>
        <b/>
        <sz val="11"/>
        <color theme="1"/>
        <rFont val="宋体"/>
        <charset val="134"/>
      </rPr>
      <t>登记人</t>
    </r>
    <r>
      <rPr>
        <b/>
        <sz val="11"/>
        <color theme="1"/>
        <rFont val="Times New Roman"/>
        <charset val="134"/>
      </rPr>
      <t xml:space="preserve">
Người hoàn</t>
    </r>
  </si>
  <si>
    <r>
      <rPr>
        <b/>
        <sz val="11"/>
        <color theme="1"/>
        <rFont val="宋体"/>
        <charset val="134"/>
      </rPr>
      <t>回库日期</t>
    </r>
    <r>
      <rPr>
        <b/>
        <sz val="11"/>
        <color theme="1"/>
        <rFont val="Times New Roman"/>
        <charset val="134"/>
      </rPr>
      <t xml:space="preserve">
Ngày hoàn</t>
    </r>
  </si>
  <si>
    <r>
      <rPr>
        <b/>
        <sz val="11"/>
        <color theme="1"/>
        <rFont val="宋体"/>
        <charset val="134"/>
      </rPr>
      <t>回库时间</t>
    </r>
    <r>
      <rPr>
        <b/>
        <sz val="11"/>
        <color theme="1"/>
        <rFont val="Times New Roman"/>
        <charset val="134"/>
      </rPr>
      <t xml:space="preserve">
Thời gian</t>
    </r>
  </si>
  <si>
    <t>24/10/2025</t>
  </si>
  <si>
    <t>25/10/2025</t>
  </si>
  <si>
    <t>26/10/2025</t>
  </si>
  <si>
    <t>26/10/2026</t>
  </si>
  <si>
    <t>25/10/2026</t>
  </si>
  <si>
    <t>27/10/2025</t>
  </si>
  <si>
    <t>28/10/2025</t>
  </si>
  <si>
    <t>29/10/2025</t>
  </si>
  <si>
    <t>31/10/2025</t>
  </si>
  <si>
    <t>02/11/2025</t>
  </si>
  <si>
    <t>3/11/2025</t>
  </si>
  <si>
    <t>9/11/2026</t>
  </si>
  <si>
    <t>30/11/20/25</t>
  </si>
  <si>
    <r>
      <rPr>
        <b/>
        <sz val="11"/>
        <color rgb="FF000000"/>
        <rFont val="汉仪书宋二KW"/>
        <charset val="134"/>
      </rPr>
      <t>数量</t>
    </r>
    <r>
      <rPr>
        <b/>
        <sz val="11"/>
        <color rgb="FF000000"/>
        <rFont val="Times New Roman"/>
        <charset val="134"/>
      </rPr>
      <t>/</t>
    </r>
    <r>
      <rPr>
        <b/>
        <sz val="11"/>
        <color rgb="FF000000"/>
        <rFont val="汉仪书宋二KW"/>
        <charset val="134"/>
      </rPr>
      <t>盒</t>
    </r>
    <r>
      <rPr>
        <b/>
        <sz val="11"/>
        <color rgb="FF000000"/>
        <rFont val="Times New Roman"/>
        <charset val="134"/>
      </rPr>
      <t xml:space="preserve">
SL hộp</t>
    </r>
  </si>
  <si>
    <r>
      <rPr>
        <b/>
        <sz val="11"/>
        <color rgb="FF000000"/>
        <rFont val="宋体"/>
        <charset val="134"/>
      </rPr>
      <t>从主播</t>
    </r>
    <r>
      <rPr>
        <b/>
        <sz val="11"/>
        <color rgb="FF000000"/>
        <rFont val="Times New Roman"/>
        <charset val="134"/>
      </rPr>
      <t xml:space="preserve">
Từ Host</t>
    </r>
  </si>
  <si>
    <t>到主播
Tới Host</t>
  </si>
  <si>
    <r>
      <rPr>
        <b/>
        <sz val="11"/>
        <color rgb="FF000000"/>
        <rFont val="宋体"/>
        <charset val="134"/>
      </rPr>
      <t>登记人</t>
    </r>
    <r>
      <rPr>
        <b/>
        <sz val="11"/>
        <color rgb="FF000000"/>
        <rFont val="Times New Roman"/>
        <charset val="134"/>
      </rPr>
      <t xml:space="preserve">
Người điều</t>
    </r>
  </si>
  <si>
    <r>
      <rPr>
        <b/>
        <sz val="11"/>
        <color rgb="FF000000"/>
        <rFont val="宋体"/>
        <charset val="134"/>
      </rPr>
      <t>调货日期</t>
    </r>
    <r>
      <rPr>
        <b/>
        <sz val="11"/>
        <color rgb="FF000000"/>
        <rFont val="Times New Roman"/>
        <charset val="134"/>
      </rPr>
      <t xml:space="preserve">
Ngày điều</t>
    </r>
  </si>
  <si>
    <r>
      <rPr>
        <b/>
        <sz val="11"/>
        <color rgb="FF000000"/>
        <rFont val="宋体"/>
        <charset val="134"/>
      </rPr>
      <t>调货时间</t>
    </r>
    <r>
      <rPr>
        <b/>
        <sz val="11"/>
        <color rgb="FF000000"/>
        <rFont val="Times New Roman"/>
        <charset val="134"/>
      </rPr>
      <t xml:space="preserve">
Thời gian điều</t>
    </r>
  </si>
  <si>
    <t>23/12/2026</t>
  </si>
  <si>
    <r>
      <rPr>
        <b/>
        <sz val="11"/>
        <color theme="1"/>
        <rFont val="宋体"/>
        <charset val="134"/>
      </rPr>
      <t>日期</t>
    </r>
    <r>
      <rPr>
        <b/>
        <sz val="11"/>
        <color theme="1"/>
        <rFont val="Times New Roman"/>
        <charset val="134"/>
      </rPr>
      <t xml:space="preserve">
Ngày</t>
    </r>
  </si>
  <si>
    <r>
      <rPr>
        <b/>
        <sz val="11"/>
        <color theme="1"/>
        <rFont val="宋体"/>
        <charset val="134"/>
      </rPr>
      <t>运营</t>
    </r>
    <r>
      <rPr>
        <b/>
        <sz val="11"/>
        <color theme="1"/>
        <rFont val="Times New Roman"/>
        <charset val="134"/>
      </rPr>
      <t xml:space="preserve">
Vận hành</t>
    </r>
  </si>
  <si>
    <r>
      <rPr>
        <b/>
        <sz val="11"/>
        <color theme="1"/>
        <rFont val="宋体"/>
        <charset val="134"/>
      </rPr>
      <t>拿货盒数</t>
    </r>
    <r>
      <rPr>
        <b/>
        <sz val="11"/>
        <color theme="1"/>
        <rFont val="Times New Roman"/>
        <charset val="134"/>
      </rPr>
      <t xml:space="preserve">
SL lấy (hộp)</t>
    </r>
  </si>
  <si>
    <r>
      <rPr>
        <b/>
        <sz val="11"/>
        <color theme="1"/>
        <rFont val="宋体"/>
        <charset val="134"/>
      </rPr>
      <t>拿货包数</t>
    </r>
    <r>
      <rPr>
        <b/>
        <sz val="11"/>
        <color theme="1"/>
        <rFont val="Times New Roman"/>
        <charset val="134"/>
      </rPr>
      <t xml:space="preserve">
SL lấy (pack)</t>
    </r>
  </si>
  <si>
    <t xml:space="preserve">销售数量
SL tiêu thụ </t>
  </si>
  <si>
    <r>
      <rPr>
        <b/>
        <sz val="11"/>
        <color theme="1"/>
        <rFont val="宋体"/>
        <charset val="134"/>
      </rPr>
      <t>回库包数</t>
    </r>
    <r>
      <rPr>
        <b/>
        <sz val="11"/>
        <color theme="1"/>
        <rFont val="Times New Roman"/>
        <charset val="134"/>
      </rPr>
      <t xml:space="preserve">
SL hoàn (pack)</t>
    </r>
  </si>
  <si>
    <t>直播间调货
Điều hàng</t>
  </si>
  <si>
    <r>
      <rPr>
        <b/>
        <sz val="11"/>
        <color theme="1"/>
        <rFont val="宋体"/>
        <charset val="134"/>
      </rPr>
      <t>主播未回包数合计</t>
    </r>
    <r>
      <rPr>
        <b/>
        <sz val="11"/>
        <color theme="1"/>
        <rFont val="Times New Roman"/>
        <charset val="134"/>
      </rPr>
      <t xml:space="preserve">
SL còn lại của host</t>
    </r>
  </si>
  <si>
    <t>SKU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</si>
</sst>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;@"/>
    <numFmt numFmtId="177" formatCode="0.0"/>
  </numFmts>
  <fonts count="3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1"/>
      <color rgb="FF000000"/>
      <name val="宋体"/>
      <charset val="134"/>
    </font>
    <font>
      <b/>
      <sz val="12"/>
      <color theme="0"/>
      <name val="Times New Roman"/>
      <charset val="134"/>
    </font>
    <font>
      <sz val="10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微软雅黑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汉仪书宋二KW"/>
      <charset val="134"/>
    </font>
    <font>
      <sz val="11"/>
      <color theme="1"/>
      <name val="DengXian"/>
      <charset val="134"/>
    </font>
    <font>
      <b/>
      <sz val="12"/>
      <color theme="0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double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double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auto="1"/>
      </right>
      <top style="thin">
        <color auto="1"/>
      </top>
      <bottom style="double">
        <color rgb="FF000000"/>
      </bottom>
      <diagonal/>
    </border>
    <border>
      <left style="thin">
        <color auto="1"/>
      </left>
      <right style="thin">
        <color auto="1"/>
      </right>
      <top style="double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7" borderId="3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1" applyNumberFormat="0" applyFill="0" applyAlignment="0" applyProtection="0">
      <alignment vertical="center"/>
    </xf>
    <xf numFmtId="0" fontId="14" fillId="0" borderId="31" applyNumberFormat="0" applyFill="0" applyAlignment="0" applyProtection="0">
      <alignment vertical="center"/>
    </xf>
    <xf numFmtId="0" fontId="15" fillId="0" borderId="3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7" fillId="11" borderId="34" applyNumberFormat="0" applyAlignment="0" applyProtection="0">
      <alignment vertical="center"/>
    </xf>
    <xf numFmtId="0" fontId="18" fillId="11" borderId="33" applyNumberFormat="0" applyAlignment="0" applyProtection="0">
      <alignment vertical="center"/>
    </xf>
    <xf numFmtId="0" fontId="19" fillId="19" borderId="35" applyNumberFormat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</cellStyleXfs>
  <cellXfs count="17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1" fillId="2" borderId="11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12" borderId="12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3" borderId="7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20" fontId="1" fillId="0" borderId="7" xfId="0" applyNumberFormat="1" applyFont="1" applyBorder="1" applyAlignment="1" applyProtection="1">
      <alignment horizontal="center" vertical="center"/>
      <protection locked="0"/>
    </xf>
    <xf numFmtId="20" fontId="1" fillId="0" borderId="7" xfId="0" applyNumberFormat="1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Protection="1">
      <alignment vertical="center"/>
      <protection locked="0"/>
    </xf>
    <xf numFmtId="0" fontId="5" fillId="0" borderId="1" xfId="0" applyFont="1" applyBorder="1" applyAlignment="1">
      <alignment horizontal="center" vertical="center" wrapText="1"/>
    </xf>
    <xf numFmtId="20" fontId="1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0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7" xfId="0" applyNumberFormat="1" applyFont="1" applyBorder="1" applyAlignment="1" applyProtection="1">
      <alignment horizontal="center" vertical="center"/>
    </xf>
    <xf numFmtId="0" fontId="4" fillId="0" borderId="0" xfId="0" applyNumberFormat="1" applyFont="1" applyAlignment="1">
      <alignment horizontal="center" vertical="center"/>
    </xf>
    <xf numFmtId="20" fontId="1" fillId="0" borderId="6" xfId="0" applyNumberFormat="1" applyFont="1" applyBorder="1" applyAlignment="1">
      <alignment horizontal="center" vertical="center"/>
    </xf>
    <xf numFmtId="20" fontId="1" fillId="0" borderId="2" xfId="0" applyNumberFormat="1" applyFont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center" wrapText="1"/>
    </xf>
    <xf numFmtId="176" fontId="1" fillId="0" borderId="7" xfId="0" applyNumberFormat="1" applyFont="1" applyBorder="1" applyAlignment="1">
      <alignment horizontal="center" vertical="center"/>
    </xf>
    <xf numFmtId="20" fontId="4" fillId="0" borderId="7" xfId="0" applyNumberFormat="1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58" fontId="4" fillId="0" borderId="7" xfId="0" applyNumberFormat="1" applyFont="1" applyBorder="1" applyAlignment="1">
      <alignment horizontal="center" vertical="center"/>
    </xf>
    <xf numFmtId="0" fontId="0" fillId="0" borderId="7" xfId="0" applyBorder="1" applyProtection="1">
      <alignment vertical="center"/>
    </xf>
    <xf numFmtId="0" fontId="0" fillId="0" borderId="7" xfId="0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16" borderId="7" xfId="0" applyFont="1" applyFill="1" applyBorder="1" applyAlignment="1">
      <alignment horizontal="center" vertical="center"/>
    </xf>
    <xf numFmtId="0" fontId="4" fillId="16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9675" dbFileVersion="0">
    <open main="288" threadCnt="1"/>
    <sheetInfos>
      <sheetInfo cellCmpFml="0" sheetStid="1">
        <open main="2" threadCnt="1"/>
      </sheetInfo>
      <sheetInfo cellCmpFml="819" sheetStid="2">
        <open main="19" threadCnt="1"/>
      </sheetInfo>
      <sheetInfo cellCmpFml="2755" sheetStid="3">
        <open main="53" threadCnt="1"/>
      </sheetInfo>
      <sheetInfo cellCmpFml="862" sheetStid="4">
        <open main="22" threadCnt="1"/>
      </sheetInfo>
      <sheetInfo cellCmpFml="1487" sheetStid="8">
        <open main="31" threadCnt="1"/>
      </sheetInfo>
      <sheetInfo cellCmpFml="3752" sheetStid="6">
        <open main="104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www.wps.cn/officeDocument/2023/relationships/woinfos" Target="woinfos.xml"/><Relationship Id="rId14" Type="http://schemas.openxmlformats.org/officeDocument/2006/relationships/styles" Target="styles.xml"/><Relationship Id="rId13" Type="http://schemas.openxmlformats.org/officeDocument/2006/relationships/customXml" Target="../customXml/item3.xml"/><Relationship Id="rId12" Type="http://schemas.openxmlformats.org/officeDocument/2006/relationships/customXml" Target="../customXml/item2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3"/>
  <sheetViews>
    <sheetView topLeftCell="A286" workbookViewId="0">
      <selection activeCell="A286" sqref="A286:J286"/>
    </sheetView>
  </sheetViews>
  <sheetFormatPr defaultColWidth="8.70833333333333" defaultRowHeight="15"/>
  <cols>
    <col min="1" max="1" width="44.75" style="1" customWidth="1"/>
    <col min="2" max="2" width="72.875" style="1" customWidth="1"/>
    <col min="3" max="3" width="19.425" style="1" customWidth="1"/>
    <col min="4" max="4" width="15.425" style="1" customWidth="1"/>
    <col min="5" max="5" width="14.5666666666667" style="1" customWidth="1"/>
    <col min="6" max="6" width="18.5666666666667" style="1" customWidth="1"/>
    <col min="7" max="7" width="16.8583333333333" style="1" customWidth="1"/>
    <col min="8" max="9" width="11" style="1" customWidth="1"/>
    <col min="10" max="10" width="8.70833333333333" style="2"/>
    <col min="11" max="13" width="15.875" style="1" customWidth="1"/>
    <col min="14" max="16384" width="8.70833333333333" style="1"/>
  </cols>
  <sheetData>
    <row r="1" ht="21" customHeight="1" spans="1:13">
      <c r="A1" s="166" t="s">
        <v>0</v>
      </c>
      <c r="B1" s="166" t="s">
        <v>1</v>
      </c>
      <c r="C1" s="166" t="s">
        <v>2</v>
      </c>
      <c r="D1" s="166" t="s">
        <v>3</v>
      </c>
      <c r="E1" s="166" t="s">
        <v>4</v>
      </c>
      <c r="F1" s="166" t="s">
        <v>5</v>
      </c>
      <c r="G1" s="166" t="s">
        <v>6</v>
      </c>
      <c r="H1" s="166" t="s">
        <v>7</v>
      </c>
      <c r="I1" s="166" t="s">
        <v>8</v>
      </c>
      <c r="J1" s="1"/>
      <c r="K1" s="166" t="s">
        <v>9</v>
      </c>
      <c r="L1" s="166" t="s">
        <v>10</v>
      </c>
      <c r="M1" s="166" t="s">
        <v>11</v>
      </c>
    </row>
    <row r="2" spans="1:13">
      <c r="A2" s="6" t="s">
        <v>12</v>
      </c>
      <c r="B2" s="10" t="s">
        <v>13</v>
      </c>
      <c r="C2" s="6">
        <v>10001</v>
      </c>
      <c r="D2" s="6" t="s">
        <v>14</v>
      </c>
      <c r="E2" s="10" t="s">
        <v>15</v>
      </c>
      <c r="F2" s="6">
        <v>50</v>
      </c>
      <c r="G2" s="6">
        <v>1</v>
      </c>
      <c r="H2" s="6"/>
      <c r="I2" s="6"/>
      <c r="J2" s="1"/>
      <c r="K2" s="1" t="s">
        <v>16</v>
      </c>
      <c r="L2" s="1" t="s">
        <v>17</v>
      </c>
      <c r="M2" s="1" t="s">
        <v>14</v>
      </c>
    </row>
    <row r="3" spans="1:13">
      <c r="A3" s="6" t="s">
        <v>18</v>
      </c>
      <c r="B3" s="10" t="s">
        <v>19</v>
      </c>
      <c r="C3" s="6">
        <v>10002</v>
      </c>
      <c r="D3" s="6" t="s">
        <v>20</v>
      </c>
      <c r="E3" s="6" t="s">
        <v>21</v>
      </c>
      <c r="F3" s="6">
        <v>36</v>
      </c>
      <c r="G3" s="6">
        <v>13</v>
      </c>
      <c r="H3" s="6"/>
      <c r="I3" s="6"/>
      <c r="J3" s="1"/>
      <c r="K3" s="1" t="s">
        <v>22</v>
      </c>
      <c r="L3" s="1" t="s">
        <v>23</v>
      </c>
      <c r="M3" s="1" t="s">
        <v>20</v>
      </c>
    </row>
    <row r="4" ht="16.5" spans="1:13">
      <c r="A4" s="6" t="s">
        <v>24</v>
      </c>
      <c r="B4" s="167" t="s">
        <v>25</v>
      </c>
      <c r="C4" s="6">
        <v>10003</v>
      </c>
      <c r="D4" s="6" t="s">
        <v>20</v>
      </c>
      <c r="E4" s="167" t="s">
        <v>26</v>
      </c>
      <c r="F4" s="6">
        <v>36</v>
      </c>
      <c r="G4" s="6">
        <v>13</v>
      </c>
      <c r="H4" s="6"/>
      <c r="I4" s="6"/>
      <c r="J4" s="1"/>
      <c r="K4" s="1" t="s">
        <v>27</v>
      </c>
      <c r="L4" s="1" t="s">
        <v>28</v>
      </c>
      <c r="M4" s="1" t="s">
        <v>29</v>
      </c>
    </row>
    <row r="5" spans="1:13">
      <c r="A5" s="6" t="s">
        <v>30</v>
      </c>
      <c r="B5" s="6" t="s">
        <v>31</v>
      </c>
      <c r="C5" s="6">
        <v>10004</v>
      </c>
      <c r="D5" s="6" t="s">
        <v>20</v>
      </c>
      <c r="E5" s="6" t="s">
        <v>32</v>
      </c>
      <c r="F5" s="6">
        <v>180</v>
      </c>
      <c r="G5" s="6">
        <v>1</v>
      </c>
      <c r="H5" s="6"/>
      <c r="I5" s="6"/>
      <c r="J5" s="1"/>
      <c r="K5" s="1" t="s">
        <v>33</v>
      </c>
      <c r="L5" s="1" t="s">
        <v>34</v>
      </c>
      <c r="M5" s="1" t="s">
        <v>35</v>
      </c>
    </row>
    <row r="6" spans="1:13">
      <c r="A6" s="6" t="s">
        <v>36</v>
      </c>
      <c r="B6" s="6" t="s">
        <v>37</v>
      </c>
      <c r="C6" s="6">
        <v>10005</v>
      </c>
      <c r="D6" s="6" t="s">
        <v>38</v>
      </c>
      <c r="E6" s="6" t="s">
        <v>39</v>
      </c>
      <c r="F6" s="6">
        <v>100</v>
      </c>
      <c r="G6" s="6">
        <v>1</v>
      </c>
      <c r="H6" s="6"/>
      <c r="I6" s="6"/>
      <c r="J6" s="1"/>
      <c r="K6" s="1" t="s">
        <v>40</v>
      </c>
      <c r="L6" s="1" t="s">
        <v>41</v>
      </c>
      <c r="M6" s="1" t="s">
        <v>42</v>
      </c>
    </row>
    <row r="7" spans="1:13">
      <c r="A7" s="6" t="s">
        <v>43</v>
      </c>
      <c r="B7" s="6" t="s">
        <v>44</v>
      </c>
      <c r="C7" s="6">
        <v>10006</v>
      </c>
      <c r="D7" s="6" t="s">
        <v>20</v>
      </c>
      <c r="E7" s="6" t="s">
        <v>45</v>
      </c>
      <c r="F7" s="6">
        <v>36</v>
      </c>
      <c r="G7" s="6">
        <v>13</v>
      </c>
      <c r="H7" s="6"/>
      <c r="I7" s="6"/>
      <c r="J7" s="1"/>
      <c r="K7" s="1" t="s">
        <v>46</v>
      </c>
      <c r="L7" s="1" t="s">
        <v>47</v>
      </c>
      <c r="M7" s="1" t="s">
        <v>48</v>
      </c>
    </row>
    <row r="8" spans="1:13">
      <c r="A8" s="6" t="s">
        <v>49</v>
      </c>
      <c r="B8" s="6" t="s">
        <v>50</v>
      </c>
      <c r="C8" s="6">
        <v>10007</v>
      </c>
      <c r="D8" s="6" t="s">
        <v>20</v>
      </c>
      <c r="E8" s="6" t="s">
        <v>51</v>
      </c>
      <c r="F8" s="6">
        <v>36</v>
      </c>
      <c r="G8" s="6">
        <v>13</v>
      </c>
      <c r="H8" s="6"/>
      <c r="I8" s="6"/>
      <c r="J8" s="1"/>
      <c r="K8" s="1" t="s">
        <v>52</v>
      </c>
      <c r="L8" s="135" t="s">
        <v>53</v>
      </c>
      <c r="M8" s="135" t="s">
        <v>54</v>
      </c>
    </row>
    <row r="9" spans="1:13">
      <c r="A9" s="6" t="s">
        <v>55</v>
      </c>
      <c r="B9" s="6" t="s">
        <v>56</v>
      </c>
      <c r="C9" s="6">
        <v>10008</v>
      </c>
      <c r="D9" s="6" t="s">
        <v>20</v>
      </c>
      <c r="E9" s="6" t="s">
        <v>57</v>
      </c>
      <c r="F9" s="168">
        <v>36</v>
      </c>
      <c r="G9" s="168">
        <v>10</v>
      </c>
      <c r="H9" s="6"/>
      <c r="I9" s="6"/>
      <c r="J9" s="1"/>
      <c r="K9" s="1" t="s">
        <v>58</v>
      </c>
      <c r="L9" s="105" t="s">
        <v>59</v>
      </c>
      <c r="M9" s="135" t="s">
        <v>60</v>
      </c>
    </row>
    <row r="10" spans="1:13">
      <c r="A10" s="6" t="s">
        <v>61</v>
      </c>
      <c r="B10" s="6" t="s">
        <v>62</v>
      </c>
      <c r="C10" s="6">
        <v>10009</v>
      </c>
      <c r="D10" s="6" t="s">
        <v>20</v>
      </c>
      <c r="E10" s="6" t="s">
        <v>63</v>
      </c>
      <c r="F10" s="6">
        <v>24</v>
      </c>
      <c r="G10" s="6">
        <v>10</v>
      </c>
      <c r="H10" s="6"/>
      <c r="I10" s="6"/>
      <c r="J10" s="1"/>
      <c r="K10" s="1" t="s">
        <v>64</v>
      </c>
      <c r="L10" s="135" t="s">
        <v>65</v>
      </c>
    </row>
    <row r="11" spans="1:13">
      <c r="A11" s="6" t="s">
        <v>66</v>
      </c>
      <c r="B11" s="6" t="s">
        <v>67</v>
      </c>
      <c r="C11" s="6">
        <v>10010</v>
      </c>
      <c r="D11" s="6" t="s">
        <v>20</v>
      </c>
      <c r="E11" s="6" t="s">
        <v>68</v>
      </c>
      <c r="F11" s="6">
        <v>36</v>
      </c>
      <c r="G11" s="6">
        <v>13</v>
      </c>
      <c r="H11" s="6"/>
      <c r="I11" s="6"/>
      <c r="J11" s="1"/>
      <c r="K11" s="135" t="s">
        <v>69</v>
      </c>
      <c r="L11" s="135" t="s">
        <v>70</v>
      </c>
    </row>
    <row r="12" spans="1:13">
      <c r="A12" s="6" t="s">
        <v>71</v>
      </c>
      <c r="B12" s="6" t="s">
        <v>72</v>
      </c>
      <c r="C12" s="6">
        <v>10011</v>
      </c>
      <c r="D12" s="6" t="s">
        <v>20</v>
      </c>
      <c r="E12" s="6" t="s">
        <v>73</v>
      </c>
      <c r="F12" s="6">
        <v>36</v>
      </c>
      <c r="G12" s="6">
        <v>13</v>
      </c>
      <c r="H12" s="6"/>
      <c r="I12" s="6"/>
      <c r="J12" s="1"/>
      <c r="K12" s="135" t="s">
        <v>74</v>
      </c>
    </row>
    <row r="13" spans="1:13">
      <c r="A13" s="6" t="s">
        <v>75</v>
      </c>
      <c r="B13" s="6" t="s">
        <v>76</v>
      </c>
      <c r="C13" s="6">
        <v>10012</v>
      </c>
      <c r="D13" s="6" t="s">
        <v>20</v>
      </c>
      <c r="E13" s="6" t="s">
        <v>77</v>
      </c>
      <c r="F13" s="6">
        <v>48</v>
      </c>
      <c r="G13" s="6">
        <v>30</v>
      </c>
      <c r="H13" s="6"/>
      <c r="I13" s="6"/>
      <c r="J13" s="1"/>
      <c r="K13" s="105" t="s">
        <v>78</v>
      </c>
    </row>
    <row r="14" spans="1:13">
      <c r="A14" s="6" t="s">
        <v>79</v>
      </c>
      <c r="B14" s="6" t="s">
        <v>80</v>
      </c>
      <c r="C14" s="6">
        <v>10013</v>
      </c>
      <c r="D14" s="6" t="s">
        <v>20</v>
      </c>
      <c r="E14" s="6" t="s">
        <v>81</v>
      </c>
      <c r="F14" s="6">
        <v>36</v>
      </c>
      <c r="G14" s="6">
        <v>12</v>
      </c>
      <c r="H14" s="6"/>
      <c r="I14" s="6"/>
      <c r="J14" s="1"/>
      <c r="K14" s="105" t="s">
        <v>82</v>
      </c>
    </row>
    <row r="15" spans="1:13">
      <c r="A15" s="6" t="s">
        <v>83</v>
      </c>
      <c r="B15" s="6" t="s">
        <v>84</v>
      </c>
      <c r="C15" s="6">
        <v>10014</v>
      </c>
      <c r="D15" s="6" t="s">
        <v>29</v>
      </c>
      <c r="E15" s="6" t="s">
        <v>85</v>
      </c>
      <c r="F15" s="6">
        <v>100</v>
      </c>
      <c r="G15" s="6">
        <v>3</v>
      </c>
      <c r="H15" s="6"/>
      <c r="I15" s="6"/>
      <c r="J15" s="1"/>
      <c r="K15" s="105" t="s">
        <v>86</v>
      </c>
    </row>
    <row r="16" spans="1:13">
      <c r="A16" s="6" t="s">
        <v>87</v>
      </c>
      <c r="B16" s="6" t="s">
        <v>88</v>
      </c>
      <c r="C16" s="6">
        <v>10015</v>
      </c>
      <c r="D16" s="6" t="s">
        <v>20</v>
      </c>
      <c r="E16" s="6" t="s">
        <v>89</v>
      </c>
      <c r="F16" s="168">
        <v>36</v>
      </c>
      <c r="G16" s="168">
        <v>12</v>
      </c>
      <c r="H16" s="6"/>
      <c r="I16" s="6"/>
      <c r="J16" s="1"/>
      <c r="K16" s="105" t="s">
        <v>90</v>
      </c>
    </row>
    <row r="17" spans="1:11">
      <c r="A17" s="6" t="s">
        <v>91</v>
      </c>
      <c r="B17" s="6" t="s">
        <v>92</v>
      </c>
      <c r="C17" s="6">
        <v>10016</v>
      </c>
      <c r="D17" s="6" t="s">
        <v>20</v>
      </c>
      <c r="E17" s="6" t="s">
        <v>93</v>
      </c>
      <c r="F17" s="6">
        <v>36</v>
      </c>
      <c r="G17" s="6">
        <v>10</v>
      </c>
      <c r="H17" s="6"/>
      <c r="I17" s="6"/>
      <c r="J17" s="1"/>
      <c r="K17" s="105" t="s">
        <v>94</v>
      </c>
    </row>
    <row r="18" spans="1:11">
      <c r="A18" s="6" t="s">
        <v>95</v>
      </c>
      <c r="B18" s="6" t="s">
        <v>96</v>
      </c>
      <c r="C18" s="6">
        <v>10017</v>
      </c>
      <c r="D18" s="6" t="s">
        <v>20</v>
      </c>
      <c r="E18" s="6" t="s">
        <v>97</v>
      </c>
      <c r="F18" s="168">
        <v>36</v>
      </c>
      <c r="G18" s="168">
        <v>13</v>
      </c>
      <c r="H18" s="6"/>
      <c r="I18" s="6"/>
      <c r="J18" s="1"/>
      <c r="K18" s="135" t="s">
        <v>98</v>
      </c>
    </row>
    <row r="19" spans="1:11">
      <c r="A19" s="6" t="s">
        <v>99</v>
      </c>
      <c r="B19" s="6" t="s">
        <v>100</v>
      </c>
      <c r="C19" s="6">
        <v>10018</v>
      </c>
      <c r="D19" s="6" t="s">
        <v>20</v>
      </c>
      <c r="E19" s="6" t="s">
        <v>101</v>
      </c>
      <c r="F19" s="168">
        <v>36</v>
      </c>
      <c r="G19" s="168">
        <v>13</v>
      </c>
      <c r="H19" s="6"/>
      <c r="I19" s="6"/>
      <c r="J19" s="1"/>
      <c r="K19" s="135" t="s">
        <v>102</v>
      </c>
    </row>
    <row r="20" spans="1:11">
      <c r="A20" s="6" t="s">
        <v>103</v>
      </c>
      <c r="B20" s="6" t="s">
        <v>104</v>
      </c>
      <c r="C20" s="6">
        <v>10019</v>
      </c>
      <c r="D20" s="6" t="s">
        <v>35</v>
      </c>
      <c r="E20" s="6" t="s">
        <v>105</v>
      </c>
      <c r="F20" s="6">
        <v>150</v>
      </c>
      <c r="G20" s="6">
        <v>1</v>
      </c>
      <c r="H20" s="6"/>
      <c r="I20" s="6"/>
      <c r="J20" s="1"/>
      <c r="K20" s="135" t="s">
        <v>106</v>
      </c>
    </row>
    <row r="21" spans="1:11">
      <c r="A21" s="6" t="s">
        <v>107</v>
      </c>
      <c r="B21" s="6" t="s">
        <v>108</v>
      </c>
      <c r="C21" s="6">
        <v>10020</v>
      </c>
      <c r="D21" s="6" t="s">
        <v>20</v>
      </c>
      <c r="E21" s="6" t="s">
        <v>109</v>
      </c>
      <c r="F21" s="6">
        <v>36</v>
      </c>
      <c r="G21" s="6">
        <v>16</v>
      </c>
      <c r="H21" s="6"/>
      <c r="I21" s="6"/>
      <c r="J21" s="1"/>
      <c r="K21" s="135" t="s">
        <v>110</v>
      </c>
    </row>
    <row r="22" spans="1:11">
      <c r="A22" s="6" t="s">
        <v>111</v>
      </c>
      <c r="B22" s="6" t="s">
        <v>112</v>
      </c>
      <c r="C22" s="6">
        <v>10021</v>
      </c>
      <c r="D22" s="6" t="s">
        <v>42</v>
      </c>
      <c r="E22" s="6" t="s">
        <v>113</v>
      </c>
      <c r="F22" s="6">
        <v>25</v>
      </c>
      <c r="G22" s="6">
        <v>5</v>
      </c>
      <c r="H22" s="6"/>
      <c r="I22" s="6"/>
      <c r="J22" s="1"/>
      <c r="K22" s="105" t="s">
        <v>114</v>
      </c>
    </row>
    <row r="23" spans="1:11">
      <c r="A23" s="6" t="s">
        <v>115</v>
      </c>
      <c r="B23" s="6" t="s">
        <v>116</v>
      </c>
      <c r="C23" s="6">
        <v>10022</v>
      </c>
      <c r="D23" s="6" t="s">
        <v>14</v>
      </c>
      <c r="E23" s="6" t="s">
        <v>117</v>
      </c>
      <c r="F23" s="6">
        <v>8</v>
      </c>
      <c r="G23" s="6">
        <v>24</v>
      </c>
      <c r="H23" s="6"/>
      <c r="I23" s="6"/>
      <c r="J23" s="1"/>
      <c r="K23" s="105" t="s">
        <v>118</v>
      </c>
    </row>
    <row r="24" spans="1:11">
      <c r="A24" s="6" t="s">
        <v>119</v>
      </c>
      <c r="B24" s="6" t="s">
        <v>120</v>
      </c>
      <c r="C24" s="6">
        <v>10023</v>
      </c>
      <c r="D24" s="6" t="s">
        <v>42</v>
      </c>
      <c r="E24" s="6" t="s">
        <v>121</v>
      </c>
      <c r="F24" s="6">
        <v>100</v>
      </c>
      <c r="G24" s="6">
        <v>1</v>
      </c>
      <c r="H24" s="6"/>
      <c r="I24" s="6"/>
      <c r="J24" s="1"/>
      <c r="K24" s="169" t="s">
        <v>122</v>
      </c>
    </row>
    <row r="25" spans="1:11">
      <c r="A25" s="6" t="s">
        <v>123</v>
      </c>
      <c r="B25" s="6" t="s">
        <v>124</v>
      </c>
      <c r="C25" s="6">
        <v>10024</v>
      </c>
      <c r="D25" s="6" t="s">
        <v>35</v>
      </c>
      <c r="E25" s="6" t="s">
        <v>125</v>
      </c>
      <c r="F25" s="6">
        <v>50</v>
      </c>
      <c r="G25" s="6">
        <v>1</v>
      </c>
      <c r="H25" s="6"/>
      <c r="I25" s="6"/>
      <c r="J25" s="1"/>
      <c r="K25" s="169" t="s">
        <v>126</v>
      </c>
    </row>
    <row r="26" spans="1:11">
      <c r="A26" s="6" t="s">
        <v>127</v>
      </c>
      <c r="B26" s="6" t="s">
        <v>128</v>
      </c>
      <c r="C26" s="6">
        <v>10025</v>
      </c>
      <c r="D26" s="6" t="s">
        <v>29</v>
      </c>
      <c r="E26" s="6" t="s">
        <v>129</v>
      </c>
      <c r="F26" s="6">
        <v>300</v>
      </c>
      <c r="G26" s="6">
        <v>1</v>
      </c>
      <c r="H26" s="6"/>
      <c r="I26" s="6"/>
      <c r="J26" s="1"/>
      <c r="K26" s="105" t="s">
        <v>130</v>
      </c>
    </row>
    <row r="27" spans="1:11">
      <c r="A27" s="6" t="s">
        <v>131</v>
      </c>
      <c r="B27" s="6" t="s">
        <v>132</v>
      </c>
      <c r="C27" s="6">
        <v>10026</v>
      </c>
      <c r="D27" s="6" t="s">
        <v>35</v>
      </c>
      <c r="E27" s="6" t="s">
        <v>133</v>
      </c>
      <c r="F27" s="6">
        <v>100</v>
      </c>
      <c r="G27" s="6">
        <v>1</v>
      </c>
      <c r="H27" s="6"/>
      <c r="I27" s="6"/>
      <c r="J27" s="1"/>
      <c r="K27" s="105" t="s">
        <v>134</v>
      </c>
    </row>
    <row r="28" spans="1:11">
      <c r="A28" s="6" t="s">
        <v>135</v>
      </c>
      <c r="B28" s="6" t="s">
        <v>136</v>
      </c>
      <c r="C28" s="6">
        <v>10027</v>
      </c>
      <c r="D28" s="6" t="s">
        <v>42</v>
      </c>
      <c r="E28" s="6" t="s">
        <v>137</v>
      </c>
      <c r="F28" s="6">
        <v>30</v>
      </c>
      <c r="G28" s="6">
        <v>6</v>
      </c>
      <c r="H28" s="6"/>
      <c r="I28" s="6"/>
      <c r="J28" s="1"/>
      <c r="K28" s="105" t="s">
        <v>138</v>
      </c>
    </row>
    <row r="29" spans="1:11">
      <c r="A29" s="6" t="s">
        <v>139</v>
      </c>
      <c r="B29" s="6" t="s">
        <v>140</v>
      </c>
      <c r="C29" s="6">
        <v>10028</v>
      </c>
      <c r="D29" s="6" t="s">
        <v>20</v>
      </c>
      <c r="E29" s="6" t="s">
        <v>141</v>
      </c>
      <c r="F29" s="6">
        <v>36</v>
      </c>
      <c r="G29" s="6">
        <v>13</v>
      </c>
      <c r="H29" s="6"/>
      <c r="I29" s="6"/>
      <c r="J29" s="1"/>
      <c r="K29" s="105" t="s">
        <v>142</v>
      </c>
    </row>
    <row r="30" spans="1:11">
      <c r="A30" s="6" t="s">
        <v>143</v>
      </c>
      <c r="B30" s="6" t="s">
        <v>144</v>
      </c>
      <c r="C30" s="6">
        <v>10029</v>
      </c>
      <c r="D30" s="6" t="s">
        <v>20</v>
      </c>
      <c r="E30" s="6" t="s">
        <v>145</v>
      </c>
      <c r="F30" s="6">
        <v>49</v>
      </c>
      <c r="G30" s="6">
        <v>12</v>
      </c>
      <c r="H30" s="6"/>
      <c r="I30" s="6"/>
      <c r="J30" s="1"/>
      <c r="K30" s="105" t="s">
        <v>146</v>
      </c>
    </row>
    <row r="31" spans="1:11">
      <c r="A31" s="6" t="s">
        <v>147</v>
      </c>
      <c r="B31" s="6" t="s">
        <v>148</v>
      </c>
      <c r="C31" s="6">
        <v>10030</v>
      </c>
      <c r="D31" s="6" t="s">
        <v>20</v>
      </c>
      <c r="E31" s="6" t="s">
        <v>149</v>
      </c>
      <c r="F31" s="6">
        <v>36</v>
      </c>
      <c r="G31" s="6">
        <v>12</v>
      </c>
      <c r="H31" s="6"/>
      <c r="I31" s="6"/>
      <c r="J31" s="1"/>
      <c r="K31" s="105" t="s">
        <v>150</v>
      </c>
    </row>
    <row r="32" spans="1:11">
      <c r="A32" s="6" t="s">
        <v>151</v>
      </c>
      <c r="B32" s="6" t="s">
        <v>152</v>
      </c>
      <c r="C32" s="6">
        <v>10031</v>
      </c>
      <c r="D32" s="6" t="s">
        <v>42</v>
      </c>
      <c r="E32" s="6" t="s">
        <v>153</v>
      </c>
      <c r="F32" s="6">
        <v>12</v>
      </c>
      <c r="G32" s="6">
        <v>10</v>
      </c>
      <c r="H32" s="6"/>
      <c r="I32" s="6"/>
      <c r="J32" s="1"/>
      <c r="K32" s="105" t="s">
        <v>154</v>
      </c>
    </row>
    <row r="33" spans="1:11">
      <c r="A33" s="6" t="s">
        <v>155</v>
      </c>
      <c r="B33" s="6" t="s">
        <v>156</v>
      </c>
      <c r="C33" s="6">
        <v>10032</v>
      </c>
      <c r="D33" s="6" t="s">
        <v>35</v>
      </c>
      <c r="E33" s="6" t="s">
        <v>157</v>
      </c>
      <c r="F33" s="6">
        <v>180</v>
      </c>
      <c r="G33" s="6">
        <v>1</v>
      </c>
      <c r="H33" s="6"/>
      <c r="I33" s="6"/>
      <c r="J33" s="1"/>
      <c r="K33" s="105" t="s">
        <v>158</v>
      </c>
    </row>
    <row r="34" spans="1:11">
      <c r="A34" s="6" t="s">
        <v>159</v>
      </c>
      <c r="B34" s="6" t="s">
        <v>160</v>
      </c>
      <c r="C34" s="6">
        <v>10033</v>
      </c>
      <c r="D34" s="6" t="s">
        <v>29</v>
      </c>
      <c r="E34" s="6" t="s">
        <v>161</v>
      </c>
      <c r="F34" s="6">
        <v>150</v>
      </c>
      <c r="G34" s="6">
        <v>1</v>
      </c>
      <c r="H34" s="6"/>
      <c r="I34" s="6"/>
      <c r="J34" s="1"/>
      <c r="K34" s="105" t="s">
        <v>162</v>
      </c>
    </row>
    <row r="35" spans="1:11">
      <c r="A35" s="6" t="s">
        <v>163</v>
      </c>
      <c r="B35" s="6" t="s">
        <v>164</v>
      </c>
      <c r="C35" s="6">
        <v>10034</v>
      </c>
      <c r="D35" s="6" t="s">
        <v>35</v>
      </c>
      <c r="E35" s="6" t="s">
        <v>165</v>
      </c>
      <c r="F35" s="6">
        <v>120</v>
      </c>
      <c r="G35" s="6">
        <v>1</v>
      </c>
      <c r="H35" s="6"/>
      <c r="I35" s="6"/>
      <c r="J35" s="1"/>
      <c r="K35" s="105" t="s">
        <v>166</v>
      </c>
    </row>
    <row r="36" spans="1:11">
      <c r="A36" s="6" t="s">
        <v>167</v>
      </c>
      <c r="B36" s="6" t="s">
        <v>168</v>
      </c>
      <c r="C36" s="6">
        <v>10035</v>
      </c>
      <c r="D36" s="6" t="s">
        <v>20</v>
      </c>
      <c r="E36" s="6" t="s">
        <v>169</v>
      </c>
      <c r="F36" s="6">
        <v>36</v>
      </c>
      <c r="G36" s="6">
        <v>14</v>
      </c>
      <c r="H36" s="6"/>
      <c r="I36" s="6"/>
      <c r="J36" s="1"/>
      <c r="K36" s="105" t="s">
        <v>170</v>
      </c>
    </row>
    <row r="37" spans="1:11">
      <c r="A37" s="6" t="s">
        <v>171</v>
      </c>
      <c r="B37" s="6" t="s">
        <v>172</v>
      </c>
      <c r="C37" s="6">
        <v>10036</v>
      </c>
      <c r="D37" s="6" t="s">
        <v>35</v>
      </c>
      <c r="E37" s="6" t="s">
        <v>173</v>
      </c>
      <c r="F37" s="6">
        <v>20</v>
      </c>
      <c r="G37" s="6">
        <v>6</v>
      </c>
      <c r="H37" s="6"/>
      <c r="I37" s="6"/>
      <c r="J37" s="1"/>
      <c r="K37" s="105" t="s">
        <v>174</v>
      </c>
    </row>
    <row r="38" spans="1:11">
      <c r="A38" s="10" t="s">
        <v>175</v>
      </c>
      <c r="B38" s="6" t="s">
        <v>176</v>
      </c>
      <c r="C38" s="6">
        <v>10037</v>
      </c>
      <c r="D38" s="6" t="s">
        <v>42</v>
      </c>
      <c r="E38" s="6" t="s">
        <v>177</v>
      </c>
      <c r="F38" s="6">
        <v>100</v>
      </c>
      <c r="G38" s="6">
        <v>1</v>
      </c>
      <c r="H38" s="6"/>
      <c r="I38" s="6"/>
      <c r="K38" s="105" t="s">
        <v>178</v>
      </c>
    </row>
    <row r="39" spans="1:11">
      <c r="A39" s="6" t="s">
        <v>179</v>
      </c>
      <c r="B39" s="6" t="s">
        <v>180</v>
      </c>
      <c r="C39" s="6">
        <v>10038</v>
      </c>
      <c r="D39" s="6" t="s">
        <v>181</v>
      </c>
      <c r="E39" s="6" t="s">
        <v>182</v>
      </c>
      <c r="F39" s="6">
        <v>80</v>
      </c>
      <c r="G39" s="6">
        <v>1</v>
      </c>
      <c r="H39" s="6"/>
      <c r="I39" s="6"/>
      <c r="K39" s="105" t="s">
        <v>183</v>
      </c>
    </row>
    <row r="40" spans="1:11">
      <c r="A40" s="6" t="s">
        <v>184</v>
      </c>
      <c r="B40" s="6" t="s">
        <v>185</v>
      </c>
      <c r="C40" s="6">
        <v>10039</v>
      </c>
      <c r="D40" s="6" t="s">
        <v>181</v>
      </c>
      <c r="E40" s="6" t="s">
        <v>186</v>
      </c>
      <c r="F40" s="6">
        <v>48</v>
      </c>
      <c r="G40" s="6">
        <v>20</v>
      </c>
      <c r="H40" s="6"/>
      <c r="I40" s="6"/>
      <c r="K40" s="135" t="s">
        <v>187</v>
      </c>
    </row>
    <row r="41" spans="1:11">
      <c r="A41" s="6" t="s">
        <v>188</v>
      </c>
      <c r="B41" s="6" t="s">
        <v>189</v>
      </c>
      <c r="C41" s="6">
        <v>10040</v>
      </c>
      <c r="D41" s="6" t="s">
        <v>181</v>
      </c>
      <c r="E41" s="6" t="s">
        <v>190</v>
      </c>
      <c r="F41" s="6">
        <v>36</v>
      </c>
      <c r="G41" s="6">
        <v>11</v>
      </c>
      <c r="H41" s="6"/>
      <c r="I41" s="6"/>
      <c r="K41" s="135" t="s">
        <v>191</v>
      </c>
    </row>
    <row r="42" spans="1:11">
      <c r="A42" s="6" t="s">
        <v>192</v>
      </c>
      <c r="B42" s="6" t="s">
        <v>193</v>
      </c>
      <c r="C42" s="6">
        <v>10041</v>
      </c>
      <c r="D42" s="6" t="s">
        <v>194</v>
      </c>
      <c r="E42" s="6" t="s">
        <v>195</v>
      </c>
      <c r="F42" s="6">
        <v>100</v>
      </c>
      <c r="G42" s="6">
        <v>1</v>
      </c>
      <c r="H42" s="6"/>
      <c r="I42" s="6"/>
    </row>
    <row r="43" spans="1:11">
      <c r="A43" s="6" t="s">
        <v>196</v>
      </c>
      <c r="B43" s="6" t="s">
        <v>197</v>
      </c>
      <c r="C43" s="6">
        <v>10042</v>
      </c>
      <c r="D43" s="6" t="s">
        <v>181</v>
      </c>
      <c r="E43" s="6" t="s">
        <v>198</v>
      </c>
      <c r="F43" s="6">
        <v>24</v>
      </c>
      <c r="G43" s="6">
        <v>16</v>
      </c>
      <c r="H43" s="6"/>
      <c r="I43" s="6"/>
    </row>
    <row r="44" spans="1:11">
      <c r="A44" s="6" t="s">
        <v>199</v>
      </c>
      <c r="B44" s="6" t="s">
        <v>200</v>
      </c>
      <c r="C44" s="6">
        <v>10043</v>
      </c>
      <c r="D44" s="6" t="s">
        <v>181</v>
      </c>
      <c r="E44" s="6" t="s">
        <v>201</v>
      </c>
      <c r="F44" s="6">
        <v>36</v>
      </c>
      <c r="G44" s="6">
        <v>13</v>
      </c>
      <c r="H44" s="6"/>
      <c r="I44" s="6"/>
    </row>
    <row r="45" spans="1:11">
      <c r="A45" s="10" t="s">
        <v>202</v>
      </c>
      <c r="B45" s="6" t="s">
        <v>203</v>
      </c>
      <c r="C45" s="6">
        <v>10044</v>
      </c>
      <c r="D45" s="6" t="s">
        <v>181</v>
      </c>
      <c r="E45" s="6" t="s">
        <v>204</v>
      </c>
      <c r="F45" s="6">
        <v>100</v>
      </c>
      <c r="G45" s="6">
        <v>1</v>
      </c>
      <c r="H45" s="6"/>
      <c r="I45" s="6"/>
    </row>
    <row r="46" spans="1:11">
      <c r="A46" s="6" t="s">
        <v>205</v>
      </c>
      <c r="B46" s="6" t="s">
        <v>206</v>
      </c>
      <c r="C46" s="6">
        <v>10045</v>
      </c>
      <c r="D46" s="6" t="s">
        <v>54</v>
      </c>
      <c r="E46" s="6"/>
      <c r="F46" s="6">
        <v>50</v>
      </c>
      <c r="G46" s="6">
        <v>1</v>
      </c>
      <c r="H46" s="6"/>
      <c r="I46" s="6"/>
    </row>
    <row r="47" spans="1:11">
      <c r="A47" s="6" t="s">
        <v>207</v>
      </c>
      <c r="B47" s="6" t="s">
        <v>208</v>
      </c>
      <c r="C47" s="6">
        <v>10046</v>
      </c>
      <c r="D47" s="6" t="s">
        <v>60</v>
      </c>
      <c r="E47" s="6" t="s">
        <v>208</v>
      </c>
      <c r="F47" s="6">
        <v>48</v>
      </c>
      <c r="G47" s="6">
        <v>1</v>
      </c>
      <c r="H47" s="6"/>
      <c r="I47" s="6"/>
    </row>
    <row r="48" spans="1:11">
      <c r="A48" s="6" t="s">
        <v>209</v>
      </c>
      <c r="B48" s="6" t="s">
        <v>210</v>
      </c>
      <c r="C48" s="6">
        <v>10047</v>
      </c>
      <c r="D48" s="6" t="s">
        <v>194</v>
      </c>
      <c r="E48" s="6" t="s">
        <v>211</v>
      </c>
      <c r="F48" s="6">
        <v>90</v>
      </c>
      <c r="G48" s="6">
        <v>1</v>
      </c>
      <c r="H48" s="6"/>
      <c r="I48" s="6"/>
    </row>
    <row r="49" spans="1:9">
      <c r="A49" s="6" t="s">
        <v>212</v>
      </c>
      <c r="B49" s="6" t="s">
        <v>213</v>
      </c>
      <c r="C49" s="6">
        <v>10048</v>
      </c>
      <c r="D49" s="6" t="s">
        <v>214</v>
      </c>
      <c r="E49" s="6" t="s">
        <v>215</v>
      </c>
      <c r="F49" s="6">
        <v>100</v>
      </c>
      <c r="G49" s="6">
        <v>1</v>
      </c>
      <c r="H49" s="6"/>
      <c r="I49" s="6"/>
    </row>
    <row r="50" spans="1:9">
      <c r="A50" s="6" t="s">
        <v>216</v>
      </c>
      <c r="B50" s="6" t="s">
        <v>217</v>
      </c>
      <c r="C50" s="6">
        <v>10049</v>
      </c>
      <c r="D50" s="6" t="s">
        <v>214</v>
      </c>
      <c r="E50" s="6" t="s">
        <v>218</v>
      </c>
      <c r="F50" s="6">
        <v>52</v>
      </c>
      <c r="G50" s="6">
        <v>3</v>
      </c>
      <c r="H50" s="6"/>
      <c r="I50" s="6"/>
    </row>
    <row r="51" spans="1:9">
      <c r="A51" s="6" t="s">
        <v>219</v>
      </c>
      <c r="B51" s="6" t="s">
        <v>220</v>
      </c>
      <c r="C51" s="6">
        <v>10050</v>
      </c>
      <c r="D51" s="6" t="s">
        <v>181</v>
      </c>
      <c r="E51" s="6" t="s">
        <v>221</v>
      </c>
      <c r="F51" s="6">
        <v>24</v>
      </c>
      <c r="G51" s="6">
        <v>12</v>
      </c>
      <c r="H51" s="6"/>
      <c r="I51" s="6"/>
    </row>
    <row r="52" spans="1:9">
      <c r="A52" s="6" t="s">
        <v>222</v>
      </c>
      <c r="B52" s="6" t="s">
        <v>223</v>
      </c>
      <c r="C52" s="6">
        <v>10051</v>
      </c>
      <c r="D52" s="6" t="s">
        <v>181</v>
      </c>
      <c r="E52" s="6" t="s">
        <v>224</v>
      </c>
      <c r="F52" s="6">
        <v>36</v>
      </c>
      <c r="G52" s="6">
        <v>12</v>
      </c>
      <c r="H52" s="6"/>
      <c r="I52" s="6"/>
    </row>
    <row r="53" spans="1:9">
      <c r="A53" s="6" t="s">
        <v>225</v>
      </c>
      <c r="B53" s="6" t="s">
        <v>226</v>
      </c>
      <c r="C53" s="6">
        <v>10052</v>
      </c>
      <c r="D53" s="6" t="s">
        <v>181</v>
      </c>
      <c r="E53" s="10" t="s">
        <v>227</v>
      </c>
      <c r="F53" s="6">
        <v>36</v>
      </c>
      <c r="G53" s="6">
        <v>18</v>
      </c>
      <c r="H53" s="6"/>
      <c r="I53" s="6"/>
    </row>
    <row r="54" spans="1:9">
      <c r="A54" s="6" t="s">
        <v>228</v>
      </c>
      <c r="B54" s="6" t="s">
        <v>229</v>
      </c>
      <c r="C54" s="6">
        <v>10053</v>
      </c>
      <c r="D54" s="6" t="s">
        <v>181</v>
      </c>
      <c r="E54" s="6" t="s">
        <v>230</v>
      </c>
      <c r="F54" s="6">
        <v>36</v>
      </c>
      <c r="G54" s="6">
        <v>12</v>
      </c>
      <c r="H54" s="6"/>
      <c r="I54" s="6"/>
    </row>
    <row r="55" spans="1:9">
      <c r="A55" s="12" t="s">
        <v>231</v>
      </c>
      <c r="B55" s="12" t="s">
        <v>232</v>
      </c>
      <c r="C55" s="12">
        <v>10054</v>
      </c>
      <c r="D55" s="12" t="s">
        <v>60</v>
      </c>
      <c r="E55" s="12" t="s">
        <v>233</v>
      </c>
      <c r="F55" s="12">
        <v>240</v>
      </c>
      <c r="G55" s="12">
        <v>1</v>
      </c>
      <c r="H55" s="12"/>
      <c r="I55" s="12"/>
    </row>
    <row r="56" spans="1:9">
      <c r="A56" s="34" t="s">
        <v>234</v>
      </c>
      <c r="B56" s="170" t="s">
        <v>235</v>
      </c>
      <c r="C56" s="29">
        <v>10055</v>
      </c>
      <c r="D56" s="29" t="s">
        <v>236</v>
      </c>
      <c r="E56" s="29" t="s">
        <v>237</v>
      </c>
      <c r="F56" s="29">
        <v>36</v>
      </c>
      <c r="G56" s="29">
        <v>5</v>
      </c>
      <c r="H56" s="29"/>
      <c r="I56" s="29"/>
    </row>
    <row r="57" spans="1:9">
      <c r="A57" s="29" t="s">
        <v>238</v>
      </c>
      <c r="B57" s="171" t="s">
        <v>239</v>
      </c>
      <c r="C57" s="29">
        <v>10056</v>
      </c>
      <c r="D57" s="29" t="s">
        <v>181</v>
      </c>
      <c r="E57" s="34" t="s">
        <v>240</v>
      </c>
      <c r="F57" s="29">
        <v>48</v>
      </c>
      <c r="G57" s="29">
        <v>10</v>
      </c>
      <c r="H57" s="29"/>
      <c r="I57" s="29"/>
    </row>
    <row r="58" spans="1:9">
      <c r="A58" s="29" t="s">
        <v>241</v>
      </c>
      <c r="B58" s="170" t="s">
        <v>242</v>
      </c>
      <c r="C58" s="29">
        <v>10057</v>
      </c>
      <c r="D58" s="29" t="s">
        <v>181</v>
      </c>
      <c r="E58" s="34" t="s">
        <v>243</v>
      </c>
      <c r="F58" s="29">
        <v>20</v>
      </c>
      <c r="G58" s="29">
        <v>10</v>
      </c>
      <c r="H58" s="29"/>
      <c r="I58" s="29"/>
    </row>
    <row r="59" spans="1:9">
      <c r="A59" s="29" t="s">
        <v>244</v>
      </c>
      <c r="B59" s="34" t="s">
        <v>245</v>
      </c>
      <c r="C59" s="29">
        <v>10058</v>
      </c>
      <c r="D59" s="29" t="s">
        <v>181</v>
      </c>
      <c r="E59" s="34" t="s">
        <v>243</v>
      </c>
      <c r="F59" s="29">
        <v>36</v>
      </c>
      <c r="G59" s="29">
        <v>15</v>
      </c>
      <c r="H59" s="29"/>
      <c r="I59" s="29"/>
    </row>
    <row r="60" spans="1:9">
      <c r="A60" s="34" t="s">
        <v>246</v>
      </c>
      <c r="B60" s="34" t="s">
        <v>247</v>
      </c>
      <c r="C60" s="29">
        <v>10059</v>
      </c>
      <c r="D60" s="29" t="s">
        <v>194</v>
      </c>
      <c r="E60" s="29" t="s">
        <v>248</v>
      </c>
      <c r="F60" s="29">
        <v>90</v>
      </c>
      <c r="G60" s="29">
        <v>1</v>
      </c>
      <c r="H60" s="29"/>
      <c r="I60" s="29"/>
    </row>
    <row r="61" spans="1:9">
      <c r="A61" s="29" t="s">
        <v>249</v>
      </c>
      <c r="B61" s="34" t="s">
        <v>250</v>
      </c>
      <c r="C61" s="29">
        <v>10060</v>
      </c>
      <c r="D61" s="29" t="s">
        <v>181</v>
      </c>
      <c r="E61" s="29" t="s">
        <v>251</v>
      </c>
      <c r="F61" s="29">
        <v>36</v>
      </c>
      <c r="G61" s="29">
        <v>13</v>
      </c>
      <c r="H61" s="29"/>
      <c r="I61" s="29"/>
    </row>
    <row r="62" spans="1:9">
      <c r="A62" s="34" t="s">
        <v>252</v>
      </c>
      <c r="B62" s="34" t="s">
        <v>253</v>
      </c>
      <c r="C62" s="29">
        <v>10061</v>
      </c>
      <c r="D62" s="29" t="s">
        <v>181</v>
      </c>
      <c r="E62" s="29" t="s">
        <v>254</v>
      </c>
      <c r="F62" s="29">
        <v>36</v>
      </c>
      <c r="G62" s="29">
        <v>11</v>
      </c>
      <c r="H62" s="29"/>
      <c r="I62" s="29"/>
    </row>
    <row r="63" spans="1:9">
      <c r="A63" s="34" t="s">
        <v>255</v>
      </c>
      <c r="B63" s="34" t="s">
        <v>256</v>
      </c>
      <c r="C63" s="29">
        <v>10062</v>
      </c>
      <c r="D63" s="29" t="s">
        <v>181</v>
      </c>
      <c r="E63" s="29" t="s">
        <v>227</v>
      </c>
      <c r="F63" s="29">
        <v>48</v>
      </c>
      <c r="G63" s="29">
        <v>20</v>
      </c>
      <c r="H63" s="29"/>
      <c r="I63" s="29"/>
    </row>
    <row r="64" spans="1:9">
      <c r="A64" s="29" t="s">
        <v>257</v>
      </c>
      <c r="B64" s="34" t="s">
        <v>258</v>
      </c>
      <c r="C64" s="29">
        <v>10063</v>
      </c>
      <c r="D64" s="29" t="s">
        <v>181</v>
      </c>
      <c r="E64" s="29" t="s">
        <v>259</v>
      </c>
      <c r="F64" s="29">
        <v>36</v>
      </c>
      <c r="G64" s="29">
        <v>13</v>
      </c>
      <c r="H64" s="29"/>
      <c r="I64" s="29"/>
    </row>
    <row r="65" spans="1:9">
      <c r="A65" s="29" t="s">
        <v>260</v>
      </c>
      <c r="B65" s="34" t="s">
        <v>261</v>
      </c>
      <c r="C65" s="29">
        <v>10064</v>
      </c>
      <c r="D65" s="29" t="s">
        <v>194</v>
      </c>
      <c r="E65" s="29" t="s">
        <v>262</v>
      </c>
      <c r="F65" s="29">
        <v>30</v>
      </c>
      <c r="G65" s="29">
        <v>6</v>
      </c>
      <c r="H65" s="29"/>
      <c r="I65" s="29"/>
    </row>
    <row r="66" spans="1:9">
      <c r="A66" s="34" t="s">
        <v>263</v>
      </c>
      <c r="B66" s="34" t="s">
        <v>264</v>
      </c>
      <c r="C66" s="29">
        <v>10065</v>
      </c>
      <c r="D66" s="29" t="s">
        <v>181</v>
      </c>
      <c r="E66" s="29" t="s">
        <v>265</v>
      </c>
      <c r="F66" s="29">
        <v>10</v>
      </c>
      <c r="G66" s="29">
        <v>12</v>
      </c>
      <c r="H66" s="29"/>
      <c r="I66" s="29"/>
    </row>
    <row r="67" spans="1:9">
      <c r="A67" s="34" t="s">
        <v>266</v>
      </c>
      <c r="B67" s="29" t="s">
        <v>267</v>
      </c>
      <c r="C67" s="29">
        <v>10066</v>
      </c>
      <c r="D67" s="29" t="s">
        <v>181</v>
      </c>
      <c r="E67" s="29" t="s">
        <v>227</v>
      </c>
      <c r="F67" s="29">
        <v>48</v>
      </c>
      <c r="G67" s="29">
        <v>36</v>
      </c>
      <c r="H67" s="29"/>
      <c r="I67" s="29"/>
    </row>
    <row r="68" spans="1:9">
      <c r="A68" s="34" t="s">
        <v>268</v>
      </c>
      <c r="B68" s="34" t="s">
        <v>269</v>
      </c>
      <c r="C68" s="29">
        <v>10067</v>
      </c>
      <c r="D68" s="29" t="s">
        <v>194</v>
      </c>
      <c r="E68" s="29" t="s">
        <v>270</v>
      </c>
      <c r="F68" s="29">
        <v>90</v>
      </c>
      <c r="G68" s="29">
        <v>1</v>
      </c>
      <c r="H68" s="29"/>
      <c r="I68" s="29"/>
    </row>
    <row r="69" spans="1:9">
      <c r="A69" s="34" t="s">
        <v>271</v>
      </c>
      <c r="B69" s="34" t="s">
        <v>272</v>
      </c>
      <c r="C69" s="29">
        <v>10068</v>
      </c>
      <c r="D69" s="29" t="s">
        <v>214</v>
      </c>
      <c r="E69" s="29" t="s">
        <v>251</v>
      </c>
      <c r="F69" s="29">
        <v>300</v>
      </c>
      <c r="G69" s="29">
        <v>1</v>
      </c>
      <c r="H69" s="34" t="s">
        <v>273</v>
      </c>
      <c r="I69" s="29"/>
    </row>
    <row r="70" spans="1:9">
      <c r="A70" s="129" t="s">
        <v>274</v>
      </c>
      <c r="B70" s="34" t="s">
        <v>275</v>
      </c>
      <c r="C70" s="29">
        <v>10069</v>
      </c>
      <c r="D70" s="29" t="s">
        <v>214</v>
      </c>
      <c r="E70" s="29" t="s">
        <v>276</v>
      </c>
      <c r="F70" s="29">
        <v>300</v>
      </c>
      <c r="G70" s="29">
        <v>1</v>
      </c>
      <c r="H70" s="29"/>
      <c r="I70" s="29"/>
    </row>
    <row r="71" spans="1:9">
      <c r="A71" s="34" t="s">
        <v>277</v>
      </c>
      <c r="B71" s="34" t="s">
        <v>278</v>
      </c>
      <c r="C71" s="29">
        <v>10070</v>
      </c>
      <c r="D71" s="29" t="s">
        <v>194</v>
      </c>
      <c r="E71" s="29" t="s">
        <v>279</v>
      </c>
      <c r="F71" s="29">
        <v>90</v>
      </c>
      <c r="G71" s="29">
        <v>1</v>
      </c>
      <c r="H71" s="29"/>
      <c r="I71" s="29"/>
    </row>
    <row r="72" spans="1:9">
      <c r="A72" s="34" t="s">
        <v>280</v>
      </c>
      <c r="B72" s="29" t="s">
        <v>281</v>
      </c>
      <c r="C72" s="29">
        <v>10071</v>
      </c>
      <c r="D72" s="29" t="s">
        <v>181</v>
      </c>
      <c r="E72" s="29" t="s">
        <v>227</v>
      </c>
      <c r="F72" s="29">
        <v>36</v>
      </c>
      <c r="G72" s="29">
        <v>18</v>
      </c>
      <c r="H72" s="29"/>
      <c r="I72" s="29"/>
    </row>
    <row r="73" spans="1:9">
      <c r="A73" s="34" t="s">
        <v>282</v>
      </c>
      <c r="B73" s="29" t="s">
        <v>283</v>
      </c>
      <c r="C73" s="29">
        <v>10072</v>
      </c>
      <c r="D73" s="29" t="s">
        <v>60</v>
      </c>
      <c r="E73" s="29" t="s">
        <v>284</v>
      </c>
      <c r="F73" s="29">
        <v>200</v>
      </c>
      <c r="G73" s="29">
        <v>1</v>
      </c>
      <c r="H73" s="29"/>
      <c r="I73" s="29"/>
    </row>
    <row r="74" spans="1:9">
      <c r="A74" s="34" t="s">
        <v>285</v>
      </c>
      <c r="B74" s="29" t="s">
        <v>286</v>
      </c>
      <c r="C74" s="29">
        <v>10073</v>
      </c>
      <c r="D74" s="29" t="s">
        <v>181</v>
      </c>
      <c r="E74" s="29" t="s">
        <v>227</v>
      </c>
      <c r="F74" s="29">
        <v>48</v>
      </c>
      <c r="G74" s="29">
        <v>30</v>
      </c>
      <c r="H74" s="29"/>
      <c r="I74" s="29"/>
    </row>
    <row r="75" spans="1:9">
      <c r="A75" s="34" t="s">
        <v>287</v>
      </c>
      <c r="B75" s="34" t="s">
        <v>288</v>
      </c>
      <c r="C75" s="29">
        <v>10074</v>
      </c>
      <c r="D75" s="29" t="s">
        <v>214</v>
      </c>
      <c r="E75" s="29" t="s">
        <v>289</v>
      </c>
      <c r="F75" s="29">
        <v>80</v>
      </c>
      <c r="G75" s="29">
        <v>1</v>
      </c>
      <c r="H75" s="29"/>
      <c r="I75" s="29"/>
    </row>
    <row r="76" spans="1:9">
      <c r="A76" s="34" t="s">
        <v>290</v>
      </c>
      <c r="B76" s="34" t="s">
        <v>291</v>
      </c>
      <c r="C76" s="29">
        <v>10075</v>
      </c>
      <c r="D76" s="29" t="s">
        <v>181</v>
      </c>
      <c r="E76" s="34" t="s">
        <v>292</v>
      </c>
      <c r="F76" s="29">
        <v>10</v>
      </c>
      <c r="G76" s="29">
        <v>10</v>
      </c>
      <c r="H76" s="29"/>
      <c r="I76" s="29"/>
    </row>
    <row r="77" spans="1:9">
      <c r="A77" s="34" t="s">
        <v>293</v>
      </c>
      <c r="B77" s="34" t="s">
        <v>294</v>
      </c>
      <c r="C77" s="29">
        <v>10076</v>
      </c>
      <c r="D77" s="29" t="s">
        <v>194</v>
      </c>
      <c r="E77" s="34" t="s">
        <v>295</v>
      </c>
      <c r="F77" s="29">
        <v>36</v>
      </c>
      <c r="G77" s="29">
        <v>10</v>
      </c>
      <c r="H77" s="29"/>
      <c r="I77" s="29"/>
    </row>
    <row r="78" spans="1:9">
      <c r="A78" s="34" t="s">
        <v>296</v>
      </c>
      <c r="B78" s="34" t="s">
        <v>297</v>
      </c>
      <c r="C78" s="29">
        <v>10077</v>
      </c>
      <c r="D78" s="29" t="s">
        <v>236</v>
      </c>
      <c r="E78" s="29" t="s">
        <v>298</v>
      </c>
      <c r="F78" s="29">
        <v>100</v>
      </c>
      <c r="G78" s="29">
        <v>1</v>
      </c>
      <c r="H78" s="29"/>
      <c r="I78" s="29"/>
    </row>
    <row r="79" spans="1:9">
      <c r="A79" s="34" t="s">
        <v>299</v>
      </c>
      <c r="B79" s="34" t="s">
        <v>300</v>
      </c>
      <c r="C79" s="29">
        <v>10078</v>
      </c>
      <c r="D79" s="29" t="s">
        <v>181</v>
      </c>
      <c r="E79" s="34" t="s">
        <v>301</v>
      </c>
      <c r="F79" s="29">
        <v>200</v>
      </c>
      <c r="G79" s="29">
        <v>1</v>
      </c>
      <c r="H79" s="29"/>
      <c r="I79" s="29"/>
    </row>
    <row r="80" spans="1:9">
      <c r="A80" s="34" t="s">
        <v>302</v>
      </c>
      <c r="B80" s="34" t="s">
        <v>303</v>
      </c>
      <c r="C80" s="29">
        <v>10079</v>
      </c>
      <c r="D80" s="29" t="s">
        <v>181</v>
      </c>
      <c r="E80" s="34" t="s">
        <v>304</v>
      </c>
      <c r="F80" s="29">
        <v>36</v>
      </c>
      <c r="G80" s="29">
        <v>12</v>
      </c>
      <c r="H80" s="29"/>
      <c r="I80" s="29"/>
    </row>
    <row r="81" spans="1:9">
      <c r="A81" s="34" t="s">
        <v>305</v>
      </c>
      <c r="B81" s="29" t="s">
        <v>306</v>
      </c>
      <c r="C81" s="29">
        <v>10080</v>
      </c>
      <c r="D81" s="29" t="s">
        <v>181</v>
      </c>
      <c r="E81" s="34" t="s">
        <v>240</v>
      </c>
      <c r="F81" s="29">
        <v>36</v>
      </c>
      <c r="G81" s="29">
        <v>10</v>
      </c>
      <c r="H81" s="29"/>
      <c r="I81" s="29"/>
    </row>
    <row r="82" spans="1:9">
      <c r="A82" s="34" t="s">
        <v>307</v>
      </c>
      <c r="B82" s="34" t="s">
        <v>308</v>
      </c>
      <c r="C82" s="29">
        <v>10081</v>
      </c>
      <c r="D82" s="29" t="s">
        <v>181</v>
      </c>
      <c r="E82" s="29" t="s">
        <v>309</v>
      </c>
      <c r="F82" s="29">
        <v>36</v>
      </c>
      <c r="G82" s="29">
        <v>13</v>
      </c>
      <c r="H82" s="29"/>
      <c r="I82" s="29"/>
    </row>
    <row r="83" spans="1:9">
      <c r="A83" s="34" t="s">
        <v>310</v>
      </c>
      <c r="B83" s="34" t="s">
        <v>311</v>
      </c>
      <c r="C83" s="29">
        <v>10082</v>
      </c>
      <c r="D83" s="29" t="s">
        <v>194</v>
      </c>
      <c r="E83" s="34" t="s">
        <v>312</v>
      </c>
      <c r="F83" s="29">
        <v>30</v>
      </c>
      <c r="G83" s="29">
        <v>6</v>
      </c>
      <c r="H83" s="29"/>
      <c r="I83" s="29"/>
    </row>
    <row r="84" spans="1:9">
      <c r="A84" s="34" t="s">
        <v>313</v>
      </c>
      <c r="B84" s="34" t="s">
        <v>314</v>
      </c>
      <c r="C84" s="29">
        <v>10083</v>
      </c>
      <c r="D84" s="29" t="s">
        <v>181</v>
      </c>
      <c r="E84" s="34" t="s">
        <v>240</v>
      </c>
      <c r="F84" s="29">
        <v>36</v>
      </c>
      <c r="G84" s="29">
        <v>16</v>
      </c>
      <c r="H84" s="29"/>
      <c r="I84" s="29"/>
    </row>
    <row r="85" spans="1:9">
      <c r="A85" s="34" t="s">
        <v>315</v>
      </c>
      <c r="B85" s="29" t="s">
        <v>316</v>
      </c>
      <c r="C85" s="29">
        <v>10084</v>
      </c>
      <c r="D85" s="29" t="s">
        <v>181</v>
      </c>
      <c r="E85" s="34" t="s">
        <v>240</v>
      </c>
      <c r="F85" s="29">
        <v>36</v>
      </c>
      <c r="G85" s="29">
        <v>16</v>
      </c>
      <c r="H85" s="29"/>
      <c r="I85" s="29"/>
    </row>
    <row r="86" spans="1:9">
      <c r="A86" s="34" t="s">
        <v>317</v>
      </c>
      <c r="B86" s="34" t="s">
        <v>318</v>
      </c>
      <c r="C86" s="29">
        <v>10085</v>
      </c>
      <c r="D86" s="29" t="s">
        <v>214</v>
      </c>
      <c r="E86" s="29" t="s">
        <v>284</v>
      </c>
      <c r="F86" s="29">
        <v>300</v>
      </c>
      <c r="G86" s="29">
        <v>1</v>
      </c>
      <c r="H86" s="29"/>
      <c r="I86" s="29"/>
    </row>
    <row r="87" spans="1:9">
      <c r="A87" s="34" t="s">
        <v>319</v>
      </c>
      <c r="B87" s="29" t="s">
        <v>320</v>
      </c>
      <c r="C87" s="29">
        <v>10086</v>
      </c>
      <c r="D87" s="29" t="s">
        <v>194</v>
      </c>
      <c r="E87" s="29" t="s">
        <v>321</v>
      </c>
      <c r="F87" s="29">
        <v>90</v>
      </c>
      <c r="G87" s="29">
        <v>1</v>
      </c>
      <c r="H87" s="29"/>
      <c r="I87" s="29"/>
    </row>
    <row r="88" spans="1:9">
      <c r="A88" s="34" t="s">
        <v>322</v>
      </c>
      <c r="B88" s="34" t="s">
        <v>323</v>
      </c>
      <c r="C88" s="29">
        <v>10087</v>
      </c>
      <c r="D88" s="29" t="s">
        <v>181</v>
      </c>
      <c r="E88" s="29" t="s">
        <v>324</v>
      </c>
      <c r="F88" s="29">
        <v>80</v>
      </c>
      <c r="G88" s="29">
        <v>36</v>
      </c>
      <c r="H88" s="29"/>
      <c r="I88" s="29"/>
    </row>
    <row r="89" spans="1:9">
      <c r="A89" s="34" t="s">
        <v>325</v>
      </c>
      <c r="B89" s="29" t="s">
        <v>326</v>
      </c>
      <c r="C89" s="29">
        <v>10088</v>
      </c>
      <c r="D89" s="29" t="s">
        <v>194</v>
      </c>
      <c r="E89" s="29" t="s">
        <v>227</v>
      </c>
      <c r="F89" s="29">
        <v>48</v>
      </c>
      <c r="G89" s="29">
        <v>30</v>
      </c>
      <c r="H89" s="29"/>
      <c r="I89" s="29"/>
    </row>
    <row r="90" spans="1:9">
      <c r="A90" s="34" t="s">
        <v>327</v>
      </c>
      <c r="B90" s="34" t="s">
        <v>328</v>
      </c>
      <c r="C90" s="29">
        <v>10089</v>
      </c>
      <c r="D90" s="29" t="s">
        <v>181</v>
      </c>
      <c r="E90" s="29" t="s">
        <v>329</v>
      </c>
      <c r="F90" s="29">
        <v>36</v>
      </c>
      <c r="G90" s="29">
        <v>14</v>
      </c>
      <c r="H90" s="29"/>
      <c r="I90" s="29"/>
    </row>
    <row r="91" spans="1:9">
      <c r="A91" s="34" t="s">
        <v>330</v>
      </c>
      <c r="B91" s="34" t="s">
        <v>331</v>
      </c>
      <c r="C91" s="29">
        <v>10090</v>
      </c>
      <c r="D91" s="29" t="s">
        <v>181</v>
      </c>
      <c r="E91" s="34" t="s">
        <v>332</v>
      </c>
      <c r="F91" s="29">
        <v>36</v>
      </c>
      <c r="G91" s="29">
        <v>13</v>
      </c>
      <c r="H91" s="29"/>
      <c r="I91" s="29"/>
    </row>
    <row r="92" spans="1:9">
      <c r="A92" s="34" t="s">
        <v>333</v>
      </c>
      <c r="B92" s="34" t="s">
        <v>334</v>
      </c>
      <c r="C92" s="29">
        <v>10091</v>
      </c>
      <c r="D92" s="29" t="s">
        <v>181</v>
      </c>
      <c r="E92" s="34" t="s">
        <v>240</v>
      </c>
      <c r="F92" s="29">
        <v>48</v>
      </c>
      <c r="G92" s="29">
        <v>10</v>
      </c>
      <c r="H92" s="29"/>
      <c r="I92" s="29"/>
    </row>
    <row r="93" spans="1:9">
      <c r="A93" s="34" t="s">
        <v>335</v>
      </c>
      <c r="B93" s="34" t="s">
        <v>336</v>
      </c>
      <c r="C93" s="29">
        <v>10092</v>
      </c>
      <c r="D93" s="29" t="s">
        <v>214</v>
      </c>
      <c r="E93" s="34" t="s">
        <v>337</v>
      </c>
      <c r="F93" s="29">
        <v>202</v>
      </c>
      <c r="G93" s="29">
        <v>3</v>
      </c>
      <c r="H93" s="29"/>
      <c r="I93" s="29"/>
    </row>
    <row r="94" spans="1:9">
      <c r="A94" s="34" t="s">
        <v>338</v>
      </c>
      <c r="B94" s="34" t="s">
        <v>339</v>
      </c>
      <c r="C94" s="29">
        <v>10093</v>
      </c>
      <c r="D94" s="29" t="s">
        <v>181</v>
      </c>
      <c r="E94" s="29" t="s">
        <v>340</v>
      </c>
      <c r="F94" s="29">
        <v>36</v>
      </c>
      <c r="G94" s="29">
        <v>13</v>
      </c>
      <c r="H94" s="29"/>
      <c r="I94" s="29"/>
    </row>
    <row r="95" spans="1:9">
      <c r="A95" s="34" t="s">
        <v>341</v>
      </c>
      <c r="B95" s="34" t="s">
        <v>342</v>
      </c>
      <c r="C95" s="29">
        <v>10094</v>
      </c>
      <c r="D95" s="29" t="s">
        <v>194</v>
      </c>
      <c r="E95" s="34" t="s">
        <v>343</v>
      </c>
      <c r="F95" s="29">
        <v>20</v>
      </c>
      <c r="G95" s="29">
        <v>5</v>
      </c>
      <c r="H95" s="29"/>
      <c r="I95" s="29"/>
    </row>
    <row r="96" spans="1:9">
      <c r="A96" s="34" t="s">
        <v>344</v>
      </c>
      <c r="B96" s="34" t="s">
        <v>345</v>
      </c>
      <c r="C96" s="29">
        <v>10095</v>
      </c>
      <c r="D96" s="29" t="s">
        <v>194</v>
      </c>
      <c r="E96" s="34" t="s">
        <v>346</v>
      </c>
      <c r="F96" s="29">
        <v>20</v>
      </c>
      <c r="G96" s="29">
        <v>6</v>
      </c>
      <c r="H96" s="29"/>
      <c r="I96" s="29"/>
    </row>
    <row r="97" spans="1:9">
      <c r="A97" s="29" t="s">
        <v>347</v>
      </c>
      <c r="B97" s="29" t="s">
        <v>348</v>
      </c>
      <c r="C97" s="29">
        <v>10096</v>
      </c>
      <c r="D97" s="29" t="s">
        <v>181</v>
      </c>
      <c r="E97" s="29" t="s">
        <v>349</v>
      </c>
      <c r="F97" s="29">
        <v>36</v>
      </c>
      <c r="G97" s="29">
        <v>14</v>
      </c>
      <c r="H97" s="29"/>
      <c r="I97" s="29"/>
    </row>
    <row r="98" spans="1:9">
      <c r="A98" s="34" t="s">
        <v>350</v>
      </c>
      <c r="B98" s="29" t="s">
        <v>351</v>
      </c>
      <c r="C98" s="29">
        <v>10097</v>
      </c>
      <c r="D98" s="29" t="s">
        <v>181</v>
      </c>
      <c r="E98" s="34" t="s">
        <v>240</v>
      </c>
      <c r="F98" s="29">
        <v>36</v>
      </c>
      <c r="G98" s="29">
        <v>16</v>
      </c>
      <c r="H98" s="29"/>
      <c r="I98" s="29"/>
    </row>
    <row r="99" spans="1:9">
      <c r="A99" s="34" t="s">
        <v>352</v>
      </c>
      <c r="B99" s="29" t="s">
        <v>353</v>
      </c>
      <c r="C99" s="29">
        <v>10098</v>
      </c>
      <c r="D99" s="29" t="s">
        <v>194</v>
      </c>
      <c r="E99" s="29" t="s">
        <v>354</v>
      </c>
      <c r="F99" s="29">
        <v>10</v>
      </c>
      <c r="G99" s="29">
        <v>12</v>
      </c>
      <c r="H99" s="29"/>
      <c r="I99" s="29"/>
    </row>
    <row r="100" spans="1:9">
      <c r="A100" s="29" t="s">
        <v>355</v>
      </c>
      <c r="B100" s="34" t="s">
        <v>356</v>
      </c>
      <c r="C100" s="29">
        <v>10099</v>
      </c>
      <c r="D100" s="29" t="s">
        <v>181</v>
      </c>
      <c r="E100" s="29" t="s">
        <v>357</v>
      </c>
      <c r="F100" s="29">
        <v>36</v>
      </c>
      <c r="G100" s="29">
        <v>13</v>
      </c>
      <c r="H100" s="29"/>
      <c r="I100" s="29"/>
    </row>
    <row r="101" spans="1:9">
      <c r="A101" s="34" t="s">
        <v>358</v>
      </c>
      <c r="B101" s="34" t="s">
        <v>359</v>
      </c>
      <c r="C101" s="29">
        <v>10100</v>
      </c>
      <c r="D101" s="29" t="s">
        <v>181</v>
      </c>
      <c r="E101" s="29" t="s">
        <v>360</v>
      </c>
      <c r="F101" s="29">
        <v>36</v>
      </c>
      <c r="G101" s="29">
        <v>13</v>
      </c>
      <c r="H101" s="29"/>
      <c r="I101" s="29"/>
    </row>
    <row r="102" spans="1:9">
      <c r="A102" s="34" t="s">
        <v>361</v>
      </c>
      <c r="B102" s="29" t="s">
        <v>362</v>
      </c>
      <c r="C102" s="29">
        <v>10101</v>
      </c>
      <c r="D102" s="29" t="s">
        <v>181</v>
      </c>
      <c r="E102" s="29" t="s">
        <v>363</v>
      </c>
      <c r="F102" s="29">
        <v>36</v>
      </c>
      <c r="G102" s="29">
        <v>12</v>
      </c>
      <c r="H102" s="29"/>
      <c r="I102" s="29"/>
    </row>
    <row r="103" spans="1:9">
      <c r="A103" s="34" t="s">
        <v>364</v>
      </c>
      <c r="B103" s="29" t="s">
        <v>365</v>
      </c>
      <c r="C103" s="29">
        <v>10102</v>
      </c>
      <c r="D103" s="29" t="s">
        <v>181</v>
      </c>
      <c r="E103" s="29" t="s">
        <v>366</v>
      </c>
      <c r="F103" s="29">
        <v>36</v>
      </c>
      <c r="G103" s="29">
        <v>13</v>
      </c>
      <c r="H103" s="29"/>
      <c r="I103" s="29"/>
    </row>
    <row r="104" spans="1:9">
      <c r="A104" s="34" t="s">
        <v>367</v>
      </c>
      <c r="B104" s="29" t="s">
        <v>368</v>
      </c>
      <c r="C104" s="29">
        <v>10103</v>
      </c>
      <c r="D104" s="29" t="s">
        <v>181</v>
      </c>
      <c r="E104" s="34" t="s">
        <v>240</v>
      </c>
      <c r="F104" s="29">
        <v>48</v>
      </c>
      <c r="G104" s="29">
        <v>20</v>
      </c>
      <c r="H104" s="29"/>
      <c r="I104" s="29"/>
    </row>
    <row r="105" spans="1:9">
      <c r="A105" s="34" t="s">
        <v>369</v>
      </c>
      <c r="B105" s="29" t="s">
        <v>370</v>
      </c>
      <c r="C105" s="29">
        <v>10104</v>
      </c>
      <c r="D105" s="29" t="s">
        <v>181</v>
      </c>
      <c r="E105" s="29" t="s">
        <v>284</v>
      </c>
      <c r="F105" s="29">
        <v>10</v>
      </c>
      <c r="G105" s="29">
        <v>1</v>
      </c>
      <c r="H105" s="29"/>
      <c r="I105" s="29"/>
    </row>
    <row r="106" spans="1:9">
      <c r="A106" s="29" t="s">
        <v>371</v>
      </c>
      <c r="B106" s="29" t="s">
        <v>372</v>
      </c>
      <c r="C106" s="29">
        <v>10105</v>
      </c>
      <c r="D106" s="29" t="s">
        <v>194</v>
      </c>
      <c r="E106" s="29" t="s">
        <v>373</v>
      </c>
      <c r="F106" s="29">
        <v>16</v>
      </c>
      <c r="G106" s="29">
        <v>5</v>
      </c>
      <c r="H106" s="29"/>
      <c r="I106" s="29"/>
    </row>
    <row r="107" spans="1:9">
      <c r="A107" s="29" t="s">
        <v>374</v>
      </c>
      <c r="B107" s="29" t="s">
        <v>375</v>
      </c>
      <c r="C107" s="29">
        <v>10106</v>
      </c>
      <c r="D107" s="29" t="s">
        <v>181</v>
      </c>
      <c r="E107" s="29" t="s">
        <v>376</v>
      </c>
      <c r="F107" s="29">
        <v>36</v>
      </c>
      <c r="G107" s="29">
        <v>13</v>
      </c>
      <c r="H107" s="29"/>
      <c r="I107" s="29"/>
    </row>
    <row r="108" spans="1:9">
      <c r="A108" s="29" t="s">
        <v>377</v>
      </c>
      <c r="B108" s="29" t="s">
        <v>378</v>
      </c>
      <c r="C108" s="29">
        <v>10107</v>
      </c>
      <c r="D108" s="29" t="s">
        <v>181</v>
      </c>
      <c r="E108" s="29" t="s">
        <v>379</v>
      </c>
      <c r="F108" s="29">
        <v>36</v>
      </c>
      <c r="G108" s="29">
        <v>15</v>
      </c>
      <c r="H108" s="29"/>
      <c r="I108" s="29"/>
    </row>
    <row r="109" spans="1:9">
      <c r="A109" s="34" t="s">
        <v>380</v>
      </c>
      <c r="B109" s="29"/>
      <c r="C109" s="29">
        <v>10108</v>
      </c>
      <c r="D109" s="29" t="s">
        <v>181</v>
      </c>
      <c r="E109" s="34" t="s">
        <v>381</v>
      </c>
      <c r="F109" s="29">
        <v>24</v>
      </c>
      <c r="G109" s="29">
        <v>10</v>
      </c>
      <c r="H109" s="29"/>
      <c r="I109" s="29"/>
    </row>
    <row r="110" spans="1:9">
      <c r="A110" s="34" t="s">
        <v>382</v>
      </c>
      <c r="B110" s="29"/>
      <c r="C110" s="29">
        <v>10109</v>
      </c>
      <c r="D110" s="29" t="s">
        <v>181</v>
      </c>
      <c r="E110" s="34" t="s">
        <v>381</v>
      </c>
      <c r="F110" s="29">
        <v>18</v>
      </c>
      <c r="G110" s="29">
        <v>10</v>
      </c>
      <c r="H110" s="29"/>
      <c r="I110" s="29"/>
    </row>
    <row r="111" spans="1:9">
      <c r="A111" s="34" t="s">
        <v>383</v>
      </c>
      <c r="B111" s="29"/>
      <c r="C111" s="29">
        <v>10110</v>
      </c>
      <c r="D111" s="29" t="s">
        <v>181</v>
      </c>
      <c r="E111" s="34" t="s">
        <v>381</v>
      </c>
      <c r="F111" s="29">
        <v>22</v>
      </c>
      <c r="G111" s="29">
        <v>20</v>
      </c>
      <c r="H111" s="29"/>
      <c r="I111" s="29"/>
    </row>
    <row r="112" spans="1:9">
      <c r="A112" s="34" t="s">
        <v>384</v>
      </c>
      <c r="B112" s="29"/>
      <c r="C112" s="29">
        <v>10111</v>
      </c>
      <c r="D112" s="29" t="s">
        <v>181</v>
      </c>
      <c r="E112" s="34" t="s">
        <v>381</v>
      </c>
      <c r="F112" s="29">
        <v>23</v>
      </c>
      <c r="G112" s="29">
        <v>20</v>
      </c>
      <c r="H112" s="29"/>
      <c r="I112" s="29"/>
    </row>
    <row r="113" spans="1:9">
      <c r="A113" s="34" t="s">
        <v>385</v>
      </c>
      <c r="B113" s="29"/>
      <c r="C113" s="29">
        <v>10112</v>
      </c>
      <c r="D113" s="29" t="s">
        <v>181</v>
      </c>
      <c r="E113" s="34" t="s">
        <v>381</v>
      </c>
      <c r="F113" s="29">
        <v>24</v>
      </c>
      <c r="G113" s="29">
        <v>10</v>
      </c>
      <c r="H113" s="29"/>
      <c r="I113" s="29"/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A$1:E$1048576" name="Range1"/>
  </protectedRanges>
  <dataValidations count="1">
    <dataValidation type="list" allowBlank="1" showInputMessage="1" showErrorMessage="1" sqref="D2:D1048576">
      <formula1>Kind</formula1>
    </dataValidation>
  </dataValidations>
  <pageMargins left="0.75" right="0.75" top="1" bottom="1" header="0.5" footer="0.5"/>
  <headerFooter/>
  <ignoredErrors>
    <ignoredError sqref="D6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5"/>
  <sheetViews>
    <sheetView topLeftCell="B1" workbookViewId="0">
      <pane ySplit="2" topLeftCell="A83" activePane="bottomLeft" state="frozen"/>
      <selection/>
      <selection pane="bottomLeft" activeCell="C111" sqref="C111:C113"/>
    </sheetView>
  </sheetViews>
  <sheetFormatPr defaultColWidth="8.70833333333333" defaultRowHeight="15"/>
  <cols>
    <col min="1" max="1" width="10" style="1" customWidth="1"/>
    <col min="2" max="2" width="72.875" style="1" customWidth="1"/>
    <col min="3" max="3" width="44.75" style="1" customWidth="1"/>
    <col min="4" max="4" width="14.2833333333333" style="1" customWidth="1"/>
    <col min="5" max="5" width="14.5666666666667" style="1" customWidth="1"/>
    <col min="6" max="6" width="11.125" style="1" customWidth="1"/>
    <col min="7" max="7" width="9.625" style="1" customWidth="1"/>
    <col min="8" max="8" width="10.125" style="1" customWidth="1"/>
    <col min="9" max="9" width="17" style="1" customWidth="1"/>
    <col min="10" max="10" width="10.8583333333333" style="1" customWidth="1"/>
    <col min="11" max="11" width="15.7083333333333" style="1" customWidth="1"/>
    <col min="12" max="12" width="9.56666666666667" style="1" customWidth="1"/>
    <col min="13" max="14" width="13.25" style="1" customWidth="1"/>
    <col min="15" max="16384" width="8.70833333333333" style="1"/>
  </cols>
  <sheetData>
    <row r="1" spans="1:14">
      <c r="A1" s="3" t="s">
        <v>386</v>
      </c>
      <c r="B1" s="3" t="s">
        <v>387</v>
      </c>
      <c r="C1" s="5" t="s">
        <v>388</v>
      </c>
      <c r="D1" s="5" t="s">
        <v>389</v>
      </c>
      <c r="E1" s="5" t="s">
        <v>390</v>
      </c>
      <c r="F1" s="160" t="s">
        <v>391</v>
      </c>
      <c r="G1" s="161"/>
      <c r="H1" s="161"/>
      <c r="I1" s="162"/>
      <c r="J1" s="3" t="s">
        <v>392</v>
      </c>
      <c r="K1" s="3" t="s">
        <v>393</v>
      </c>
      <c r="L1" s="3" t="s">
        <v>394</v>
      </c>
      <c r="M1" s="3" t="s">
        <v>395</v>
      </c>
      <c r="N1" s="3" t="s">
        <v>396</v>
      </c>
    </row>
    <row r="2" spans="1:14">
      <c r="A2" s="5"/>
      <c r="B2" s="5"/>
      <c r="C2" s="5"/>
      <c r="D2" s="5"/>
      <c r="E2" s="5"/>
      <c r="F2" s="5" t="s">
        <v>397</v>
      </c>
      <c r="G2" s="5" t="s">
        <v>398</v>
      </c>
      <c r="H2" s="5" t="s">
        <v>399</v>
      </c>
      <c r="I2" s="5" t="s">
        <v>400</v>
      </c>
      <c r="J2" s="5"/>
      <c r="K2" s="5"/>
      <c r="L2" s="5"/>
      <c r="M2" s="5"/>
      <c r="N2" s="5"/>
    </row>
    <row r="3" spans="1:14">
      <c r="A3" s="9">
        <f>VLOOKUP($C3,SKU!$A:$I,3,FALSE)</f>
        <v>10001</v>
      </c>
      <c r="B3" s="9" t="str">
        <f>VLOOKUP($C3,SKU!$A:$I,2,FALSE)</f>
        <v>《东株社》宝可梦水晶砖</v>
      </c>
      <c r="C3" s="6" t="s">
        <v>12</v>
      </c>
      <c r="D3" s="9" t="str">
        <f>VLOOKUP($C3,SKU!$A:$I,4,FALSE)</f>
        <v>Thẻ hộp/卡砖</v>
      </c>
      <c r="E3" s="9" t="str">
        <f>VLOOKUP($C3,SKU!$A:$I,5,FALSE)</f>
        <v>东株社</v>
      </c>
      <c r="F3" s="6">
        <v>1</v>
      </c>
      <c r="G3" s="9">
        <f>VLOOKUP($C3,SKU!$A:$I,6,FALSE)</f>
        <v>50</v>
      </c>
      <c r="H3" s="9">
        <f>VLOOKUP($C3,SKU!$A:$I,7,FALSE)</f>
        <v>1</v>
      </c>
      <c r="I3" s="9">
        <f>F3*G3*H3</f>
        <v>50</v>
      </c>
      <c r="J3" s="6" t="s">
        <v>401</v>
      </c>
      <c r="K3" s="6" t="s">
        <v>17</v>
      </c>
      <c r="L3" s="163" t="s">
        <v>402</v>
      </c>
      <c r="M3" s="164">
        <f>N3/H3</f>
        <v>0</v>
      </c>
      <c r="N3" s="9" cm="1">
        <f t="array" ref="N3">SUMPRODUCT(($A$3:$A$997=A3)*($I$3:$I$997))-SUMPRODUCT((Xuất出库!$A$2:$A$986=A3)*(Xuất出库!$E$2:$E$986))-SUMPRODUCT((Xuất出库!$A$2:$A$986=A3)*(Xuất出库!$F$2:$F$986))+SUMPRODUCT((Hoàn回库!$A$2:$A$996=A3)*(Hoàn回库!$E$2:$E$996))+SUMPRODUCT((Hoàn回库!$A$2:$A$996=A3)*(Hoàn回库!$F$2:$F$996))</f>
        <v>0</v>
      </c>
    </row>
    <row r="4" spans="1:14">
      <c r="A4" s="9">
        <f>VLOOKUP($C4,SKU!$A:$I,3,FALSE)</f>
        <v>10002</v>
      </c>
      <c r="B4" s="9" t="str">
        <f>VLOOKUP($C4,SKU!$A:$I,2,FALSE)</f>
        <v>MoonCard月卡《美少女战士》第三弹</v>
      </c>
      <c r="C4" s="6" t="s">
        <v>18</v>
      </c>
      <c r="D4" s="9" t="str">
        <f>VLOOKUP($C4,SKU!$A:$I,4,FALSE)</f>
        <v>Card/卡牌</v>
      </c>
      <c r="E4" s="9" t="str">
        <f>VLOOKUP($C4,SKU!$A:$I,5,FALSE)</f>
        <v>MoonCard月卡</v>
      </c>
      <c r="F4" s="6">
        <v>1</v>
      </c>
      <c r="G4" s="9">
        <f>VLOOKUP($C4,SKU!$A:$I,6,FALSE)</f>
        <v>36</v>
      </c>
      <c r="H4" s="9">
        <f>VLOOKUP($C4,SKU!$A:$I,7,FALSE)</f>
        <v>13</v>
      </c>
      <c r="I4" s="9">
        <f t="shared" ref="I4:I6" si="0">F4*G4*H4</f>
        <v>468</v>
      </c>
      <c r="J4" s="6" t="s">
        <v>401</v>
      </c>
      <c r="K4" s="6" t="s">
        <v>17</v>
      </c>
      <c r="L4" s="163" t="s">
        <v>402</v>
      </c>
      <c r="M4" s="164">
        <f>N4/H4</f>
        <v>0</v>
      </c>
      <c r="N4" s="9" cm="1">
        <f t="array" ref="N4">SUMPRODUCT(($A$3:$A$997=A4)*($I$3:$I$997))-SUMPRODUCT((Xuất出库!$A$2:$A$986=A4)*(Xuất出库!$E$2:$E$986))-SUMPRODUCT((Xuất出库!$A$2:$A$986=A4)*(Xuất出库!$F$2:$F$986))+SUMPRODUCT((Hoàn回库!$A$2:$A$996=A4)*(Hoàn回库!$E$2:$E$996))+SUMPRODUCT((Hoàn回库!$A$2:$A$996=A4)*(Hoàn回库!$F$2:$F$996))</f>
        <v>0</v>
      </c>
    </row>
    <row r="5" spans="1:14">
      <c r="A5" s="9">
        <f>VLOOKUP($C5,SKU!$A:$I,3,FALSE)</f>
        <v>10003</v>
      </c>
      <c r="B5" s="9" t="str">
        <f>VLOOKUP($C5,SKU!$A:$I,2,FALSE)</f>
        <v>DUO米全新出品鬼灭之刃-柱合会议篇第二弹</v>
      </c>
      <c r="C5" s="6" t="s">
        <v>24</v>
      </c>
      <c r="D5" s="9" t="str">
        <f>VLOOKUP($C5,SKU!$A:$I,4,FALSE)</f>
        <v>Card/卡牌</v>
      </c>
      <c r="E5" s="9" t="str">
        <f>VLOOKUP($C5,SKU!$A:$I,5,FALSE)</f>
        <v>DUO米</v>
      </c>
      <c r="F5" s="6">
        <v>2</v>
      </c>
      <c r="G5" s="9">
        <f>VLOOKUP($C5,SKU!$A:$I,6,FALSE)</f>
        <v>36</v>
      </c>
      <c r="H5" s="9">
        <f>VLOOKUP($C5,SKU!$A:$I,7,FALSE)</f>
        <v>13</v>
      </c>
      <c r="I5" s="9">
        <f t="shared" si="0"/>
        <v>936</v>
      </c>
      <c r="J5" s="6" t="s">
        <v>401</v>
      </c>
      <c r="K5" s="6" t="s">
        <v>17</v>
      </c>
      <c r="L5" s="163" t="s">
        <v>402</v>
      </c>
      <c r="M5" s="164">
        <f>N5/H5</f>
        <v>0</v>
      </c>
      <c r="N5" s="9" cm="1">
        <f t="array" ref="N5">SUMPRODUCT(($A$3:$A$997=A5)*($I$3:$I$997))-SUMPRODUCT((Xuất出库!$A$2:$A$986=A5)*(Xuất出库!$E$2:$E$986))-SUMPRODUCT((Xuất出库!$A$2:$A$986=A5)*(Xuất出库!$F$2:$F$986))+SUMPRODUCT((Hoàn回库!$A$2:$A$996=A5)*(Hoàn回库!$E$2:$E$996))+SUMPRODUCT((Hoàn回库!$A$2:$A$996=A5)*(Hoàn回库!$F$2:$F$996))</f>
        <v>0</v>
      </c>
    </row>
    <row r="6" spans="1:14">
      <c r="A6" s="9">
        <f>VLOOKUP($C6,SKU!$A:$I,3,FALSE)</f>
        <v>10004</v>
      </c>
      <c r="B6" s="9" t="str">
        <f>VLOOKUP($C6,SKU!$A:$I,2,FALSE)</f>
        <v>初见花海咒术回战第一弹</v>
      </c>
      <c r="C6" s="6" t="s">
        <v>30</v>
      </c>
      <c r="D6" s="9" t="str">
        <f>VLOOKUP($C6,SKU!$A:$I,4,FALSE)</f>
        <v>Card/卡牌</v>
      </c>
      <c r="E6" s="9" t="str">
        <f>VLOOKUP($C6,SKU!$A:$I,5,FALSE)</f>
        <v>贝贝文创</v>
      </c>
      <c r="F6" s="6">
        <v>1</v>
      </c>
      <c r="G6" s="9">
        <f>VLOOKUP($C6,SKU!$A:$I,6,FALSE)</f>
        <v>180</v>
      </c>
      <c r="H6" s="9">
        <f>VLOOKUP($C6,SKU!$A:$I,7,FALSE)</f>
        <v>1</v>
      </c>
      <c r="I6" s="9">
        <f t="shared" si="0"/>
        <v>180</v>
      </c>
      <c r="J6" s="6" t="s">
        <v>401</v>
      </c>
      <c r="K6" s="6" t="s">
        <v>17</v>
      </c>
      <c r="L6" s="163" t="s">
        <v>402</v>
      </c>
      <c r="M6" s="164">
        <f>N6/H6</f>
        <v>27</v>
      </c>
      <c r="N6" s="9" cm="1">
        <f t="array" ref="N6">SUMPRODUCT(($A$3:$A$997=A6)*($I$3:$I$997))-SUMPRODUCT((Xuất出库!$A$2:$A$986=A6)*(Xuất出库!$E$2:$E$986))-SUMPRODUCT((Xuất出库!$A$2:$A$986=A6)*(Xuất出库!$F$2:$F$986))+SUMPRODUCT((Hoàn回库!$A$2:$A$996=A6)*(Hoàn回库!$E$2:$E$996))+SUMPRODUCT((Hoàn回库!$A$2:$A$996=A6)*(Hoàn回库!$F$2:$F$996))</f>
        <v>27</v>
      </c>
    </row>
    <row r="7" spans="1:14">
      <c r="A7" s="9">
        <f>VLOOKUP($C7,SKU!$A:$I,3,FALSE)</f>
        <v>10005</v>
      </c>
      <c r="B7" s="9" t="str">
        <f>VLOOKUP($C7,SKU!$A:$I,2,FALSE)</f>
        <v>椿柚文创宫崎骏 被风吹散的秘密邮票第一弹</v>
      </c>
      <c r="C7" s="6" t="s">
        <v>36</v>
      </c>
      <c r="D7" s="9" t="str">
        <f>VLOOKUP($C7,SKU!$A:$I,4,FALSE)</f>
        <v>Card/邮票</v>
      </c>
      <c r="E7" s="9" t="str">
        <f>VLOOKUP($C7,SKU!$A:$I,5,FALSE)</f>
        <v>椿柚文创</v>
      </c>
      <c r="F7" s="6">
        <v>1</v>
      </c>
      <c r="G7" s="9">
        <f>VLOOKUP($C7,SKU!$A:$I,6,FALSE)</f>
        <v>100</v>
      </c>
      <c r="H7" s="9">
        <f>VLOOKUP($C7,SKU!$A:$I,7,FALSE)</f>
        <v>1</v>
      </c>
      <c r="I7" s="9">
        <f t="shared" ref="I7" si="1">F7*G7*H7</f>
        <v>100</v>
      </c>
      <c r="J7" s="6" t="s">
        <v>401</v>
      </c>
      <c r="K7" s="6" t="s">
        <v>17</v>
      </c>
      <c r="L7" s="163" t="s">
        <v>402</v>
      </c>
      <c r="M7" s="164">
        <f t="shared" ref="M7" si="2">N7/H7</f>
        <v>0</v>
      </c>
      <c r="N7" s="9" cm="1">
        <f t="array" ref="N7">SUMPRODUCT(($A$3:$A$997=A7)*($I$3:$I$997))-SUMPRODUCT((Xuất出库!$A$2:$A$986=A7)*(Xuất出库!$E$2:$E$986))-SUMPRODUCT((Xuất出库!$A$2:$A$986=A7)*(Xuất出库!$F$2:$F$986))+SUMPRODUCT((Hoàn回库!$A$2:$A$996=A7)*(Hoàn回库!$E$2:$E$996))+SUMPRODUCT((Hoàn回库!$A$2:$A$996=A7)*(Hoàn回库!$F$2:$F$996))</f>
        <v>0</v>
      </c>
    </row>
    <row r="8" spans="1:14">
      <c r="A8" s="9">
        <f>VLOOKUP($C8,SKU!$A:$I,3,FALSE)</f>
        <v>10006</v>
      </c>
      <c r="B8" s="9" t="str">
        <f>VLOOKUP($C8,SKU!$A:$I,2,FALSE)</f>
        <v>云映文化「云之境の夏」第二弹·宫崎骏珍藏卡牌</v>
      </c>
      <c r="C8" s="6" t="s">
        <v>43</v>
      </c>
      <c r="D8" s="9" t="str">
        <f>VLOOKUP($C8,SKU!$A:$I,4,FALSE)</f>
        <v>Card/卡牌</v>
      </c>
      <c r="E8" s="9" t="str">
        <f>VLOOKUP($C8,SKU!$A:$I,5,FALSE)</f>
        <v>云映文化</v>
      </c>
      <c r="F8" s="6">
        <v>2</v>
      </c>
      <c r="G8" s="9">
        <f>VLOOKUP($C8,SKU!$A:$I,6,FALSE)</f>
        <v>36</v>
      </c>
      <c r="H8" s="9">
        <f>VLOOKUP($C8,SKU!$A:$I,7,FALSE)</f>
        <v>13</v>
      </c>
      <c r="I8" s="9">
        <f t="shared" ref="I8:I20" si="3">F8*G8*H8</f>
        <v>936</v>
      </c>
      <c r="J8" s="6" t="s">
        <v>401</v>
      </c>
      <c r="K8" s="6" t="s">
        <v>17</v>
      </c>
      <c r="L8" s="163" t="s">
        <v>402</v>
      </c>
      <c r="M8" s="164">
        <f t="shared" ref="M8:M20" si="4">N8/H8</f>
        <v>-5</v>
      </c>
      <c r="N8" s="9" cm="1">
        <f t="array" ref="N8">SUMPRODUCT(($A$3:$A$997=A8)*($I$3:$I$997))-SUMPRODUCT((Xuất出库!$A$2:$A$986=A8)*(Xuất出库!$E$2:$E$986))-SUMPRODUCT((Xuất出库!$A$2:$A$986=A8)*(Xuất出库!$F$2:$F$986))+SUMPRODUCT((Hoàn回库!$A$2:$A$996=A8)*(Hoàn回库!$E$2:$E$996))+SUMPRODUCT((Hoàn回库!$A$2:$A$996=A8)*(Hoàn回库!$F$2:$F$996))</f>
        <v>-65</v>
      </c>
    </row>
    <row r="9" spans="1:14">
      <c r="A9" s="9">
        <f>VLOOKUP($C9,SKU!$A:$I,3,FALSE)</f>
        <v>10007</v>
      </c>
      <c r="B9" s="9" t="str">
        <f>VLOOKUP($C9,SKU!$A:$I,2,FALSE)</f>
        <v>kawaii宫崎骏梦幻之国</v>
      </c>
      <c r="C9" s="6" t="s">
        <v>49</v>
      </c>
      <c r="D9" s="9" t="str">
        <f>VLOOKUP($C9,SKU!$A:$I,4,FALSE)</f>
        <v>Card/卡牌</v>
      </c>
      <c r="E9" s="9" t="str">
        <f>VLOOKUP($C9,SKU!$A:$I,5,FALSE)</f>
        <v>kawaii</v>
      </c>
      <c r="F9" s="6">
        <v>2</v>
      </c>
      <c r="G9" s="9">
        <f>VLOOKUP($C9,SKU!$A:$I,6,FALSE)</f>
        <v>36</v>
      </c>
      <c r="H9" s="9">
        <f>VLOOKUP($C9,SKU!$A:$I,7,FALSE)</f>
        <v>13</v>
      </c>
      <c r="I9" s="9">
        <f t="shared" si="3"/>
        <v>936</v>
      </c>
      <c r="J9" s="6" t="s">
        <v>401</v>
      </c>
      <c r="K9" s="6" t="s">
        <v>17</v>
      </c>
      <c r="L9" s="163" t="s">
        <v>402</v>
      </c>
      <c r="M9" s="164">
        <f t="shared" si="4"/>
        <v>0</v>
      </c>
      <c r="N9" s="9" cm="1">
        <f t="array" ref="N9">SUMPRODUCT(($A$3:$A$997=A9)*($I$3:$I$997))-SUMPRODUCT((Xuất出库!$A$2:$A$986=A9)*(Xuất出库!$E$2:$E$986))-SUMPRODUCT((Xuất出库!$A$2:$A$986=A9)*(Xuất出库!$F$2:$F$986))+SUMPRODUCT((Hoàn回库!$A$2:$A$996=A9)*(Hoàn回库!$E$2:$E$996))+SUMPRODUCT((Hoàn回库!$A$2:$A$996=A9)*(Hoàn回库!$F$2:$F$996))</f>
        <v>0</v>
      </c>
    </row>
    <row r="10" spans="1:14">
      <c r="A10" s="9">
        <f>VLOOKUP($C10,SKU!$A:$I,3,FALSE)</f>
        <v>10008</v>
      </c>
      <c r="B10" s="9" t="str">
        <f>VLOOKUP($C10,SKU!$A:$I,2,FALSE)</f>
        <v>XWork美少女战士-璀璨之梦</v>
      </c>
      <c r="C10" s="6" t="s">
        <v>55</v>
      </c>
      <c r="D10" s="9" t="str">
        <f>VLOOKUP($C10,SKU!$A:$I,4,FALSE)</f>
        <v>Card/卡牌</v>
      </c>
      <c r="E10" s="9" t="str">
        <f>VLOOKUP($C10,SKU!$A:$I,5,FALSE)</f>
        <v>XWork</v>
      </c>
      <c r="F10" s="6">
        <v>2</v>
      </c>
      <c r="G10" s="9">
        <f>VLOOKUP($C10,SKU!$A:$I,6,FALSE)</f>
        <v>36</v>
      </c>
      <c r="H10" s="9">
        <f>VLOOKUP($C10,SKU!$A:$I,7,FALSE)</f>
        <v>10</v>
      </c>
      <c r="I10" s="9">
        <f t="shared" si="3"/>
        <v>720</v>
      </c>
      <c r="J10" s="6" t="s">
        <v>401</v>
      </c>
      <c r="K10" s="6" t="s">
        <v>17</v>
      </c>
      <c r="L10" s="163" t="s">
        <v>402</v>
      </c>
      <c r="M10" s="164">
        <f t="shared" si="4"/>
        <v>0</v>
      </c>
      <c r="N10" s="9" cm="1">
        <f t="array" ref="N10">SUMPRODUCT(($A$3:$A$997=A10)*($I$3:$I$997))-SUMPRODUCT((Xuất出库!$A$2:$A$986=A10)*(Xuất出库!$E$2:$E$986))-SUMPRODUCT((Xuất出库!$A$2:$A$986=A10)*(Xuất出库!$F$2:$F$986))+SUMPRODUCT((Hoàn回库!$A$2:$A$996=A10)*(Hoàn回库!$E$2:$E$996))+SUMPRODUCT((Hoàn回库!$A$2:$A$996=A10)*(Hoàn回库!$F$2:$F$996))</f>
        <v>0</v>
      </c>
    </row>
    <row r="11" spans="1:14">
      <c r="A11" s="9">
        <f>VLOOKUP($C11,SKU!$A:$I,3,FALSE)</f>
        <v>10009</v>
      </c>
      <c r="B11" s="9" t="str">
        <f>VLOOKUP($C11,SKU!$A:$I,2,FALSE)</f>
        <v>万画云游三丽鸥家族百变cos收藏卡</v>
      </c>
      <c r="C11" s="6" t="s">
        <v>61</v>
      </c>
      <c r="D11" s="9" t="str">
        <f>VLOOKUP($C11,SKU!$A:$I,4,FALSE)</f>
        <v>Card/卡牌</v>
      </c>
      <c r="E11" s="9" t="str">
        <f>VLOOKUP($C11,SKU!$A:$I,5,FALSE)</f>
        <v>万画云游</v>
      </c>
      <c r="F11" s="6">
        <v>1</v>
      </c>
      <c r="G11" s="9">
        <f>VLOOKUP($C11,SKU!$A:$I,6,FALSE)</f>
        <v>24</v>
      </c>
      <c r="H11" s="9">
        <f>VLOOKUP($C11,SKU!$A:$I,7,FALSE)</f>
        <v>10</v>
      </c>
      <c r="I11" s="9">
        <f t="shared" si="3"/>
        <v>240</v>
      </c>
      <c r="J11" s="6" t="s">
        <v>401</v>
      </c>
      <c r="K11" s="6" t="s">
        <v>17</v>
      </c>
      <c r="L11" s="163" t="s">
        <v>402</v>
      </c>
      <c r="M11" s="164">
        <f t="shared" si="4"/>
        <v>0</v>
      </c>
      <c r="N11" s="9" cm="1">
        <f t="array" ref="N11">SUMPRODUCT(($A$3:$A$997=A11)*($I$3:$I$997))-SUMPRODUCT((Xuất出库!$A$2:$A$986=A11)*(Xuất出库!$E$2:$E$986))-SUMPRODUCT((Xuất出库!$A$2:$A$986=A11)*(Xuất出库!$F$2:$F$986))+SUMPRODUCT((Hoàn回库!$A$2:$A$996=A11)*(Hoàn回库!$E$2:$E$996))+SUMPRODUCT((Hoàn回库!$A$2:$A$996=A11)*(Hoàn回库!$F$2:$F$996))</f>
        <v>0</v>
      </c>
    </row>
    <row r="12" spans="1:14">
      <c r="A12" s="9">
        <f>VLOOKUP($C12,SKU!$A:$I,3,FALSE)</f>
        <v>10010</v>
      </c>
      <c r="B12" s="9" t="str">
        <f>VLOOKUP($C12,SKU!$A:$I,2,FALSE)</f>
        <v>玩的入迷-魔卡少女樱第一弹—樱之绮遇</v>
      </c>
      <c r="C12" s="6" t="s">
        <v>66</v>
      </c>
      <c r="D12" s="9" t="str">
        <f>VLOOKUP($C12,SKU!$A:$I,4,FALSE)</f>
        <v>Card/卡牌</v>
      </c>
      <c r="E12" s="9" t="str">
        <f>VLOOKUP($C12,SKU!$A:$I,5,FALSE)</f>
        <v>玩的入迷</v>
      </c>
      <c r="F12" s="6">
        <v>1</v>
      </c>
      <c r="G12" s="9">
        <f>VLOOKUP($C12,SKU!$A:$I,6,FALSE)</f>
        <v>36</v>
      </c>
      <c r="H12" s="9">
        <f>VLOOKUP($C12,SKU!$A:$I,7,FALSE)</f>
        <v>13</v>
      </c>
      <c r="I12" s="9">
        <f t="shared" si="3"/>
        <v>468</v>
      </c>
      <c r="J12" s="6" t="s">
        <v>401</v>
      </c>
      <c r="K12" s="6" t="s">
        <v>17</v>
      </c>
      <c r="L12" s="163" t="s">
        <v>402</v>
      </c>
      <c r="M12" s="164">
        <f t="shared" si="4"/>
        <v>0</v>
      </c>
      <c r="N12" s="9" cm="1">
        <f t="array" ref="N12">SUMPRODUCT(($A$3:$A$997=A12)*($I$3:$I$997))-SUMPRODUCT((Xuất出库!$A$2:$A$986=A12)*(Xuất出库!$E$2:$E$986))-SUMPRODUCT((Xuất出库!$A$2:$A$986=A12)*(Xuất出库!$F$2:$F$986))+SUMPRODUCT((Hoàn回库!$A$2:$A$996=A12)*(Hoàn回库!$E$2:$E$996))+SUMPRODUCT((Hoàn回库!$A$2:$A$996=A12)*(Hoàn回库!$F$2:$F$996))</f>
        <v>0</v>
      </c>
    </row>
    <row r="13" spans="1:14">
      <c r="A13" s="9">
        <f>VLOOKUP($C13,SKU!$A:$I,3,FALSE)</f>
        <v>10011</v>
      </c>
      <c r="B13" s="9" t="str">
        <f>VLOOKUP($C13,SKU!$A:$I,2,FALSE)</f>
        <v>灿卡文创宫崎骏第二弹《花涧物语》</v>
      </c>
      <c r="C13" s="6" t="s">
        <v>71</v>
      </c>
      <c r="D13" s="9" t="str">
        <f>VLOOKUP($C13,SKU!$A:$I,4,FALSE)</f>
        <v>Card/卡牌</v>
      </c>
      <c r="E13" s="9" t="str">
        <f>VLOOKUP($C13,SKU!$A:$I,5,FALSE)</f>
        <v>灿卡文创</v>
      </c>
      <c r="F13" s="6">
        <v>2</v>
      </c>
      <c r="G13" s="9">
        <f>VLOOKUP($C13,SKU!$A:$I,6,FALSE)</f>
        <v>36</v>
      </c>
      <c r="H13" s="9">
        <f>VLOOKUP($C13,SKU!$A:$I,7,FALSE)</f>
        <v>13</v>
      </c>
      <c r="I13" s="9">
        <f t="shared" si="3"/>
        <v>936</v>
      </c>
      <c r="J13" s="6" t="s">
        <v>401</v>
      </c>
      <c r="K13" s="6" t="s">
        <v>17</v>
      </c>
      <c r="L13" s="163" t="s">
        <v>402</v>
      </c>
      <c r="M13" s="164">
        <f t="shared" si="4"/>
        <v>0</v>
      </c>
      <c r="N13" s="9" cm="1">
        <f t="array" ref="N13">SUMPRODUCT(($A$3:$A$997=A13)*($I$3:$I$997))-SUMPRODUCT((Xuất出库!$A$2:$A$986=A13)*(Xuất出库!$E$2:$E$986))-SUMPRODUCT((Xuất出库!$A$2:$A$986=A13)*(Xuất出库!$F$2:$F$986))+SUMPRODUCT((Hoàn回库!$A$2:$A$996=A13)*(Hoàn回库!$E$2:$E$996))+SUMPRODUCT((Hoàn回库!$A$2:$A$996=A13)*(Hoàn回库!$F$2:$F$996))</f>
        <v>0</v>
      </c>
    </row>
    <row r="14" spans="1:14">
      <c r="A14" s="9">
        <f>VLOOKUP($C14,SKU!$A:$I,3,FALSE)</f>
        <v>10012</v>
      </c>
      <c r="B14" s="9" t="str">
        <f>VLOOKUP($C14,SKU!$A:$I,2,FALSE)</f>
        <v>卡文化进击的巨人</v>
      </c>
      <c r="C14" s="6" t="s">
        <v>75</v>
      </c>
      <c r="D14" s="9" t="str">
        <f>VLOOKUP($C14,SKU!$A:$I,4,FALSE)</f>
        <v>Card/卡牌</v>
      </c>
      <c r="E14" s="9" t="str">
        <f>VLOOKUP($C14,SKU!$A:$I,5,FALSE)</f>
        <v>卡文化</v>
      </c>
      <c r="F14" s="6">
        <v>1</v>
      </c>
      <c r="G14" s="9">
        <f>VLOOKUP($C14,SKU!$A:$I,6,FALSE)</f>
        <v>48</v>
      </c>
      <c r="H14" s="9">
        <f>VLOOKUP($C14,SKU!$A:$I,7,FALSE)</f>
        <v>30</v>
      </c>
      <c r="I14" s="9">
        <f t="shared" si="3"/>
        <v>1440</v>
      </c>
      <c r="J14" s="6" t="s">
        <v>401</v>
      </c>
      <c r="K14" s="6" t="s">
        <v>17</v>
      </c>
      <c r="L14" s="163" t="s">
        <v>402</v>
      </c>
      <c r="M14" s="164">
        <f t="shared" si="4"/>
        <v>10</v>
      </c>
      <c r="N14" s="9" cm="1">
        <f t="array" ref="N14">SUMPRODUCT(($A$3:$A$997=A14)*($I$3:$I$997))-SUMPRODUCT((Xuất出库!$A$2:$A$986=A14)*(Xuất出库!$E$2:$E$986))-SUMPRODUCT((Xuất出库!$A$2:$A$986=A14)*(Xuất出库!$F$2:$F$986))+SUMPRODUCT((Hoàn回库!$A$2:$A$996=A14)*(Hoàn回库!$E$2:$E$996))+SUMPRODUCT((Hoàn回库!$A$2:$A$996=A14)*(Hoàn回库!$F$2:$F$996))</f>
        <v>300</v>
      </c>
    </row>
    <row r="15" spans="1:14">
      <c r="A15" s="9">
        <f>VLOOKUP($C15,SKU!$A:$I,3,FALSE)</f>
        <v>10013</v>
      </c>
      <c r="B15" s="9" t="str">
        <f>VLOOKUP($C15,SKU!$A:$I,2,FALSE)</f>
        <v>皇卡 × 鬼灭《血月之契》篇决战无限城收藏卡</v>
      </c>
      <c r="C15" s="6" t="s">
        <v>79</v>
      </c>
      <c r="D15" s="9" t="str">
        <f>VLOOKUP($C15,SKU!$A:$I,4,FALSE)</f>
        <v>Card/卡牌</v>
      </c>
      <c r="E15" s="9" t="str">
        <f>VLOOKUP($C15,SKU!$A:$I,5,FALSE)</f>
        <v>皇卡</v>
      </c>
      <c r="F15" s="6">
        <v>2</v>
      </c>
      <c r="G15" s="9">
        <f>VLOOKUP($C15,SKU!$A:$I,6,FALSE)</f>
        <v>36</v>
      </c>
      <c r="H15" s="9">
        <f>VLOOKUP($C15,SKU!$A:$I,7,FALSE)</f>
        <v>12</v>
      </c>
      <c r="I15" s="9">
        <f t="shared" si="3"/>
        <v>864</v>
      </c>
      <c r="J15" s="6" t="s">
        <v>401</v>
      </c>
      <c r="K15" s="6" t="s">
        <v>17</v>
      </c>
      <c r="L15" s="163" t="s">
        <v>402</v>
      </c>
      <c r="M15" s="164">
        <f t="shared" si="4"/>
        <v>47.3333333333333</v>
      </c>
      <c r="N15" s="9" cm="1">
        <f t="array" ref="N15">SUMPRODUCT(($A$3:$A$997=A15)*($I$3:$I$997))-SUMPRODUCT((Xuất出库!$A$2:$A$986=A15)*(Xuất出库!$E$2:$E$986))-SUMPRODUCT((Xuất出库!$A$2:$A$986=A15)*(Xuất出库!$F$2:$F$986))+SUMPRODUCT((Hoàn回库!$A$2:$A$996=A15)*(Hoàn回库!$E$2:$E$996))+SUMPRODUCT((Hoàn回库!$A$2:$A$996=A15)*(Hoàn回库!$F$2:$F$996))</f>
        <v>568</v>
      </c>
    </row>
    <row r="16" spans="1:14">
      <c r="A16" s="9">
        <f>VLOOKUP($C16,SKU!$A:$I,3,FALSE)</f>
        <v>10014</v>
      </c>
      <c r="B16" s="9" t="str">
        <f>VLOOKUP($C16,SKU!$A:$I,2,FALSE)</f>
        <v>星梦文创-Studio Ghibli宫崎骏撕撕乐系列 </v>
      </c>
      <c r="C16" s="6" t="s">
        <v>83</v>
      </c>
      <c r="D16" s="9" t="str">
        <f>VLOOKUP($C16,SKU!$A:$I,4,FALSE)</f>
        <v>Thẻ xé/撕撕乐</v>
      </c>
      <c r="E16" s="9" t="str">
        <f>VLOOKUP($C16,SKU!$A:$I,5,FALSE)</f>
        <v>星梦文创</v>
      </c>
      <c r="F16" s="6">
        <v>2</v>
      </c>
      <c r="G16" s="9">
        <f>VLOOKUP($C16,SKU!$A:$I,6,FALSE)</f>
        <v>100</v>
      </c>
      <c r="H16" s="9">
        <f>VLOOKUP($C16,SKU!$A:$I,7,FALSE)</f>
        <v>3</v>
      </c>
      <c r="I16" s="9">
        <f t="shared" si="3"/>
        <v>600</v>
      </c>
      <c r="J16" s="6" t="s">
        <v>401</v>
      </c>
      <c r="K16" s="6" t="s">
        <v>17</v>
      </c>
      <c r="L16" s="163" t="s">
        <v>402</v>
      </c>
      <c r="M16" s="164">
        <f t="shared" si="4"/>
        <v>5</v>
      </c>
      <c r="N16" s="9" cm="1">
        <f t="array" ref="N16">SUMPRODUCT(($A$3:$A$997=A16)*($I$3:$I$997))-SUMPRODUCT((Xuất出库!$A$2:$A$986=A16)*(Xuất出库!$E$2:$E$986))-SUMPRODUCT((Xuất出库!$A$2:$A$986=A16)*(Xuất出库!$F$2:$F$986))+SUMPRODUCT((Hoàn回库!$A$2:$A$996=A16)*(Hoàn回库!$E$2:$E$996))+SUMPRODUCT((Hoàn回库!$A$2:$A$996=A16)*(Hoàn回库!$F$2:$F$996))</f>
        <v>15</v>
      </c>
    </row>
    <row r="17" spans="1:14">
      <c r="A17" s="9">
        <f>VLOOKUP($C17,SKU!$A:$I,3,FALSE)</f>
        <v>10015</v>
      </c>
      <c r="B17" s="9" t="str">
        <f>VLOOKUP($C17,SKU!$A:$I,2,FALSE)</f>
        <v>梦绘文创-宫崎骏第二弹</v>
      </c>
      <c r="C17" s="6" t="s">
        <v>87</v>
      </c>
      <c r="D17" s="9" t="str">
        <f>VLOOKUP($C17,SKU!$A:$I,4,FALSE)</f>
        <v>Card/卡牌</v>
      </c>
      <c r="E17" s="9" t="str">
        <f>VLOOKUP($C17,SKU!$A:$I,5,FALSE)</f>
        <v>梦绘文创</v>
      </c>
      <c r="F17" s="6">
        <v>1</v>
      </c>
      <c r="G17" s="9">
        <f>VLOOKUP($C17,SKU!$A:$I,6,FALSE)</f>
        <v>36</v>
      </c>
      <c r="H17" s="9">
        <f>VLOOKUP($C17,SKU!$A:$I,7,FALSE)</f>
        <v>12</v>
      </c>
      <c r="I17" s="9">
        <f t="shared" si="3"/>
        <v>432</v>
      </c>
      <c r="J17" s="6" t="s">
        <v>401</v>
      </c>
      <c r="K17" s="6" t="s">
        <v>17</v>
      </c>
      <c r="L17" s="163" t="s">
        <v>402</v>
      </c>
      <c r="M17" s="164">
        <f t="shared" si="4"/>
        <v>1</v>
      </c>
      <c r="N17" s="9" cm="1">
        <f t="array" ref="N17">SUMPRODUCT(($A$3:$A$997=A17)*($I$3:$I$997))-SUMPRODUCT((Xuất出库!$A$2:$A$986=A17)*(Xuất出库!$E$2:$E$986))-SUMPRODUCT((Xuất出库!$A$2:$A$986=A17)*(Xuất出库!$F$2:$F$986))+SUMPRODUCT((Hoàn回库!$A$2:$A$996=A17)*(Hoàn回库!$E$2:$E$996))+SUMPRODUCT((Hoàn回库!$A$2:$A$996=A17)*(Hoàn回库!$F$2:$F$996))</f>
        <v>12</v>
      </c>
    </row>
    <row r="18" spans="1:14">
      <c r="A18" s="9">
        <f>VLOOKUP($C18,SKU!$A:$I,3,FALSE)</f>
        <v>10016</v>
      </c>
      <c r="B18" s="9" t="str">
        <f>VLOOKUP($C18,SKU!$A:$I,2,FALSE)</f>
        <v>思梨普文创《hey!国王陛下》集换式艺术家典藏卡</v>
      </c>
      <c r="C18" s="6" t="s">
        <v>91</v>
      </c>
      <c r="D18" s="9" t="str">
        <f>VLOOKUP($C18,SKU!$A:$I,4,FALSE)</f>
        <v>Card/卡牌</v>
      </c>
      <c r="E18" s="9" t="str">
        <f>VLOOKUP($C18,SKU!$A:$I,5,FALSE)</f>
        <v>思梨普文创</v>
      </c>
      <c r="F18" s="6">
        <v>2</v>
      </c>
      <c r="G18" s="9">
        <f>VLOOKUP($C18,SKU!$A:$I,6,FALSE)</f>
        <v>36</v>
      </c>
      <c r="H18" s="9">
        <f>VLOOKUP($C18,SKU!$A:$I,7,FALSE)</f>
        <v>10</v>
      </c>
      <c r="I18" s="9">
        <f t="shared" si="3"/>
        <v>720</v>
      </c>
      <c r="J18" s="6" t="s">
        <v>401</v>
      </c>
      <c r="K18" s="6" t="s">
        <v>17</v>
      </c>
      <c r="L18" s="163" t="s">
        <v>402</v>
      </c>
      <c r="M18" s="164">
        <f t="shared" si="4"/>
        <v>-2.5</v>
      </c>
      <c r="N18" s="9" cm="1">
        <f t="array" ref="N18">SUMPRODUCT(($A$3:$A$997=A18)*($I$3:$I$997))-SUMPRODUCT((Xuất出库!$A$2:$A$986=A18)*(Xuất出库!$E$2:$E$986))-SUMPRODUCT((Xuất出库!$A$2:$A$986=A18)*(Xuất出库!$F$2:$F$986))+SUMPRODUCT((Hoàn回库!$A$2:$A$996=A18)*(Hoàn回库!$E$2:$E$996))+SUMPRODUCT((Hoàn回库!$A$2:$A$996=A18)*(Hoàn回库!$F$2:$F$996))</f>
        <v>-25</v>
      </c>
    </row>
    <row r="19" spans="1:14">
      <c r="A19" s="9">
        <f>VLOOKUP($C19,SKU!$A:$I,3,FALSE)</f>
        <v>10017</v>
      </c>
      <c r="B19" s="9" t="str">
        <f>VLOOKUP($C19,SKU!$A:$I,2,FALSE)</f>
        <v>梦境-美少女战士第一弹</v>
      </c>
      <c r="C19" s="6" t="s">
        <v>95</v>
      </c>
      <c r="D19" s="9" t="str">
        <f>VLOOKUP($C19,SKU!$A:$I,4,FALSE)</f>
        <v>Card/卡牌</v>
      </c>
      <c r="E19" s="9" t="str">
        <f>VLOOKUP($C19,SKU!$A:$I,5,FALSE)</f>
        <v>梦境</v>
      </c>
      <c r="F19" s="6">
        <v>1</v>
      </c>
      <c r="G19" s="9">
        <f>VLOOKUP($C19,SKU!$A:$I,6,FALSE)</f>
        <v>36</v>
      </c>
      <c r="H19" s="9">
        <f>VLOOKUP($C19,SKU!$A:$I,7,FALSE)</f>
        <v>13</v>
      </c>
      <c r="I19" s="9">
        <f t="shared" si="3"/>
        <v>468</v>
      </c>
      <c r="J19" s="6" t="s">
        <v>401</v>
      </c>
      <c r="K19" s="6" t="s">
        <v>17</v>
      </c>
      <c r="L19" s="163" t="s">
        <v>402</v>
      </c>
      <c r="M19" s="164">
        <f t="shared" si="4"/>
        <v>0</v>
      </c>
      <c r="N19" s="9" cm="1">
        <f t="array" ref="N19">SUMPRODUCT(($A$3:$A$997=A19)*($I$3:$I$997))-SUMPRODUCT((Xuất出库!$A$2:$A$986=A19)*(Xuất出库!$E$2:$E$986))-SUMPRODUCT((Xuất出库!$A$2:$A$986=A19)*(Xuất出库!$F$2:$F$986))+SUMPRODUCT((Hoàn回库!$A$2:$A$996=A19)*(Hoàn回库!$E$2:$E$996))+SUMPRODUCT((Hoàn回库!$A$2:$A$996=A19)*(Hoàn回库!$F$2:$F$996))</f>
        <v>0</v>
      </c>
    </row>
    <row r="20" spans="1:14">
      <c r="A20" s="9">
        <f>VLOOKUP($C20,SKU!$A:$I,3,FALSE)</f>
        <v>10019</v>
      </c>
      <c r="B20" s="9" t="str">
        <f>VLOOKUP($C20,SKU!$A:$I,2,FALSE)</f>
        <v>谷子力量 x 竹烟波月亚克力透卡</v>
      </c>
      <c r="C20" s="6" t="s">
        <v>103</v>
      </c>
      <c r="D20" s="9" t="str">
        <f>VLOOKUP($C20,SKU!$A:$I,4,FALSE)</f>
        <v>Thẻ bự/色纸</v>
      </c>
      <c r="E20" s="9" t="str">
        <f>VLOOKUP($C20,SKU!$A:$I,5,FALSE)</f>
        <v>谷子力量</v>
      </c>
      <c r="F20" s="6">
        <v>1</v>
      </c>
      <c r="G20" s="9">
        <f>VLOOKUP($C20,SKU!$A:$I,6,FALSE)</f>
        <v>150</v>
      </c>
      <c r="H20" s="9">
        <f>VLOOKUP($C20,SKU!$A:$I,7,FALSE)</f>
        <v>1</v>
      </c>
      <c r="I20" s="9">
        <f t="shared" si="3"/>
        <v>150</v>
      </c>
      <c r="J20" s="6" t="s">
        <v>401</v>
      </c>
      <c r="K20" s="6" t="s">
        <v>17</v>
      </c>
      <c r="L20" s="10" t="s">
        <v>403</v>
      </c>
      <c r="M20" s="164">
        <f t="shared" si="4"/>
        <v>0</v>
      </c>
      <c r="N20" s="9" cm="1">
        <f t="array" ref="N20">SUMPRODUCT(($A$3:$A$997=A20)*($I$3:$I$997))-SUMPRODUCT((Xuất出库!$A$2:$A$986=A20)*(Xuất出库!$E$2:$E$986))-SUMPRODUCT((Xuất出库!$A$2:$A$986=A20)*(Xuất出库!$F$2:$F$986))+SUMPRODUCT((Hoàn回库!$A$2:$A$996=A20)*(Hoàn回库!$E$2:$E$996))+SUMPRODUCT((Hoàn回库!$A$2:$A$996=A20)*(Hoàn回库!$F$2:$F$996))</f>
        <v>0</v>
      </c>
    </row>
    <row r="21" spans="1:14">
      <c r="A21" s="9">
        <f>VLOOKUP($C21,SKU!$A:$I,3,FALSE)</f>
        <v>10020</v>
      </c>
      <c r="B21" s="9" t="str">
        <f>VLOOKUP($C21,SKU!$A:$I,2,FALSE)</f>
        <v>集卡社小樱</v>
      </c>
      <c r="C21" s="6" t="s">
        <v>107</v>
      </c>
      <c r="D21" s="9" t="str">
        <f>VLOOKUP($C21,SKU!$A:$I,4,FALSE)</f>
        <v>Card/卡牌</v>
      </c>
      <c r="E21" s="9" t="str">
        <f>VLOOKUP($C21,SKU!$A:$I,5,FALSE)</f>
        <v>集卡社</v>
      </c>
      <c r="F21" s="6">
        <v>1</v>
      </c>
      <c r="G21" s="9">
        <f>VLOOKUP($C21,SKU!$A:$I,6,FALSE)</f>
        <v>36</v>
      </c>
      <c r="H21" s="9">
        <f>VLOOKUP($C21,SKU!$A:$I,7,FALSE)</f>
        <v>16</v>
      </c>
      <c r="I21" s="9">
        <f t="shared" ref="I21:I35" si="5">F21*G21*H21</f>
        <v>576</v>
      </c>
      <c r="J21" s="6" t="s">
        <v>401</v>
      </c>
      <c r="K21" s="6" t="s">
        <v>17</v>
      </c>
      <c r="L21" s="10" t="s">
        <v>403</v>
      </c>
      <c r="M21" s="164">
        <f t="shared" ref="M21:M35" si="6">N21/H21</f>
        <v>0</v>
      </c>
      <c r="N21" s="9" cm="1">
        <f t="array" ref="N21">SUMPRODUCT(($A$3:$A$997=A21)*($I$3:$I$997))-SUMPRODUCT((Xuất出库!$A$2:$A$986=A21)*(Xuất出库!$E$2:$E$986))-SUMPRODUCT((Xuất出库!$A$2:$A$986=A21)*(Xuất出库!$F$2:$F$986))+SUMPRODUCT((Hoàn回库!$A$2:$A$996=A21)*(Hoàn回库!$E$2:$E$996))+SUMPRODUCT((Hoàn回库!$A$2:$A$996=A21)*(Hoàn回库!$F$2:$F$996))</f>
        <v>0</v>
      </c>
    </row>
    <row r="22" spans="1:14">
      <c r="A22" s="9">
        <f>VLOOKUP($C22,SKU!$A:$I,3,FALSE)</f>
        <v>10021</v>
      </c>
      <c r="B22" s="9" t="str">
        <f>VLOOKUP($C22,SKU!$A:$I,2,FALSE)</f>
        <v>新谷动漫名侦探柯南·仲夏夜之恋邮票集</v>
      </c>
      <c r="C22" s="6" t="s">
        <v>111</v>
      </c>
      <c r="D22" s="9" t="str">
        <f>VLOOKUP($C22,SKU!$A:$I,4,FALSE)</f>
        <v>Phiếu tem/邮票</v>
      </c>
      <c r="E22" s="9" t="str">
        <f>VLOOKUP($C22,SKU!$A:$I,5,FALSE)</f>
        <v>新谷动漫</v>
      </c>
      <c r="F22" s="6">
        <v>2</v>
      </c>
      <c r="G22" s="9">
        <f>VLOOKUP($C22,SKU!$A:$I,6,FALSE)</f>
        <v>25</v>
      </c>
      <c r="H22" s="9">
        <f>VLOOKUP($C22,SKU!$A:$I,7,FALSE)</f>
        <v>5</v>
      </c>
      <c r="I22" s="9">
        <f t="shared" si="5"/>
        <v>250</v>
      </c>
      <c r="J22" s="6" t="s">
        <v>401</v>
      </c>
      <c r="K22" s="6" t="s">
        <v>17</v>
      </c>
      <c r="L22" s="10" t="s">
        <v>403</v>
      </c>
      <c r="M22" s="164">
        <f t="shared" si="6"/>
        <v>11</v>
      </c>
      <c r="N22" s="9" cm="1">
        <f t="array" ref="N22">SUMPRODUCT(($A$3:$A$997=A22)*($I$3:$I$997))-SUMPRODUCT((Xuất出库!$A$2:$A$986=A22)*(Xuất出库!$E$2:$E$986))-SUMPRODUCT((Xuất出库!$A$2:$A$986=A22)*(Xuất出库!$F$2:$F$986))+SUMPRODUCT((Hoàn回库!$A$2:$A$996=A22)*(Hoàn回库!$E$2:$E$996))+SUMPRODUCT((Hoàn回库!$A$2:$A$996=A22)*(Hoàn回库!$F$2:$F$996))</f>
        <v>55</v>
      </c>
    </row>
    <row r="23" spans="1:14">
      <c r="A23" s="9">
        <f>VLOOKUP($C23,SKU!$A:$I,3,FALSE)</f>
        <v>10022</v>
      </c>
      <c r="B23" s="9" t="str">
        <f>VLOOKUP($C23,SKU!$A:$I,2,FALSE)</f>
        <v>【耀光·美少女战士】长卡卡砖</v>
      </c>
      <c r="C23" s="6" t="s">
        <v>115</v>
      </c>
      <c r="D23" s="9" t="str">
        <f>VLOOKUP($C23,SKU!$A:$I,4,FALSE)</f>
        <v>Thẻ hộp/卡砖</v>
      </c>
      <c r="E23" s="9" t="str">
        <f>VLOOKUP($C23,SKU!$A:$I,5,FALSE)</f>
        <v>耀光</v>
      </c>
      <c r="F23" s="6">
        <v>1</v>
      </c>
      <c r="G23" s="9">
        <v>24</v>
      </c>
      <c r="H23" s="9">
        <v>8</v>
      </c>
      <c r="I23" s="9">
        <f t="shared" si="5"/>
        <v>192</v>
      </c>
      <c r="J23" s="6" t="s">
        <v>401</v>
      </c>
      <c r="K23" s="6" t="s">
        <v>17</v>
      </c>
      <c r="L23" s="10" t="s">
        <v>403</v>
      </c>
      <c r="M23" s="164">
        <f t="shared" si="6"/>
        <v>0</v>
      </c>
      <c r="N23" s="9" cm="1">
        <f t="array" ref="N23">SUMPRODUCT(($A$3:$A$997=A23)*($I$3:$I$997))-SUMPRODUCT((Xuất出库!$A$2:$A$986=A23)*(Xuất出库!$E$2:$E$986))-SUMPRODUCT((Xuất出库!$A$2:$A$986=A23)*(Xuất出库!$F$2:$F$986))+SUMPRODUCT((Hoàn回库!$A$2:$A$996=A23)*(Hoàn回库!$E$2:$E$996))+SUMPRODUCT((Hoàn回库!$A$2:$A$996=A23)*(Hoàn回库!$F$2:$F$996))</f>
        <v>0</v>
      </c>
    </row>
    <row r="24" spans="1:14">
      <c r="A24" s="9">
        <f>VLOOKUP($C24,SKU!$A:$I,3,FALSE)</f>
        <v>10023</v>
      </c>
      <c r="B24" s="9" t="str">
        <f>VLOOKUP($C24,SKU!$A:$I,2,FALSE)</f>
        <v>风信文创尘世相逢之约星光来信原神邮票第一弹</v>
      </c>
      <c r="C24" s="6" t="s">
        <v>119</v>
      </c>
      <c r="D24" s="9" t="str">
        <f>VLOOKUP($C24,SKU!$A:$I,4,FALSE)</f>
        <v>Phiếu tem/邮票</v>
      </c>
      <c r="E24" s="9" t="str">
        <f>VLOOKUP($C24,SKU!$A:$I,5,FALSE)</f>
        <v>风信文创</v>
      </c>
      <c r="F24" s="6">
        <v>1</v>
      </c>
      <c r="G24" s="9">
        <f>VLOOKUP($C24,SKU!$A:$I,6,FALSE)</f>
        <v>100</v>
      </c>
      <c r="H24" s="9">
        <f>VLOOKUP($C24,SKU!$A:$I,7,FALSE)</f>
        <v>1</v>
      </c>
      <c r="I24" s="9">
        <f t="shared" si="5"/>
        <v>100</v>
      </c>
      <c r="J24" s="6" t="s">
        <v>401</v>
      </c>
      <c r="K24" s="6" t="s">
        <v>17</v>
      </c>
      <c r="L24" s="10" t="s">
        <v>403</v>
      </c>
      <c r="M24" s="164">
        <f t="shared" si="6"/>
        <v>20</v>
      </c>
      <c r="N24" s="9" cm="1">
        <f t="array" ref="N24">SUMPRODUCT(($A$3:$A$997=A24)*($I$3:$I$997))-SUMPRODUCT((Xuất出库!$A$2:$A$986=A24)*(Xuất出库!$E$2:$E$986))-SUMPRODUCT((Xuất出库!$A$2:$A$986=A24)*(Xuất出库!$F$2:$F$986))+SUMPRODUCT((Hoàn回库!$A$2:$A$996=A24)*(Hoàn回库!$E$2:$E$996))+SUMPRODUCT((Hoàn回库!$A$2:$A$996=A24)*(Hoàn回库!$F$2:$F$996))</f>
        <v>20</v>
      </c>
    </row>
    <row r="25" spans="1:14">
      <c r="A25" s="9">
        <f>VLOOKUP($C25,SKU!$A:$I,3,FALSE)</f>
        <v>10024</v>
      </c>
      <c r="B25" s="9" t="str">
        <f>VLOOKUP($C25,SKU!$A:$I,2,FALSE)</f>
        <v>漫影工作室-柯南-A5 大卡第一弹</v>
      </c>
      <c r="C25" s="1" t="s">
        <v>123</v>
      </c>
      <c r="D25" s="9" t="str">
        <f>VLOOKUP($C25,SKU!$A:$I,4,FALSE)</f>
        <v>Thẻ bự/色纸</v>
      </c>
      <c r="E25" s="9" t="str">
        <f>VLOOKUP($C25,SKU!$A:$I,5,FALSE)</f>
        <v>漫影工作室</v>
      </c>
      <c r="F25" s="6">
        <v>1</v>
      </c>
      <c r="G25" s="9">
        <f>VLOOKUP($C25,SKU!$A:$I,6,FALSE)</f>
        <v>50</v>
      </c>
      <c r="H25" s="9">
        <f>VLOOKUP($C25,SKU!$A:$I,7,FALSE)</f>
        <v>1</v>
      </c>
      <c r="I25" s="9">
        <f t="shared" si="5"/>
        <v>50</v>
      </c>
      <c r="J25" s="6" t="s">
        <v>401</v>
      </c>
      <c r="K25" s="6" t="s">
        <v>17</v>
      </c>
      <c r="L25" s="10" t="s">
        <v>403</v>
      </c>
      <c r="M25" s="164">
        <f t="shared" si="6"/>
        <v>13</v>
      </c>
      <c r="N25" s="9" cm="1">
        <f t="array" ref="N25">SUMPRODUCT(($A$3:$A$997=A25)*($I$3:$I$997))-SUMPRODUCT((Xuất出库!$A$2:$A$986=A25)*(Xuất出库!$E$2:$E$986))-SUMPRODUCT((Xuất出库!$A$2:$A$986=A25)*(Xuất出库!$F$2:$F$986))+SUMPRODUCT((Hoàn回库!$A$2:$A$996=A25)*(Hoàn回库!$E$2:$E$996))+SUMPRODUCT((Hoàn回库!$A$2:$A$996=A25)*(Hoàn回库!$F$2:$F$996))</f>
        <v>13</v>
      </c>
    </row>
    <row r="26" spans="1:14">
      <c r="A26" s="9">
        <f>VLOOKUP($C26,SKU!$A:$I,3,FALSE)</f>
        <v>10025</v>
      </c>
      <c r="B26" s="9" t="str">
        <f>VLOOKUP($C26,SKU!$A:$I,2,FALSE)</f>
        <v>君屹文化耽美古风收藏新纪元《言辞忆梦》撕撕乐</v>
      </c>
      <c r="C26" s="6" t="s">
        <v>127</v>
      </c>
      <c r="D26" s="9" t="str">
        <f>VLOOKUP($C26,SKU!$A:$I,4,FALSE)</f>
        <v>Thẻ xé/撕撕乐</v>
      </c>
      <c r="E26" s="9" t="str">
        <f>VLOOKUP($C26,SKU!$A:$I,5,FALSE)</f>
        <v>君屹文化</v>
      </c>
      <c r="F26" s="6">
        <v>2</v>
      </c>
      <c r="G26" s="9">
        <f>VLOOKUP($C26,SKU!$A:$I,6,FALSE)</f>
        <v>300</v>
      </c>
      <c r="H26" s="9">
        <f>VLOOKUP($C26,SKU!$A:$I,7,FALSE)</f>
        <v>1</v>
      </c>
      <c r="I26" s="9">
        <f t="shared" si="5"/>
        <v>600</v>
      </c>
      <c r="J26" s="6" t="s">
        <v>401</v>
      </c>
      <c r="K26" s="6" t="s">
        <v>17</v>
      </c>
      <c r="L26" s="10" t="s">
        <v>403</v>
      </c>
      <c r="M26" s="164">
        <f t="shared" si="6"/>
        <v>0</v>
      </c>
      <c r="N26" s="9" cm="1">
        <f t="array" ref="N26">SUMPRODUCT(($A$3:$A$997=A26)*($I$3:$I$997))-SUMPRODUCT((Xuất出库!$A$2:$A$986=A26)*(Xuất出库!$E$2:$E$986))-SUMPRODUCT((Xuất出库!$A$2:$A$986=A26)*(Xuất出库!$F$2:$F$986))+SUMPRODUCT((Hoàn回库!$A$2:$A$996=A26)*(Hoàn回库!$E$2:$E$996))+SUMPRODUCT((Hoàn回库!$A$2:$A$996=A26)*(Hoàn回库!$F$2:$F$996))</f>
        <v>0</v>
      </c>
    </row>
    <row r="27" spans="1:14">
      <c r="A27" s="9">
        <f>VLOOKUP($C27,SKU!$A:$I,3,FALSE)</f>
        <v>10026</v>
      </c>
      <c r="B27" s="9" t="str">
        <f>VLOOKUP($C27,SKU!$A:$I,2,FALSE)</f>
        <v>星恋文创·恋与深空《晦明交错之间》亚克力相框卡</v>
      </c>
      <c r="C27" s="6" t="s">
        <v>131</v>
      </c>
      <c r="D27" s="9" t="str">
        <f>VLOOKUP($C27,SKU!$A:$I,4,FALSE)</f>
        <v>Thẻ bự/色纸</v>
      </c>
      <c r="E27" s="9" t="str">
        <f>VLOOKUP($C27,SKU!$A:$I,5,FALSE)</f>
        <v>星恋文创</v>
      </c>
      <c r="F27" s="6">
        <v>2</v>
      </c>
      <c r="G27" s="9">
        <f>VLOOKUP($C27,SKU!$A:$I,6,FALSE)</f>
        <v>100</v>
      </c>
      <c r="H27" s="9">
        <f>VLOOKUP($C27,SKU!$A:$I,7,FALSE)</f>
        <v>1</v>
      </c>
      <c r="I27" s="9">
        <f t="shared" si="5"/>
        <v>200</v>
      </c>
      <c r="J27" s="6" t="s">
        <v>401</v>
      </c>
      <c r="K27" s="6" t="s">
        <v>17</v>
      </c>
      <c r="L27" s="10" t="s">
        <v>403</v>
      </c>
      <c r="M27" s="164">
        <f t="shared" si="6"/>
        <v>29</v>
      </c>
      <c r="N27" s="9" cm="1">
        <f t="array" ref="N27">SUMPRODUCT(($A$3:$A$997=A27)*($I$3:$I$997))-SUMPRODUCT((Xuất出库!$A$2:$A$986=A27)*(Xuất出库!$E$2:$E$986))-SUMPRODUCT((Xuất出库!$A$2:$A$986=A27)*(Xuất出库!$F$2:$F$986))+SUMPRODUCT((Hoàn回库!$A$2:$A$996=A27)*(Hoàn回库!$E$2:$E$996))+SUMPRODUCT((Hoàn回库!$A$2:$A$996=A27)*(Hoàn回库!$F$2:$F$996))</f>
        <v>29</v>
      </c>
    </row>
    <row r="28" spans="1:14">
      <c r="A28" s="9">
        <f>VLOOKUP($C28,SKU!$A:$I,3,FALSE)</f>
        <v>10027</v>
      </c>
      <c r="B28" s="9" t="str">
        <f>VLOOKUP($C28,SKU!$A:$I,2,FALSE)</f>
        <v>深空绘约文创我不爱世界只爱你邮票撕拉卡</v>
      </c>
      <c r="C28" s="6" t="s">
        <v>135</v>
      </c>
      <c r="D28" s="9" t="str">
        <f>VLOOKUP($C28,SKU!$A:$I,4,FALSE)</f>
        <v>Phiếu tem/邮票</v>
      </c>
      <c r="E28" s="9" t="str">
        <f>VLOOKUP($C28,SKU!$A:$I,5,FALSE)</f>
        <v>深空绘约文创</v>
      </c>
      <c r="F28" s="6">
        <v>1</v>
      </c>
      <c r="G28" s="9">
        <f>VLOOKUP($C28,SKU!$A:$I,6,FALSE)</f>
        <v>30</v>
      </c>
      <c r="H28" s="9">
        <f>VLOOKUP($C28,SKU!$A:$I,7,FALSE)</f>
        <v>6</v>
      </c>
      <c r="I28" s="9">
        <f t="shared" si="5"/>
        <v>180</v>
      </c>
      <c r="J28" s="6" t="s">
        <v>401</v>
      </c>
      <c r="K28" s="6" t="s">
        <v>17</v>
      </c>
      <c r="L28" s="10" t="s">
        <v>403</v>
      </c>
      <c r="M28" s="164">
        <f t="shared" si="6"/>
        <v>30</v>
      </c>
      <c r="N28" s="9" cm="1">
        <f t="array" ref="N28">SUMPRODUCT(($A$3:$A$997=A28)*($I$3:$I$997))-SUMPRODUCT((Xuất出库!$A$2:$A$986=A28)*(Xuất出库!$E$2:$E$986))-SUMPRODUCT((Xuất出库!$A$2:$A$986=A28)*(Xuất出库!$F$2:$F$986))+SUMPRODUCT((Hoàn回库!$A$2:$A$996=A28)*(Hoàn回库!$E$2:$E$996))+SUMPRODUCT((Hoàn回库!$A$2:$A$996=A28)*(Hoàn回库!$F$2:$F$996))</f>
        <v>180</v>
      </c>
    </row>
    <row r="29" spans="1:14">
      <c r="A29" s="9">
        <f>VLOOKUP($C29,SKU!$A:$I,3,FALSE)</f>
        <v>10028</v>
      </c>
      <c r="B29" s="9" t="str">
        <f>VLOOKUP($C29,SKU!$A:$I,2,FALSE)</f>
        <v>潮玩咔原神 尘世收藏卡</v>
      </c>
      <c r="C29" s="6" t="s">
        <v>139</v>
      </c>
      <c r="D29" s="9" t="str">
        <f>VLOOKUP($C29,SKU!$A:$I,4,FALSE)</f>
        <v>Card/卡牌</v>
      </c>
      <c r="E29" s="9" t="str">
        <f>VLOOKUP($C29,SKU!$A:$I,5,FALSE)</f>
        <v>潮玩咔</v>
      </c>
      <c r="F29" s="6">
        <v>1</v>
      </c>
      <c r="G29" s="9">
        <f>VLOOKUP($C29,SKU!$A:$I,6,FALSE)</f>
        <v>36</v>
      </c>
      <c r="H29" s="9">
        <f>VLOOKUP($C29,SKU!$A:$I,7,FALSE)</f>
        <v>13</v>
      </c>
      <c r="I29" s="9">
        <f t="shared" si="5"/>
        <v>468</v>
      </c>
      <c r="J29" s="6" t="s">
        <v>401</v>
      </c>
      <c r="K29" s="6" t="s">
        <v>17</v>
      </c>
      <c r="L29" s="10" t="s">
        <v>403</v>
      </c>
      <c r="M29" s="164">
        <f t="shared" si="6"/>
        <v>5</v>
      </c>
      <c r="N29" s="9" cm="1">
        <f t="array" ref="N29">SUMPRODUCT(($A$3:$A$997=A29)*($I$3:$I$997))-SUMPRODUCT((Xuất出库!$A$2:$A$986=A29)*(Xuất出库!$E$2:$E$986))-SUMPRODUCT((Xuất出库!$A$2:$A$986=A29)*(Xuất出库!$F$2:$F$986))+SUMPRODUCT((Hoàn回库!$A$2:$A$996=A29)*(Hoàn回库!$E$2:$E$996))+SUMPRODUCT((Hoàn回库!$A$2:$A$996=A29)*(Hoàn回库!$F$2:$F$996))</f>
        <v>65</v>
      </c>
    </row>
    <row r="30" spans="1:14">
      <c r="A30" s="9">
        <f>VLOOKUP($C30,SKU!$A:$I,3,FALSE)</f>
        <v>10029</v>
      </c>
      <c r="B30" s="9" t="str">
        <f>VLOOKUP($C30,SKU!$A:$I,2,FALSE)</f>
        <v>樱花屋魔卡少女樱</v>
      </c>
      <c r="C30" s="6" t="s">
        <v>143</v>
      </c>
      <c r="D30" s="9" t="str">
        <f>VLOOKUP($C30,SKU!$A:$I,4,FALSE)</f>
        <v>Card/卡牌</v>
      </c>
      <c r="E30" s="9" t="str">
        <f>VLOOKUP($C30,SKU!$A:$I,5,FALSE)</f>
        <v>樱花屋</v>
      </c>
      <c r="F30" s="6">
        <v>1</v>
      </c>
      <c r="G30" s="9">
        <f>VLOOKUP($C30,SKU!$A:$I,6,FALSE)</f>
        <v>49</v>
      </c>
      <c r="H30" s="9">
        <f>VLOOKUP($C30,SKU!$A:$I,7,FALSE)</f>
        <v>12</v>
      </c>
      <c r="I30" s="9">
        <f t="shared" si="5"/>
        <v>588</v>
      </c>
      <c r="J30" s="6" t="s">
        <v>401</v>
      </c>
      <c r="K30" s="6" t="s">
        <v>17</v>
      </c>
      <c r="L30" s="10" t="s">
        <v>403</v>
      </c>
      <c r="M30" s="164">
        <f t="shared" si="6"/>
        <v>-6.75</v>
      </c>
      <c r="N30" s="9" cm="1">
        <f t="array" ref="N30">SUMPRODUCT(($A$3:$A$997=A30)*($I$3:$I$997))-SUMPRODUCT((Xuất出库!$A$2:$A$986=A30)*(Xuất出库!$E$2:$E$986))-SUMPRODUCT((Xuất出库!$A$2:$A$986=A30)*(Xuất出库!$F$2:$F$986))+SUMPRODUCT((Hoàn回库!$A$2:$A$996=A30)*(Hoàn回库!$E$2:$E$996))+SUMPRODUCT((Hoàn回库!$A$2:$A$996=A30)*(Hoàn回库!$F$2:$F$996))</f>
        <v>-81</v>
      </c>
    </row>
    <row r="31" spans="1:14">
      <c r="A31" s="9">
        <f>VLOOKUP($C31,SKU!$A:$I,3,FALSE)</f>
        <v>10030</v>
      </c>
      <c r="B31" s="9" t="str">
        <f>VLOOKUP($C31,SKU!$A:$I,2,FALSE)</f>
        <v>梦影动漫黑执事-典藏版收藏卡牌</v>
      </c>
      <c r="C31" s="6" t="s">
        <v>147</v>
      </c>
      <c r="D31" s="9" t="str">
        <f>VLOOKUP($C31,SKU!$A:$I,4,FALSE)</f>
        <v>Card/卡牌</v>
      </c>
      <c r="E31" s="9" t="str">
        <f>VLOOKUP($C31,SKU!$A:$I,5,FALSE)</f>
        <v>梦影动漫</v>
      </c>
      <c r="F31" s="6">
        <v>1</v>
      </c>
      <c r="G31" s="9">
        <f>VLOOKUP($C31,SKU!$A:$I,6,FALSE)</f>
        <v>36</v>
      </c>
      <c r="H31" s="9">
        <f>VLOOKUP($C31,SKU!$A:$I,7,FALSE)</f>
        <v>12</v>
      </c>
      <c r="I31" s="9">
        <f t="shared" si="5"/>
        <v>432</v>
      </c>
      <c r="J31" s="6" t="s">
        <v>401</v>
      </c>
      <c r="K31" s="6" t="s">
        <v>17</v>
      </c>
      <c r="L31" s="10" t="s">
        <v>403</v>
      </c>
      <c r="M31" s="164">
        <f t="shared" si="6"/>
        <v>0</v>
      </c>
      <c r="N31" s="9" cm="1">
        <f t="array" ref="N31">SUMPRODUCT(($A$3:$A$997=A31)*($I$3:$I$997))-SUMPRODUCT((Xuất出库!$A$2:$A$986=A31)*(Xuất出库!$E$2:$E$986))-SUMPRODUCT((Xuất出库!$A$2:$A$986=A31)*(Xuất出库!$F$2:$F$986))+SUMPRODUCT((Hoàn回库!$A$2:$A$996=A31)*(Hoàn回库!$E$2:$E$996))+SUMPRODUCT((Hoàn回库!$A$2:$A$996=A31)*(Hoàn回库!$F$2:$F$996))</f>
        <v>0</v>
      </c>
    </row>
    <row r="32" spans="1:14">
      <c r="A32" s="9">
        <f>VLOOKUP($C32,SKU!$A:$I,3,FALSE)</f>
        <v>10031</v>
      </c>
      <c r="B32" s="9" t="str">
        <f>VLOOKUP($C32,SKU!$A:$I,2,FALSE)</f>
        <v>胜卡文创x魔道祖师云深不忘邮票评级卡砖</v>
      </c>
      <c r="C32" s="6" t="s">
        <v>151</v>
      </c>
      <c r="D32" s="9" t="str">
        <f>VLOOKUP($C32,SKU!$A:$I,4,FALSE)</f>
        <v>Phiếu tem/邮票</v>
      </c>
      <c r="E32" s="9" t="str">
        <f>VLOOKUP($C32,SKU!$A:$I,5,FALSE)</f>
        <v>胜卡文创</v>
      </c>
      <c r="F32" s="6">
        <v>2</v>
      </c>
      <c r="G32" s="9">
        <f>VLOOKUP($C32,SKU!$A:$I,6,FALSE)</f>
        <v>12</v>
      </c>
      <c r="H32" s="9">
        <f>VLOOKUP($C32,SKU!$A:$I,7,FALSE)</f>
        <v>10</v>
      </c>
      <c r="I32" s="9">
        <f t="shared" si="5"/>
        <v>240</v>
      </c>
      <c r="J32" s="6" t="s">
        <v>401</v>
      </c>
      <c r="K32" s="6" t="s">
        <v>17</v>
      </c>
      <c r="L32" s="10" t="s">
        <v>403</v>
      </c>
      <c r="M32" s="164">
        <f t="shared" si="6"/>
        <v>2</v>
      </c>
      <c r="N32" s="9" cm="1">
        <f t="array" ref="N32">SUMPRODUCT(($A$3:$A$997=A32)*($I$3:$I$997))-SUMPRODUCT((Xuất出库!$A$2:$A$986=A32)*(Xuất出库!$E$2:$E$986))-SUMPRODUCT((Xuất出库!$A$2:$A$986=A32)*(Xuất出库!$F$2:$F$986))+SUMPRODUCT((Hoàn回库!$A$2:$A$996=A32)*(Hoàn回库!$E$2:$E$996))+SUMPRODUCT((Hoàn回库!$A$2:$A$996=A32)*(Hoàn回库!$F$2:$F$996))</f>
        <v>20</v>
      </c>
    </row>
    <row r="33" spans="1:14">
      <c r="A33" s="9">
        <f>VLOOKUP($C33,SKU!$A:$I,3,FALSE)</f>
        <v>10032</v>
      </c>
      <c r="B33" s="9" t="str">
        <f>VLOOKUP($C33,SKU!$A:$I,2,FALSE)</f>
        <v>绘心阁《魔道祖师—殊途同归》色纸卡牌</v>
      </c>
      <c r="C33" s="6" t="s">
        <v>155</v>
      </c>
      <c r="D33" s="9" t="str">
        <f>VLOOKUP($C33,SKU!$A:$I,4,FALSE)</f>
        <v>Thẻ bự/色纸</v>
      </c>
      <c r="E33" s="9" t="str">
        <f>VLOOKUP($C33,SKU!$A:$I,5,FALSE)</f>
        <v>绘心阁</v>
      </c>
      <c r="F33" s="6">
        <v>2</v>
      </c>
      <c r="G33" s="9">
        <f>VLOOKUP($C33,SKU!$A:$I,6,FALSE)</f>
        <v>180</v>
      </c>
      <c r="H33" s="9">
        <f>VLOOKUP($C33,SKU!$A:$I,7,FALSE)</f>
        <v>1</v>
      </c>
      <c r="I33" s="9">
        <f t="shared" si="5"/>
        <v>360</v>
      </c>
      <c r="J33" s="6" t="s">
        <v>401</v>
      </c>
      <c r="K33" s="6" t="s">
        <v>17</v>
      </c>
      <c r="L33" s="10" t="s">
        <v>403</v>
      </c>
      <c r="M33" s="164">
        <f t="shared" si="6"/>
        <v>0</v>
      </c>
      <c r="N33" s="9" cm="1">
        <f t="array" ref="N33">SUMPRODUCT(($A$3:$A$997=A33)*($I$3:$I$997))-SUMPRODUCT((Xuất出库!$A$2:$A$986=A33)*(Xuất出库!$E$2:$E$986))-SUMPRODUCT((Xuất出库!$A$2:$A$986=A33)*(Xuất出库!$F$2:$F$986))+SUMPRODUCT((Hoàn回库!$A$2:$A$996=A33)*(Hoàn回库!$E$2:$E$996))+SUMPRODUCT((Hoàn回库!$A$2:$A$996=A33)*(Hoàn回库!$F$2:$F$996))</f>
        <v>0</v>
      </c>
    </row>
    <row r="34" spans="1:14">
      <c r="A34" s="9">
        <f>VLOOKUP($C34,SKU!$A:$I,3,FALSE)</f>
        <v>10033</v>
      </c>
      <c r="B34" s="9" t="str">
        <f>VLOOKUP($C34,SKU!$A:$I,2,FALSE)</f>
        <v>慕光文创「一千次心动」系列撕撕乐</v>
      </c>
      <c r="C34" s="6" t="s">
        <v>159</v>
      </c>
      <c r="D34" s="9" t="str">
        <f>VLOOKUP($C34,SKU!$A:$I,4,FALSE)</f>
        <v>Thẻ xé/撕撕乐</v>
      </c>
      <c r="E34" s="9" t="str">
        <f>VLOOKUP($C34,SKU!$A:$I,5,FALSE)</f>
        <v>慕光文创</v>
      </c>
      <c r="F34" s="6">
        <v>2</v>
      </c>
      <c r="G34" s="9">
        <f>VLOOKUP($C34,SKU!$A:$I,6,FALSE)</f>
        <v>150</v>
      </c>
      <c r="H34" s="9">
        <f>VLOOKUP($C34,SKU!$A:$I,7,FALSE)</f>
        <v>1</v>
      </c>
      <c r="I34" s="9">
        <f t="shared" si="5"/>
        <v>300</v>
      </c>
      <c r="J34" s="6" t="s">
        <v>401</v>
      </c>
      <c r="K34" s="6" t="s">
        <v>17</v>
      </c>
      <c r="L34" s="10" t="s">
        <v>403</v>
      </c>
      <c r="M34" s="164">
        <f t="shared" si="6"/>
        <v>199</v>
      </c>
      <c r="N34" s="9" cm="1">
        <f t="array" ref="N34">SUMPRODUCT(($A$3:$A$997=A34)*($I$3:$I$997))-SUMPRODUCT((Xuất出库!$A$2:$A$986=A34)*(Xuất出库!$E$2:$E$986))-SUMPRODUCT((Xuất出库!$A$2:$A$986=A34)*(Xuất出库!$F$2:$F$986))+SUMPRODUCT((Hoàn回库!$A$2:$A$996=A34)*(Hoàn回库!$E$2:$E$996))+SUMPRODUCT((Hoàn回库!$A$2:$A$996=A34)*(Hoàn回库!$F$2:$F$996))</f>
        <v>199</v>
      </c>
    </row>
    <row r="35" spans="1:14">
      <c r="A35" s="9">
        <f>VLOOKUP($C35,SKU!$A:$I,3,FALSE)</f>
        <v>10034</v>
      </c>
      <c r="B35" s="9" t="str">
        <f>VLOOKUP($C35,SKU!$A:$I,2,FALSE)</f>
        <v>兰亭文创x墨家三宝典藏色纸砚池春深系列</v>
      </c>
      <c r="C35" s="6" t="s">
        <v>163</v>
      </c>
      <c r="D35" s="9" t="str">
        <f>VLOOKUP($C35,SKU!$A:$I,4,FALSE)</f>
        <v>Thẻ bự/色纸</v>
      </c>
      <c r="E35" s="9" t="str">
        <f>VLOOKUP($C35,SKU!$A:$I,5,FALSE)</f>
        <v>兰亭文创</v>
      </c>
      <c r="F35" s="6">
        <v>2</v>
      </c>
      <c r="G35" s="9">
        <f>VLOOKUP($C35,SKU!$A:$I,6,FALSE)</f>
        <v>120</v>
      </c>
      <c r="H35" s="9">
        <f>VLOOKUP($C35,SKU!$A:$I,7,FALSE)</f>
        <v>1</v>
      </c>
      <c r="I35" s="9">
        <f t="shared" ref="I35:I37" si="7">F35*G35*H35</f>
        <v>240</v>
      </c>
      <c r="J35" s="6" t="s">
        <v>401</v>
      </c>
      <c r="K35" s="6" t="s">
        <v>17</v>
      </c>
      <c r="L35" s="10" t="s">
        <v>403</v>
      </c>
      <c r="M35" s="164">
        <f t="shared" ref="M35:M37" si="8">N35/H35</f>
        <v>0</v>
      </c>
      <c r="N35" s="9" cm="1">
        <f t="array" ref="N35">SUMPRODUCT(($A$3:$A$997=A35)*($I$3:$I$997))-SUMPRODUCT((Xuất出库!$A$2:$A$986=A35)*(Xuất出库!$E$2:$E$986))-SUMPRODUCT((Xuất出库!$A$2:$A$986=A35)*(Xuất出库!$F$2:$F$986))+SUMPRODUCT((Hoàn回库!$A$2:$A$996=A35)*(Hoàn回库!$E$2:$E$996))+SUMPRODUCT((Hoàn回库!$A$2:$A$996=A35)*(Hoàn回库!$F$2:$F$996))</f>
        <v>0</v>
      </c>
    </row>
    <row r="36" spans="1:14">
      <c r="A36" s="9">
        <f>VLOOKUP($C36,SKU!$A:$I,3,FALSE)</f>
        <v>10035</v>
      </c>
      <c r="B36" s="9" t="str">
        <f>VLOOKUP($C36,SKU!$A:$I,2,FALSE)</f>
        <v>KK CARD × 新海诚系列第一弹</v>
      </c>
      <c r="C36" s="6" t="s">
        <v>167</v>
      </c>
      <c r="D36" s="9" t="str">
        <f>VLOOKUP($C36,SKU!$A:$I,4,FALSE)</f>
        <v>Card/卡牌</v>
      </c>
      <c r="E36" s="9" t="str">
        <f>VLOOKUP($C36,SKU!$A:$I,5,FALSE)</f>
        <v>KK CARD</v>
      </c>
      <c r="F36" s="6">
        <v>2</v>
      </c>
      <c r="G36" s="9">
        <f>VLOOKUP($C36,SKU!$A:$I,6,FALSE)</f>
        <v>36</v>
      </c>
      <c r="H36" s="9">
        <f>VLOOKUP($C36,SKU!$A:$I,7,FALSE)</f>
        <v>14</v>
      </c>
      <c r="I36" s="9">
        <f t="shared" si="7"/>
        <v>1008</v>
      </c>
      <c r="J36" s="6" t="s">
        <v>401</v>
      </c>
      <c r="K36" s="6" t="s">
        <v>17</v>
      </c>
      <c r="L36" s="10" t="s">
        <v>403</v>
      </c>
      <c r="M36" s="164">
        <f t="shared" si="8"/>
        <v>9</v>
      </c>
      <c r="N36" s="9" cm="1">
        <f t="array" ref="N36">SUMPRODUCT(($A$3:$A$997=A36)*($I$3:$I$997))-SUMPRODUCT((Xuất出库!$A$2:$A$986=A36)*(Xuất出库!$E$2:$E$986))-SUMPRODUCT((Xuất出库!$A$2:$A$986=A36)*(Xuất出库!$F$2:$F$986))+SUMPRODUCT((Hoàn回库!$A$2:$A$996=A36)*(Hoàn回库!$E$2:$E$996))+SUMPRODUCT((Hoàn回库!$A$2:$A$996=A36)*(Hoàn回库!$F$2:$F$996))</f>
        <v>126</v>
      </c>
    </row>
    <row r="37" spans="1:14">
      <c r="A37" s="9">
        <f>VLOOKUP($C37,SKU!$A:$I,3,FALSE)</f>
        <v>10036</v>
      </c>
      <c r="B37" s="9" t="str">
        <f>VLOOKUP($C37,SKU!$A:$I,2,FALSE)</f>
        <v>《研卡文创》第三弹收藏色纸</v>
      </c>
      <c r="C37" s="6" t="s">
        <v>171</v>
      </c>
      <c r="D37" s="9" t="str">
        <f>VLOOKUP($C37,SKU!$A:$I,4,FALSE)</f>
        <v>Thẻ bự/色纸</v>
      </c>
      <c r="E37" s="9" t="str">
        <f>VLOOKUP($C37,SKU!$A:$I,5,FALSE)</f>
        <v>研卡文创</v>
      </c>
      <c r="F37" s="6">
        <v>2</v>
      </c>
      <c r="G37" s="9">
        <f>VLOOKUP($C37,SKU!$A:$I,6,FALSE)</f>
        <v>20</v>
      </c>
      <c r="H37" s="9">
        <f>VLOOKUP($C37,SKU!$A:$I,7,FALSE)</f>
        <v>6</v>
      </c>
      <c r="I37" s="9">
        <f t="shared" si="7"/>
        <v>240</v>
      </c>
      <c r="J37" s="6" t="s">
        <v>401</v>
      </c>
      <c r="K37" s="6" t="s">
        <v>17</v>
      </c>
      <c r="L37" s="10" t="s">
        <v>403</v>
      </c>
      <c r="M37" s="164">
        <f t="shared" si="8"/>
        <v>30</v>
      </c>
      <c r="N37" s="9" cm="1">
        <f t="array" ref="N37">SUMPRODUCT(($A$3:$A$997=A37)*($I$3:$I$997))-SUMPRODUCT((Xuất出库!$A$2:$A$986=A37)*(Xuất出库!$E$2:$E$986))-SUMPRODUCT((Xuất出库!$A$2:$A$986=A37)*(Xuất出库!$F$2:$F$986))+SUMPRODUCT((Hoàn回库!$A$2:$A$996=A37)*(Hoàn回库!$E$2:$E$996))+SUMPRODUCT((Hoàn回库!$A$2:$A$996=A37)*(Hoàn回库!$F$2:$F$996))</f>
        <v>180</v>
      </c>
    </row>
    <row r="38" spans="1:14">
      <c r="A38" s="9">
        <f>VLOOKUP($C38,SKU!$A:$I,3,FALSE)</f>
        <v>10037</v>
      </c>
      <c r="B38" s="9" t="str">
        <f>VLOOKUP($C38,SKU!$A:$I,2,FALSE)</f>
        <v>磁吸邮票《咪咕咪咕&amp;魔卡少女樱》</v>
      </c>
      <c r="C38" s="6" t="s">
        <v>175</v>
      </c>
      <c r="D38" s="9" t="str">
        <f>VLOOKUP($C38,SKU!$A:$I,4,FALSE)</f>
        <v>Phiếu tem/邮票</v>
      </c>
      <c r="E38" s="9" t="str">
        <f>VLOOKUP($C38,SKU!$A:$I,5,FALSE)</f>
        <v>咪咕咪咕</v>
      </c>
      <c r="F38" s="6">
        <v>1</v>
      </c>
      <c r="G38" s="9">
        <f>VLOOKUP($C38,SKU!$A:$I,6,FALSE)</f>
        <v>100</v>
      </c>
      <c r="H38" s="9">
        <f>VLOOKUP($C38,SKU!$A:$I,7,FALSE)</f>
        <v>1</v>
      </c>
      <c r="I38" s="9">
        <f t="shared" ref="I38:I40" si="9">F38*G38*H38</f>
        <v>100</v>
      </c>
      <c r="J38" s="6" t="s">
        <v>401</v>
      </c>
      <c r="K38" s="6" t="s">
        <v>17</v>
      </c>
      <c r="L38" s="10" t="s">
        <v>403</v>
      </c>
      <c r="M38" s="164">
        <f t="shared" ref="M38:M40" si="10">N38/H38</f>
        <v>0</v>
      </c>
      <c r="N38" s="9" cm="1">
        <f t="array" ref="N38">SUMPRODUCT(($A$3:$A$997=A38)*($I$3:$I$997))-SUMPRODUCT((Xuất出库!$A$2:$A$986=A38)*(Xuất出库!$E$2:$E$986))-SUMPRODUCT((Xuất出库!$A$2:$A$986=A38)*(Xuất出库!$F$2:$F$986))+SUMPRODUCT((Hoàn回库!$A$2:$A$996=A38)*(Hoàn回库!$E$2:$E$996))+SUMPRODUCT((Hoàn回库!$A$2:$A$996=A38)*(Hoàn回库!$F$2:$F$996))</f>
        <v>0</v>
      </c>
    </row>
    <row r="39" spans="1:14">
      <c r="A39" s="9">
        <f>VLOOKUP($C39,SKU!$A:$I,3,FALSE)</f>
        <v>10018</v>
      </c>
      <c r="B39" s="9" t="str">
        <f>VLOOKUP($C39,SKU!$A:$I,2,FALSE)</f>
        <v>圣月美少女战士星尘协奏曲长卡</v>
      </c>
      <c r="C39" s="6" t="s">
        <v>99</v>
      </c>
      <c r="D39" s="9" t="str">
        <f>VLOOKUP($C39,SKU!$A:$I,4,FALSE)</f>
        <v>Card/卡牌</v>
      </c>
      <c r="E39" s="9" t="str">
        <f>VLOOKUP($C39,SKU!$A:$I,5,FALSE)</f>
        <v>聖月</v>
      </c>
      <c r="F39" s="6">
        <v>1</v>
      </c>
      <c r="G39" s="9">
        <f>VLOOKUP($C39,SKU!$A:$I,6,FALSE)</f>
        <v>36</v>
      </c>
      <c r="H39" s="9">
        <f>VLOOKUP($C39,SKU!$A:$I,7,FALSE)</f>
        <v>13</v>
      </c>
      <c r="I39" s="9">
        <f t="shared" si="9"/>
        <v>468</v>
      </c>
      <c r="J39" s="6" t="s">
        <v>401</v>
      </c>
      <c r="K39" s="6" t="s">
        <v>17</v>
      </c>
      <c r="L39" s="10" t="s">
        <v>403</v>
      </c>
      <c r="M39" s="164">
        <f t="shared" si="10"/>
        <v>1</v>
      </c>
      <c r="N39" s="9" cm="1">
        <f t="array" ref="N39">SUMPRODUCT(($A$3:$A$997=A39)*($I$3:$I$997))-SUMPRODUCT((Xuất出库!$A$2:$A$986=A39)*(Xuất出库!$E$2:$E$986))-SUMPRODUCT((Xuất出库!$A$2:$A$986=A39)*(Xuất出库!$F$2:$F$986))+SUMPRODUCT((Hoàn回库!$A$2:$A$996=A39)*(Hoàn回库!$E$2:$E$996))+SUMPRODUCT((Hoàn回库!$A$2:$A$996=A39)*(Hoàn回库!$F$2:$F$996))</f>
        <v>13</v>
      </c>
    </row>
    <row r="40" spans="1:14">
      <c r="A40" s="9">
        <f>VLOOKUP($C40,SKU!$A:$I,3,FALSE)</f>
        <v>10038</v>
      </c>
      <c r="B40" s="9" t="str">
        <f>VLOOKUP($C40,SKU!$A:$I,2,FALSE)</f>
        <v>浮光工作室❤第三弹【夏风吻过你的睫毛】</v>
      </c>
      <c r="C40" s="1" t="s">
        <v>179</v>
      </c>
      <c r="D40" s="9" t="str">
        <f>VLOOKUP($C40,SKU!$A:$I,4,FALSE)</f>
        <v>Card/卡牌</v>
      </c>
      <c r="E40" s="9" t="str">
        <f>VLOOKUP($C40,SKU!$A:$I,5,FALSE)</f>
        <v>浮光工作室</v>
      </c>
      <c r="F40" s="6">
        <v>2</v>
      </c>
      <c r="G40" s="9">
        <f>VLOOKUP($C40,SKU!$A:$I,6,FALSE)</f>
        <v>80</v>
      </c>
      <c r="H40" s="9">
        <f>VLOOKUP($C40,SKU!$A:$I,7,FALSE)</f>
        <v>1</v>
      </c>
      <c r="I40" s="9">
        <f t="shared" si="9"/>
        <v>160</v>
      </c>
      <c r="J40" s="6" t="s">
        <v>401</v>
      </c>
      <c r="K40" s="6" t="s">
        <v>17</v>
      </c>
      <c r="L40" s="10" t="s">
        <v>403</v>
      </c>
      <c r="M40" s="164">
        <f t="shared" si="10"/>
        <v>51</v>
      </c>
      <c r="N40" s="9" cm="1">
        <f t="array" ref="N40">SUMPRODUCT(($A$3:$A$997=A40)*($I$3:$I$997))-SUMPRODUCT((Xuất出库!$A$2:$A$986=A40)*(Xuất出库!$E$2:$E$986))-SUMPRODUCT((Xuất出库!$A$2:$A$986=A40)*(Xuất出库!$F$2:$F$986))+SUMPRODUCT((Hoàn回库!$A$2:$A$996=A40)*(Hoàn回库!$E$2:$E$996))+SUMPRODUCT((Hoàn回库!$A$2:$A$996=A40)*(Hoàn回库!$F$2:$F$996))</f>
        <v>51</v>
      </c>
    </row>
    <row r="41" spans="1:14">
      <c r="A41" s="9">
        <f>VLOOKUP($C41,SKU!$A:$I,3,FALSE)</f>
        <v>10039</v>
      </c>
      <c r="B41" s="9" t="str">
        <f>VLOOKUP($C41,SKU!$A:$I,2,FALSE)</f>
        <v>非凡航海王第五弹</v>
      </c>
      <c r="C41" s="6" t="s">
        <v>184</v>
      </c>
      <c r="D41" s="9" t="str">
        <f>VLOOKUP($C41,SKU!$A:$I,4,FALSE)</f>
        <v>Card/卡牌</v>
      </c>
      <c r="E41" s="9" t="str">
        <f>VLOOKUP($C41,SKU!$A:$I,5,FALSE)</f>
        <v>非凡</v>
      </c>
      <c r="F41" s="6">
        <v>15</v>
      </c>
      <c r="G41" s="9">
        <f>VLOOKUP($C41,SKU!$A:$I,6,FALSE)</f>
        <v>48</v>
      </c>
      <c r="H41" s="9">
        <f>VLOOKUP($C41,SKU!$A:$I,7,FALSE)</f>
        <v>20</v>
      </c>
      <c r="I41" s="9">
        <f t="shared" ref="I41:I47" si="11">F41*G41*H41</f>
        <v>14400</v>
      </c>
      <c r="J41" s="6" t="s">
        <v>401</v>
      </c>
      <c r="K41" s="6" t="s">
        <v>17</v>
      </c>
      <c r="L41" s="10" t="s">
        <v>404</v>
      </c>
      <c r="M41" s="164">
        <f t="shared" ref="M41:M47" si="12">N41/H41</f>
        <v>7.75</v>
      </c>
      <c r="N41" s="9" cm="1">
        <f t="array" ref="N41">SUMPRODUCT(($A$3:$A$997=A41)*($I$3:$I$997))-SUMPRODUCT((Xuất出库!$A$2:$A$986=A41)*(Xuất出库!$E$2:$E$986))-SUMPRODUCT((Xuất出库!$A$2:$A$986=A41)*(Xuất出库!$F$2:$F$986))+SUMPRODUCT((Hoàn回库!$A$2:$A$996=A41)*(Hoàn回库!$E$2:$E$996))+SUMPRODUCT((Hoàn回库!$A$2:$A$996=A41)*(Hoàn回库!$F$2:$F$996))</f>
        <v>155</v>
      </c>
    </row>
    <row r="42" spans="1:14">
      <c r="A42" s="9">
        <f>VLOOKUP($C42,SKU!$A:$I,3,FALSE)</f>
        <v>10040</v>
      </c>
      <c r="B42" s="9" t="str">
        <f>VLOOKUP($C42,SKU!$A:$I,2,FALSE)</f>
        <v>酷卡文化-线条小狗3弹</v>
      </c>
      <c r="C42" s="6" t="s">
        <v>188</v>
      </c>
      <c r="D42" s="9" t="str">
        <f>VLOOKUP($C42,SKU!$A:$I,4,FALSE)</f>
        <v>Card/卡牌</v>
      </c>
      <c r="E42" s="9" t="str">
        <f>VLOOKUP($C42,SKU!$A:$I,5,FALSE)</f>
        <v>酷卡文化</v>
      </c>
      <c r="F42" s="6">
        <v>2</v>
      </c>
      <c r="G42" s="9">
        <f>VLOOKUP($C42,SKU!$A:$I,6,FALSE)</f>
        <v>36</v>
      </c>
      <c r="H42" s="9">
        <f>VLOOKUP($C42,SKU!$A:$I,7,FALSE)</f>
        <v>11</v>
      </c>
      <c r="I42" s="9">
        <f t="shared" si="11"/>
        <v>792</v>
      </c>
      <c r="J42" s="6" t="s">
        <v>401</v>
      </c>
      <c r="K42" s="6" t="s">
        <v>17</v>
      </c>
      <c r="L42" s="10" t="s">
        <v>404</v>
      </c>
      <c r="M42" s="164">
        <f t="shared" si="12"/>
        <v>2.45454545454545</v>
      </c>
      <c r="N42" s="9" cm="1">
        <f t="array" ref="N42">SUMPRODUCT(($A$3:$A$997=A42)*($I$3:$I$997))-SUMPRODUCT((Xuất出库!$A$2:$A$986=A42)*(Xuất出库!$E$2:$E$986))-SUMPRODUCT((Xuất出库!$A$2:$A$986=A42)*(Xuất出库!$F$2:$F$986))+SUMPRODUCT((Hoàn回库!$A$2:$A$996=A42)*(Hoàn回库!$E$2:$E$996))+SUMPRODUCT((Hoàn回库!$A$2:$A$996=A42)*(Hoàn回库!$F$2:$F$996))</f>
        <v>27</v>
      </c>
    </row>
    <row r="43" spans="1:14">
      <c r="A43" s="9">
        <f>VLOOKUP($C43,SKU!$A:$I,3,FALSE)</f>
        <v>10041</v>
      </c>
      <c r="B43" s="9" t="str">
        <f>VLOOKUP($C43,SKU!$A:$I,2,FALSE)</f>
        <v>小熊工坊「原神」A6色纸</v>
      </c>
      <c r="C43" s="6" t="s">
        <v>192</v>
      </c>
      <c r="D43" s="9" t="str">
        <f>VLOOKUP($C43,SKU!$A:$I,4,FALSE)</f>
        <v>Thẻ bự/色纸</v>
      </c>
      <c r="E43" s="9" t="str">
        <f>VLOOKUP($C43,SKU!$A:$I,5,FALSE)</f>
        <v>小熊工坊</v>
      </c>
      <c r="F43" s="6">
        <v>1</v>
      </c>
      <c r="G43" s="9">
        <f>VLOOKUP($C43,SKU!$A:$I,6,FALSE)</f>
        <v>100</v>
      </c>
      <c r="H43" s="9">
        <f>VLOOKUP($C43,SKU!$A:$I,7,FALSE)</f>
        <v>1</v>
      </c>
      <c r="I43" s="9">
        <f t="shared" si="11"/>
        <v>100</v>
      </c>
      <c r="J43" s="6" t="s">
        <v>401</v>
      </c>
      <c r="K43" s="6" t="s">
        <v>17</v>
      </c>
      <c r="L43" s="10" t="s">
        <v>404</v>
      </c>
      <c r="M43" s="164">
        <f t="shared" si="12"/>
        <v>0</v>
      </c>
      <c r="N43" s="9" cm="1">
        <f t="array" ref="N43">SUMPRODUCT(($A$3:$A$997=A43)*($I$3:$I$997))-SUMPRODUCT((Xuất出库!$A$2:$A$986=A43)*(Xuất出库!$E$2:$E$986))-SUMPRODUCT((Xuất出库!$A$2:$A$986=A43)*(Xuất出库!$F$2:$F$986))+SUMPRODUCT((Hoàn回库!$A$2:$A$996=A43)*(Hoàn回库!$E$2:$E$996))+SUMPRODUCT((Hoàn回库!$A$2:$A$996=A43)*(Hoàn回库!$F$2:$F$996))</f>
        <v>0</v>
      </c>
    </row>
    <row r="44" spans="1:14">
      <c r="A44" s="9">
        <f>VLOOKUP($C44,SKU!$A:$I,3,FALSE)</f>
        <v>10042</v>
      </c>
      <c r="B44" s="9" t="str">
        <f>VLOOKUP($C44,SKU!$A:$I,2,FALSE)</f>
        <v>黄油小熊系列收藏卡第二弹 小熊的观察日记</v>
      </c>
      <c r="C44" s="6" t="s">
        <v>196</v>
      </c>
      <c r="D44" s="9" t="str">
        <f>VLOOKUP($C44,SKU!$A:$I,4,FALSE)</f>
        <v>Card/卡牌</v>
      </c>
      <c r="E44" s="9" t="str">
        <f>VLOOKUP($C44,SKU!$A:$I,5,FALSE)</f>
        <v>玖人文化</v>
      </c>
      <c r="F44" s="6">
        <v>2</v>
      </c>
      <c r="G44" s="9">
        <f>VLOOKUP($C44,SKU!$A:$I,6,FALSE)</f>
        <v>24</v>
      </c>
      <c r="H44" s="9">
        <f>VLOOKUP($C44,SKU!$A:$I,7,FALSE)</f>
        <v>16</v>
      </c>
      <c r="I44" s="9">
        <f t="shared" si="11"/>
        <v>768</v>
      </c>
      <c r="J44" s="6" t="s">
        <v>401</v>
      </c>
      <c r="K44" s="6" t="s">
        <v>17</v>
      </c>
      <c r="L44" s="10" t="s">
        <v>404</v>
      </c>
      <c r="M44" s="164">
        <f t="shared" si="12"/>
        <v>0</v>
      </c>
      <c r="N44" s="9" cm="1">
        <f t="array" ref="N44">SUMPRODUCT(($A$3:$A$997=A44)*($I$3:$I$997))-SUMPRODUCT((Xuất出库!$A$2:$A$986=A44)*(Xuất出库!$E$2:$E$986))-SUMPRODUCT((Xuất出库!$A$2:$A$986=A44)*(Xuất出库!$F$2:$F$986))+SUMPRODUCT((Hoàn回库!$A$2:$A$996=A44)*(Hoàn回库!$E$2:$E$996))+SUMPRODUCT((Hoàn回库!$A$2:$A$996=A44)*(Hoàn回库!$F$2:$F$996))</f>
        <v>0</v>
      </c>
    </row>
    <row r="45" spans="1:14">
      <c r="A45" s="9">
        <f>VLOOKUP($C45,SKU!$A:$I,3,FALSE)</f>
        <v>10043</v>
      </c>
      <c r="B45" s="9" t="str">
        <f>VLOOKUP($C45,SKU!$A:$I,2,FALSE)</f>
        <v>光恋XR-披荆斩棘-美少女战士</v>
      </c>
      <c r="C45" s="6" t="s">
        <v>199</v>
      </c>
      <c r="D45" s="9" t="str">
        <f>VLOOKUP($C45,SKU!$A:$I,4,FALSE)</f>
        <v>Card/卡牌</v>
      </c>
      <c r="E45" s="9" t="str">
        <f>VLOOKUP($C45,SKU!$A:$I,5,FALSE)</f>
        <v>光恋XR</v>
      </c>
      <c r="F45" s="6">
        <v>2</v>
      </c>
      <c r="G45" s="9">
        <f>VLOOKUP($C45,SKU!$A:$I,6,FALSE)</f>
        <v>36</v>
      </c>
      <c r="H45" s="9">
        <f>VLOOKUP($C45,SKU!$A:$I,7,FALSE)</f>
        <v>13</v>
      </c>
      <c r="I45" s="9">
        <f t="shared" si="11"/>
        <v>936</v>
      </c>
      <c r="J45" s="6" t="s">
        <v>401</v>
      </c>
      <c r="K45" s="6" t="s">
        <v>17</v>
      </c>
      <c r="L45" s="10" t="s">
        <v>404</v>
      </c>
      <c r="M45" s="164">
        <f t="shared" si="12"/>
        <v>15</v>
      </c>
      <c r="N45" s="9" cm="1">
        <f t="array" ref="N45">SUMPRODUCT(($A$3:$A$997=A45)*($I$3:$I$997))-SUMPRODUCT((Xuất出库!$A$2:$A$986=A45)*(Xuất出库!$E$2:$E$986))-SUMPRODUCT((Xuất出库!$A$2:$A$986=A45)*(Xuất出库!$F$2:$F$986))+SUMPRODUCT((Hoàn回库!$A$2:$A$996=A45)*(Hoàn回库!$E$2:$E$996))+SUMPRODUCT((Hoàn回库!$A$2:$A$996=A45)*(Hoàn回库!$F$2:$F$996))</f>
        <v>195</v>
      </c>
    </row>
    <row r="46" spans="1:14">
      <c r="A46" s="9">
        <f>VLOOKUP($C46,SKU!$A:$I,3,FALSE)</f>
        <v>10044</v>
      </c>
      <c r="B46" s="9" t="str">
        <f>VLOOKUP($C46,SKU!$A:$I,2,FALSE)</f>
        <v>源宇宙原神.空月の歌·周边CD票根邮票组合套装</v>
      </c>
      <c r="C46" s="10" t="s">
        <v>202</v>
      </c>
      <c r="D46" s="9" t="str">
        <f>VLOOKUP($C46,SKU!$A:$I,4,FALSE)</f>
        <v>Card/卡牌</v>
      </c>
      <c r="E46" s="9" t="str">
        <f>VLOOKUP($C46,SKU!$A:$I,5,FALSE)</f>
        <v>源宇宙原神</v>
      </c>
      <c r="F46" s="6">
        <v>1</v>
      </c>
      <c r="G46" s="9">
        <f>VLOOKUP($C46,SKU!$A:$I,6,FALSE)</f>
        <v>100</v>
      </c>
      <c r="H46" s="9">
        <f>VLOOKUP($C46,SKU!$A:$I,7,FALSE)</f>
        <v>1</v>
      </c>
      <c r="I46" s="9">
        <f t="shared" si="11"/>
        <v>100</v>
      </c>
      <c r="J46" s="6" t="s">
        <v>401</v>
      </c>
      <c r="K46" s="6" t="s">
        <v>17</v>
      </c>
      <c r="L46" s="10" t="s">
        <v>404</v>
      </c>
      <c r="M46" s="164">
        <f t="shared" si="12"/>
        <v>2</v>
      </c>
      <c r="N46" s="9" cm="1">
        <f t="array" ref="N46">SUMPRODUCT(($A$3:$A$997=A46)*($I$3:$I$997))-SUMPRODUCT((Xuất出库!$A$2:$A$986=A46)*(Xuất出库!$E$2:$E$986))-SUMPRODUCT((Xuất出库!$A$2:$A$986=A46)*(Xuất出库!$F$2:$F$986))+SUMPRODUCT((Hoàn回库!$A$2:$A$996=A46)*(Hoàn回库!$E$2:$E$996))+SUMPRODUCT((Hoàn回库!$A$2:$A$996=A46)*(Hoàn回库!$F$2:$F$996))</f>
        <v>2</v>
      </c>
    </row>
    <row r="47" spans="1:14">
      <c r="A47" s="9">
        <f>VLOOKUP($C47,SKU!$A:$I,3,FALSE)</f>
        <v>10045</v>
      </c>
      <c r="B47" s="9" t="str">
        <f>VLOOKUP($C47,SKU!$A:$I,2,FALSE)</f>
        <v>名侦探柯南谜层交错</v>
      </c>
      <c r="C47" s="6" t="s">
        <v>205</v>
      </c>
      <c r="D47" s="9" t="str">
        <f>VLOOKUP($C47,SKU!$A:$I,4,FALSE)</f>
        <v>Lập thể/立体水晶</v>
      </c>
      <c r="E47" s="9">
        <f>VLOOKUP($C47,SKU!$A:$I,5,FALSE)</f>
        <v>0</v>
      </c>
      <c r="F47" s="6">
        <v>2</v>
      </c>
      <c r="G47" s="9">
        <f>VLOOKUP($C47,SKU!$A:$I,6,FALSE)</f>
        <v>50</v>
      </c>
      <c r="H47" s="9">
        <f>VLOOKUP($C47,SKU!$A:$I,7,FALSE)</f>
        <v>1</v>
      </c>
      <c r="I47" s="9">
        <f t="shared" si="11"/>
        <v>100</v>
      </c>
      <c r="J47" s="6" t="s">
        <v>401</v>
      </c>
      <c r="K47" s="6" t="s">
        <v>17</v>
      </c>
      <c r="L47" s="10" t="s">
        <v>405</v>
      </c>
      <c r="M47" s="164">
        <f t="shared" si="12"/>
        <v>15</v>
      </c>
      <c r="N47" s="9" cm="1">
        <f t="array" ref="N47">SUMPRODUCT(($A$3:$A$997=A47)*($I$3:$I$997))-SUMPRODUCT((Xuất出库!$A$2:$A$986=A47)*(Xuất出库!$E$2:$E$986))-SUMPRODUCT((Xuất出库!$A$2:$A$986=A47)*(Xuất出库!$F$2:$F$986))+SUMPRODUCT((Hoàn回库!$A$2:$A$996=A47)*(Hoàn回库!$E$2:$E$996))+SUMPRODUCT((Hoàn回库!$A$2:$A$996=A47)*(Hoàn回库!$F$2:$F$996))</f>
        <v>15</v>
      </c>
    </row>
    <row r="48" spans="1:14">
      <c r="A48" s="9">
        <f>VLOOKUP($C48,SKU!$A:$I,3,FALSE)</f>
        <v>10046</v>
      </c>
      <c r="B48" s="9" t="str">
        <f>VLOOKUP($C48,SKU!$A:$I,2,FALSE)</f>
        <v>夜灯</v>
      </c>
      <c r="C48" s="6" t="s">
        <v>207</v>
      </c>
      <c r="D48" s="9" t="str">
        <f>VLOOKUP($C48,SKU!$A:$I,4,FALSE)</f>
        <v>Đồ chơi/玩具</v>
      </c>
      <c r="E48" s="9" t="str">
        <f>VLOOKUP($C48,SKU!$A:$I,5,FALSE)</f>
        <v>夜灯</v>
      </c>
      <c r="F48" s="6">
        <v>1</v>
      </c>
      <c r="G48" s="9">
        <f>VLOOKUP($C48,SKU!$A:$I,6,FALSE)</f>
        <v>48</v>
      </c>
      <c r="H48" s="9">
        <f>VLOOKUP($C48,SKU!$A:$I,7,FALSE)</f>
        <v>1</v>
      </c>
      <c r="I48" s="9">
        <f t="shared" ref="I48:I63" si="13">F48*G48*H48</f>
        <v>48</v>
      </c>
      <c r="J48" s="6" t="s">
        <v>401</v>
      </c>
      <c r="K48" s="6" t="s">
        <v>17</v>
      </c>
      <c r="L48" s="10" t="s">
        <v>405</v>
      </c>
      <c r="M48" s="164">
        <f t="shared" ref="M48:M63" si="14">N48/H48</f>
        <v>24</v>
      </c>
      <c r="N48" s="9" cm="1">
        <f t="array" ref="N48">SUMPRODUCT(($A$3:$A$997=A48)*($I$3:$I$997))-SUMPRODUCT((Xuất出库!$A$2:$A$986=A48)*(Xuất出库!$E$2:$E$986))-SUMPRODUCT((Xuất出库!$A$2:$A$986=A48)*(Xuất出库!$F$2:$F$986))+SUMPRODUCT((Hoàn回库!$A$2:$A$996=A48)*(Hoàn回库!$E$2:$E$996))+SUMPRODUCT((Hoàn回库!$A$2:$A$996=A48)*(Hoàn回库!$F$2:$F$996))</f>
        <v>24</v>
      </c>
    </row>
    <row r="49" spans="1:14">
      <c r="A49" s="9">
        <f>VLOOKUP($C49,SKU!$A:$I,3,FALSE)</f>
        <v>10047</v>
      </c>
      <c r="B49" s="9" t="str">
        <f>VLOOKUP($C49,SKU!$A:$I,2,FALSE)</f>
        <v>提瓦特工坊·原神水晶色纸</v>
      </c>
      <c r="C49" s="6" t="s">
        <v>209</v>
      </c>
      <c r="D49" s="9" t="str">
        <f>VLOOKUP($C49,SKU!$A:$I,4,FALSE)</f>
        <v>Thẻ bự/色纸</v>
      </c>
      <c r="E49" s="9" t="str">
        <f>VLOOKUP($C49,SKU!$A:$I,5,FALSE)</f>
        <v>提瓦特工坊</v>
      </c>
      <c r="F49" s="6">
        <v>2</v>
      </c>
      <c r="G49" s="9">
        <f>VLOOKUP($C49,SKU!$A:$I,6,FALSE)</f>
        <v>90</v>
      </c>
      <c r="H49" s="9">
        <f>VLOOKUP($C49,SKU!$A:$I,7,FALSE)</f>
        <v>1</v>
      </c>
      <c r="I49" s="9">
        <f t="shared" si="13"/>
        <v>180</v>
      </c>
      <c r="J49" s="6" t="s">
        <v>401</v>
      </c>
      <c r="K49" s="6" t="s">
        <v>17</v>
      </c>
      <c r="L49" s="10" t="s">
        <v>405</v>
      </c>
      <c r="M49" s="164">
        <f t="shared" si="14"/>
        <v>0</v>
      </c>
      <c r="N49" s="9" cm="1">
        <f t="array" ref="N49">SUMPRODUCT(($A$3:$A$997=A49)*($I$3:$I$997))-SUMPRODUCT((Xuất出库!$A$2:$A$986=A49)*(Xuất出库!$E$2:$E$986))-SUMPRODUCT((Xuất出库!$A$2:$A$986=A49)*(Xuất出库!$F$2:$F$986))+SUMPRODUCT((Hoàn回库!$A$2:$A$996=A49)*(Hoàn回库!$E$2:$E$996))+SUMPRODUCT((Hoàn回库!$A$2:$A$996=A49)*(Hoàn回库!$F$2:$F$996))</f>
        <v>0</v>
      </c>
    </row>
    <row r="50" spans="1:14">
      <c r="A50" s="9">
        <f>VLOOKUP($C50,SKU!$A:$I,3,FALSE)</f>
        <v>10048</v>
      </c>
      <c r="B50" s="9" t="str">
        <f>VLOOKUP($C50,SKU!$A:$I,2,FALSE)</f>
        <v>奈良社《极昼漫游》美少女战士撕撕乐+异形小卡</v>
      </c>
      <c r="C50" s="6" t="s">
        <v>212</v>
      </c>
      <c r="D50" s="9" t="str">
        <f>VLOOKUP($C50,SKU!$A:$I,4,FALSE)</f>
        <v>Thẻ xé/撕撕乐</v>
      </c>
      <c r="E50" s="9" t="str">
        <f>VLOOKUP($C50,SKU!$A:$I,5,FALSE)</f>
        <v>奈良社</v>
      </c>
      <c r="F50" s="6">
        <v>2</v>
      </c>
      <c r="G50" s="9">
        <f>VLOOKUP($C50,SKU!$A:$I,6,FALSE)</f>
        <v>100</v>
      </c>
      <c r="H50" s="9">
        <f>VLOOKUP($C50,SKU!$A:$I,7,FALSE)</f>
        <v>1</v>
      </c>
      <c r="I50" s="9">
        <f t="shared" si="13"/>
        <v>200</v>
      </c>
      <c r="J50" s="6" t="s">
        <v>401</v>
      </c>
      <c r="K50" s="6" t="s">
        <v>17</v>
      </c>
      <c r="L50" s="10" t="s">
        <v>405</v>
      </c>
      <c r="M50" s="164">
        <f t="shared" si="14"/>
        <v>1</v>
      </c>
      <c r="N50" s="9" cm="1">
        <f t="array" ref="N50">SUMPRODUCT(($A$3:$A$997=A50)*($I$3:$I$997))-SUMPRODUCT((Xuất出库!$A$2:$A$986=A50)*(Xuất出库!$E$2:$E$986))-SUMPRODUCT((Xuất出库!$A$2:$A$986=A50)*(Xuất出库!$F$2:$F$986))+SUMPRODUCT((Hoàn回库!$A$2:$A$996=A50)*(Hoàn回库!$E$2:$E$996))+SUMPRODUCT((Hoàn回库!$A$2:$A$996=A50)*(Hoàn回库!$F$2:$F$996))</f>
        <v>1</v>
      </c>
    </row>
    <row r="51" spans="1:14">
      <c r="A51" s="9">
        <f>VLOOKUP($C51,SKU!$A:$I,3,FALSE)</f>
        <v>10049</v>
      </c>
      <c r="B51" s="9" t="str">
        <f>VLOOKUP($C51,SKU!$A:$I,2,FALSE)</f>
        <v>野火文创《月下悸动》 韩漫耽美撕撕乐</v>
      </c>
      <c r="C51" s="6" t="s">
        <v>216</v>
      </c>
      <c r="D51" s="9" t="str">
        <f>VLOOKUP($C51,SKU!$A:$I,4,FALSE)</f>
        <v>Thẻ xé/撕撕乐</v>
      </c>
      <c r="E51" s="9" t="str">
        <f>VLOOKUP($C51,SKU!$A:$I,5,FALSE)</f>
        <v>野火文创</v>
      </c>
      <c r="F51" s="6">
        <v>2</v>
      </c>
      <c r="G51" s="9">
        <f>VLOOKUP($C51,SKU!$A:$I,6,FALSE)</f>
        <v>52</v>
      </c>
      <c r="H51" s="9">
        <f>VLOOKUP($C51,SKU!$A:$I,7,FALSE)</f>
        <v>3</v>
      </c>
      <c r="I51" s="9">
        <f t="shared" si="13"/>
        <v>312</v>
      </c>
      <c r="J51" s="6" t="s">
        <v>401</v>
      </c>
      <c r="K51" s="6" t="s">
        <v>17</v>
      </c>
      <c r="L51" s="10" t="s">
        <v>405</v>
      </c>
      <c r="M51" s="164">
        <f t="shared" si="14"/>
        <v>0</v>
      </c>
      <c r="N51" s="9" cm="1">
        <f t="array" ref="N51">SUMPRODUCT(($A$3:$A$997=A51)*($I$3:$I$997))-SUMPRODUCT((Xuất出库!$A$2:$A$986=A51)*(Xuất出库!$E$2:$E$986))-SUMPRODUCT((Xuất出库!$A$2:$A$986=A51)*(Xuất出库!$F$2:$F$986))+SUMPRODUCT((Hoàn回库!$A$2:$A$996=A51)*(Hoàn回库!$E$2:$E$996))+SUMPRODUCT((Hoàn回库!$A$2:$A$996=A51)*(Hoàn回库!$F$2:$F$996))</f>
        <v>0</v>
      </c>
    </row>
    <row r="52" spans="1:14">
      <c r="A52" s="9">
        <f>VLOOKUP($C52,SKU!$A:$I,3,FALSE)</f>
        <v>10050</v>
      </c>
      <c r="B52" s="9" t="str">
        <f>VLOOKUP($C52,SKU!$A:$I,2,FALSE)</f>
        <v>小王子与爱丽丝</v>
      </c>
      <c r="C52" s="6" t="s">
        <v>219</v>
      </c>
      <c r="D52" s="9" t="str">
        <f>VLOOKUP($C52,SKU!$A:$I,4,FALSE)</f>
        <v>Card/卡牌</v>
      </c>
      <c r="E52" s="9" t="str">
        <f>VLOOKUP($C52,SKU!$A:$I,5,FALSE)</f>
        <v>卡盟文创</v>
      </c>
      <c r="F52" s="6">
        <v>1</v>
      </c>
      <c r="G52" s="9">
        <f>VLOOKUP($C52,SKU!$A:$I,6,FALSE)</f>
        <v>24</v>
      </c>
      <c r="H52" s="9">
        <f>VLOOKUP($C52,SKU!$A:$I,7,FALSE)</f>
        <v>12</v>
      </c>
      <c r="I52" s="9">
        <f t="shared" si="13"/>
        <v>288</v>
      </c>
      <c r="J52" s="6" t="s">
        <v>401</v>
      </c>
      <c r="K52" s="6" t="s">
        <v>17</v>
      </c>
      <c r="L52" s="10" t="s">
        <v>405</v>
      </c>
      <c r="M52" s="164">
        <f t="shared" si="14"/>
        <v>0</v>
      </c>
      <c r="N52" s="9" cm="1">
        <f t="array" ref="N52">SUMPRODUCT(($A$3:$A$997=A52)*($I$3:$I$997))-SUMPRODUCT((Xuất出库!$A$2:$A$986=A52)*(Xuất出库!$E$2:$E$986))-SUMPRODUCT((Xuất出库!$A$2:$A$986=A52)*(Xuất出库!$F$2:$F$986))+SUMPRODUCT((Hoàn回库!$A$2:$A$996=A52)*(Hoàn回库!$E$2:$E$996))+SUMPRODUCT((Hoàn回库!$A$2:$A$996=A52)*(Hoàn回库!$F$2:$F$996))</f>
        <v>0</v>
      </c>
    </row>
    <row r="53" spans="1:14">
      <c r="A53" s="9">
        <f>VLOOKUP($C53,SKU!$A:$I,3,FALSE)</f>
        <v>10051</v>
      </c>
      <c r="B53" s="9" t="str">
        <f>VLOOKUP($C53,SKU!$A:$I,2,FALSE)</f>
        <v>南卡《魔卡少女樱》</v>
      </c>
      <c r="C53" s="6" t="s">
        <v>222</v>
      </c>
      <c r="D53" s="9" t="str">
        <f>VLOOKUP($C53,SKU!$A:$I,4,FALSE)</f>
        <v>Card/卡牌</v>
      </c>
      <c r="E53" s="9" t="str">
        <f>VLOOKUP($C53,SKU!$A:$I,5,FALSE)</f>
        <v>南卡</v>
      </c>
      <c r="F53" s="6">
        <v>2</v>
      </c>
      <c r="G53" s="9">
        <f>VLOOKUP($C53,SKU!$A:$I,6,FALSE)</f>
        <v>36</v>
      </c>
      <c r="H53" s="9">
        <f>VLOOKUP($C53,SKU!$A:$I,7,FALSE)</f>
        <v>12</v>
      </c>
      <c r="I53" s="9">
        <f t="shared" si="13"/>
        <v>864</v>
      </c>
      <c r="J53" s="6" t="s">
        <v>401</v>
      </c>
      <c r="K53" s="6" t="s">
        <v>17</v>
      </c>
      <c r="L53" s="10" t="s">
        <v>405</v>
      </c>
      <c r="M53" s="164">
        <f t="shared" si="14"/>
        <v>9.41666666666667</v>
      </c>
      <c r="N53" s="9" cm="1">
        <f t="array" ref="N53">SUMPRODUCT(($A$3:$A$997=A53)*($I$3:$I$997))-SUMPRODUCT((Xuất出库!$A$2:$A$986=A53)*(Xuất出库!$E$2:$E$986))-SUMPRODUCT((Xuất出库!$A$2:$A$986=A53)*(Xuất出库!$F$2:$F$986))+SUMPRODUCT((Hoàn回库!$A$2:$A$996=A53)*(Hoàn回库!$E$2:$E$996))+SUMPRODUCT((Hoàn回库!$A$2:$A$996=A53)*(Hoàn回库!$F$2:$F$996))</f>
        <v>113</v>
      </c>
    </row>
    <row r="54" spans="1:14">
      <c r="A54" s="9">
        <f>VLOOKUP($C54,SKU!$A:$I,3,FALSE)</f>
        <v>10052</v>
      </c>
      <c r="B54" s="9" t="str">
        <f>VLOOKUP($C54,SKU!$A:$I,2,FALSE)</f>
        <v>柯南洞悉包第五弹</v>
      </c>
      <c r="C54" s="6" t="s">
        <v>225</v>
      </c>
      <c r="D54" s="9" t="str">
        <f>VLOOKUP($C54,SKU!$A:$I,4,FALSE)</f>
        <v>Card/卡牌</v>
      </c>
      <c r="E54" s="9" t="str">
        <f>VLOOKUP($C54,SKU!$A:$I,5,FALSE)</f>
        <v>卡游</v>
      </c>
      <c r="F54" s="6">
        <v>1</v>
      </c>
      <c r="G54" s="9">
        <f>VLOOKUP($C54,SKU!$A:$I,6,FALSE)</f>
        <v>36</v>
      </c>
      <c r="H54" s="9">
        <f>VLOOKUP($C54,SKU!$A:$I,7,FALSE)</f>
        <v>18</v>
      </c>
      <c r="I54" s="9">
        <f t="shared" si="13"/>
        <v>648</v>
      </c>
      <c r="J54" s="6" t="s">
        <v>401</v>
      </c>
      <c r="K54" s="6" t="s">
        <v>17</v>
      </c>
      <c r="L54" s="10" t="s">
        <v>405</v>
      </c>
      <c r="M54" s="164">
        <f t="shared" si="14"/>
        <v>0</v>
      </c>
      <c r="N54" s="9" cm="1">
        <f t="array" ref="N54">SUMPRODUCT(($A$3:$A$997=A54)*($I$3:$I$997))-SUMPRODUCT((Xuất出库!$A$2:$A$986=A54)*(Xuất出库!$E$2:$E$986))-SUMPRODUCT((Xuất出库!$A$2:$A$986=A54)*(Xuất出库!$F$2:$F$986))+SUMPRODUCT((Hoàn回库!$A$2:$A$996=A54)*(Hoàn回库!$E$2:$E$996))+SUMPRODUCT((Hoàn回库!$A$2:$A$996=A54)*(Hoàn回库!$F$2:$F$996))</f>
        <v>0</v>
      </c>
    </row>
    <row r="55" spans="1:14">
      <c r="A55" s="9">
        <f>VLOOKUP($C55,SKU!$A:$I,3,FALSE)</f>
        <v>10053</v>
      </c>
      <c r="B55" s="9" t="str">
        <f>VLOOKUP($C55,SKU!$A:$I,2,FALSE)</f>
        <v>悦灵文创 《落花只为君》第三弹</v>
      </c>
      <c r="C55" s="6" t="s">
        <v>228</v>
      </c>
      <c r="D55" s="9" t="str">
        <f>VLOOKUP($C55,SKU!$A:$I,4,FALSE)</f>
        <v>Card/卡牌</v>
      </c>
      <c r="E55" s="9" t="str">
        <f>VLOOKUP($C55,SKU!$A:$I,5,FALSE)</f>
        <v>悦灵文创</v>
      </c>
      <c r="F55" s="6">
        <v>2</v>
      </c>
      <c r="G55" s="9">
        <f>VLOOKUP($C55,SKU!$A:$I,6,FALSE)</f>
        <v>36</v>
      </c>
      <c r="H55" s="9">
        <f>VLOOKUP($C55,SKU!$A:$I,7,FALSE)</f>
        <v>12</v>
      </c>
      <c r="I55" s="9">
        <f t="shared" si="13"/>
        <v>864</v>
      </c>
      <c r="J55" s="6" t="s">
        <v>401</v>
      </c>
      <c r="K55" s="6" t="s">
        <v>17</v>
      </c>
      <c r="L55" s="10" t="s">
        <v>405</v>
      </c>
      <c r="M55" s="164">
        <f t="shared" si="14"/>
        <v>0</v>
      </c>
      <c r="N55" s="9" cm="1">
        <f t="array" ref="N55">SUMPRODUCT(($A$3:$A$997=A55)*($I$3:$I$997))-SUMPRODUCT((Xuất出库!$A$2:$A$986=A55)*(Xuất出库!$E$2:$E$986))-SUMPRODUCT((Xuất出库!$A$2:$A$986=A55)*(Xuất出库!$F$2:$F$986))+SUMPRODUCT((Hoàn回库!$A$2:$A$996=A55)*(Hoàn回库!$E$2:$E$996))+SUMPRODUCT((Hoàn回库!$A$2:$A$996=A55)*(Hoàn回库!$F$2:$F$996))</f>
        <v>0</v>
      </c>
    </row>
    <row r="56" spans="1:14">
      <c r="A56" s="9">
        <f>VLOOKUP($C56,SKU!$A:$I,3,FALSE)</f>
        <v>10054</v>
      </c>
      <c r="B56" s="9" t="str">
        <f>VLOOKUP($C56,SKU!$A:$I,2,FALSE)</f>
        <v>太阳能招财猫</v>
      </c>
      <c r="C56" s="6" t="s">
        <v>231</v>
      </c>
      <c r="D56" s="9" t="str">
        <f>VLOOKUP($C56,SKU!$A:$I,4,FALSE)</f>
        <v>Đồ chơi/玩具</v>
      </c>
      <c r="E56" s="9" t="str">
        <f>VLOOKUP($C56,SKU!$A:$I,5,FALSE)</f>
        <v>招财猫</v>
      </c>
      <c r="F56" s="6">
        <v>1</v>
      </c>
      <c r="G56" s="9">
        <f>VLOOKUP($C56,SKU!$A:$I,6,FALSE)</f>
        <v>240</v>
      </c>
      <c r="H56" s="9">
        <f>VLOOKUP($C56,SKU!$A:$I,7,FALSE)</f>
        <v>1</v>
      </c>
      <c r="I56" s="9">
        <f t="shared" si="13"/>
        <v>240</v>
      </c>
      <c r="J56" s="6" t="s">
        <v>401</v>
      </c>
      <c r="K56" s="6" t="s">
        <v>17</v>
      </c>
      <c r="L56" s="10" t="s">
        <v>405</v>
      </c>
      <c r="M56" s="164">
        <f t="shared" si="14"/>
        <v>239</v>
      </c>
      <c r="N56" s="9" cm="1">
        <f t="array" ref="N56">SUMPRODUCT(($A$3:$A$997=A56)*($I$3:$I$997))-SUMPRODUCT((Xuất出库!$A$2:$A$986=A56)*(Xuất出库!$E$2:$E$986))-SUMPRODUCT((Xuất出库!$A$2:$A$986=A56)*(Xuất出库!$F$2:$F$986))+SUMPRODUCT((Hoàn回库!$A$2:$A$996=A56)*(Hoàn回库!$E$2:$E$996))+SUMPRODUCT((Hoàn回库!$A$2:$A$996=A56)*(Hoàn回库!$F$2:$F$996))</f>
        <v>239</v>
      </c>
    </row>
    <row r="57" spans="1:14">
      <c r="A57" s="9">
        <f>VLOOKUP($C57,SKU!$A:$I,3,FALSE)</f>
        <v>10055</v>
      </c>
      <c r="B57" s="9" t="str">
        <f>VLOOKUP($C57,SKU!$A:$I,2,FALSE)</f>
        <v>绘卷文创 - 梦境入画【鬼灭之刃系列收藏卡砖】</v>
      </c>
      <c r="C57" s="34" t="s">
        <v>234</v>
      </c>
      <c r="D57" s="9" t="str">
        <f>VLOOKUP($C57,SKU!$A:$I,4,FALSE)</f>
        <v>Thẻ hộp/卡砖</v>
      </c>
      <c r="E57" s="9" t="str">
        <f>VLOOKUP($C57,SKU!$A:$I,5,FALSE)</f>
        <v>绘卷文创</v>
      </c>
      <c r="F57" s="6">
        <v>1</v>
      </c>
      <c r="G57" s="9">
        <f>VLOOKUP($C57,SKU!$A:$I,6,FALSE)</f>
        <v>36</v>
      </c>
      <c r="H57" s="9">
        <f>VLOOKUP($C57,SKU!$A:$I,7,FALSE)</f>
        <v>5</v>
      </c>
      <c r="I57" s="9">
        <f t="shared" si="13"/>
        <v>180</v>
      </c>
      <c r="J57" s="6" t="s">
        <v>401</v>
      </c>
      <c r="K57" s="10" t="s">
        <v>406</v>
      </c>
      <c r="L57" s="10" t="s">
        <v>407</v>
      </c>
      <c r="M57" s="164">
        <f t="shared" si="14"/>
        <v>0</v>
      </c>
      <c r="N57" s="9" cm="1">
        <f t="array" ref="N57">SUMPRODUCT(($A$3:$A$997=A57)*($I$3:$I$997))-SUMPRODUCT((Xuất出库!$A$2:$A$986=A57)*(Xuất出库!$E$2:$E$986))-SUMPRODUCT((Xuất出库!$A$2:$A$986=A57)*(Xuất出库!$F$2:$F$986))+SUMPRODUCT((Hoàn回库!$A$2:$A$996=A57)*(Hoàn回库!$E$2:$E$996))+SUMPRODUCT((Hoàn回库!$A$2:$A$996=A57)*(Hoàn回库!$F$2:$F$996))</f>
        <v>0</v>
      </c>
    </row>
    <row r="58" spans="1:14">
      <c r="A58" s="9">
        <f>VLOOKUP($C58,SKU!$A:$I,3,FALSE)</f>
        <v>10056</v>
      </c>
      <c r="B58" s="9" t="str">
        <f>VLOOKUP($C58,SKU!$A:$I,2,FALSE)</f>
        <v>集卡社天官赐福动画周年纪念版</v>
      </c>
      <c r="C58" s="29" t="s">
        <v>238</v>
      </c>
      <c r="D58" s="9" t="str">
        <f>VLOOKUP($C58,SKU!$A:$I,4,FALSE)</f>
        <v>Card/卡牌</v>
      </c>
      <c r="E58" s="9" t="str">
        <f>VLOOKUP($C58,SKU!$A:$I,5,FALSE)</f>
        <v>集卡社</v>
      </c>
      <c r="F58" s="6">
        <v>1</v>
      </c>
      <c r="G58" s="9">
        <f>VLOOKUP($C58,SKU!$A:$I,6,FALSE)</f>
        <v>48</v>
      </c>
      <c r="H58" s="9">
        <f>VLOOKUP($C58,SKU!$A:$I,7,FALSE)</f>
        <v>10</v>
      </c>
      <c r="I58" s="9">
        <f t="shared" si="13"/>
        <v>480</v>
      </c>
      <c r="J58" s="6" t="s">
        <v>401</v>
      </c>
      <c r="K58" s="10" t="s">
        <v>406</v>
      </c>
      <c r="L58" s="10" t="s">
        <v>407</v>
      </c>
      <c r="M58" s="164">
        <f t="shared" si="14"/>
        <v>0</v>
      </c>
      <c r="N58" s="9" cm="1">
        <f t="array" ref="N58">SUMPRODUCT(($A$3:$A$997=A58)*($I$3:$I$997))-SUMPRODUCT((Xuất出库!$A$2:$A$986=A58)*(Xuất出库!$E$2:$E$986))-SUMPRODUCT((Xuất出库!$A$2:$A$986=A58)*(Xuất出库!$F$2:$F$986))+SUMPRODUCT((Hoàn回库!$A$2:$A$996=A58)*(Hoàn回库!$E$2:$E$996))+SUMPRODUCT((Hoàn回库!$A$2:$A$996=A58)*(Hoàn回库!$F$2:$F$996))</f>
        <v>0</v>
      </c>
    </row>
    <row r="59" spans="1:14">
      <c r="A59" s="9">
        <f>VLOOKUP($C59,SKU!$A:$I,3,FALSE)</f>
        <v>10057</v>
      </c>
      <c r="B59" s="9" t="str">
        <f>VLOOKUP($C59,SKU!$A:$I,2,FALSE)</f>
        <v>三丽鸥家族暖冬</v>
      </c>
      <c r="C59" s="29" t="s">
        <v>241</v>
      </c>
      <c r="D59" s="9" t="str">
        <f>VLOOKUP($C59,SKU!$A:$I,4,FALSE)</f>
        <v>Card/卡牌</v>
      </c>
      <c r="E59" s="9" t="str">
        <f>VLOOKUP($C59,SKU!$A:$I,5,FALSE)</f>
        <v>卡宝</v>
      </c>
      <c r="F59" s="6">
        <v>1</v>
      </c>
      <c r="G59" s="9">
        <f>VLOOKUP($C59,SKU!$A:$I,6,FALSE)</f>
        <v>20</v>
      </c>
      <c r="H59" s="9">
        <f>VLOOKUP($C59,SKU!$A:$I,7,FALSE)</f>
        <v>10</v>
      </c>
      <c r="I59" s="9">
        <f t="shared" si="13"/>
        <v>200</v>
      </c>
      <c r="J59" s="6" t="s">
        <v>401</v>
      </c>
      <c r="K59" s="10" t="s">
        <v>406</v>
      </c>
      <c r="L59" s="10" t="s">
        <v>407</v>
      </c>
      <c r="M59" s="164">
        <f t="shared" si="14"/>
        <v>0</v>
      </c>
      <c r="N59" s="9" cm="1">
        <f t="array" ref="N59">SUMPRODUCT(($A$3:$A$997=A59)*($I$3:$I$997))-SUMPRODUCT((Xuất出库!$A$2:$A$986=A59)*(Xuất出库!$E$2:$E$986))-SUMPRODUCT((Xuất出库!$A$2:$A$986=A59)*(Xuất出库!$F$2:$F$986))+SUMPRODUCT((Hoàn回库!$A$2:$A$996=A59)*(Hoàn回库!$E$2:$E$996))+SUMPRODUCT((Hoàn回库!$A$2:$A$996=A59)*(Hoàn回库!$F$2:$F$996))</f>
        <v>0</v>
      </c>
    </row>
    <row r="60" spans="1:14">
      <c r="A60" s="9">
        <f>VLOOKUP($C60,SKU!$A:$I,3,FALSE)</f>
        <v>10058</v>
      </c>
      <c r="B60" s="9" t="str">
        <f>VLOOKUP($C60,SKU!$A:$I,2,FALSE)</f>
        <v>三丽鸥家族hello kitty梦境巡礼</v>
      </c>
      <c r="C60" s="29" t="s">
        <v>244</v>
      </c>
      <c r="D60" s="9" t="str">
        <f>VLOOKUP($C60,SKU!$A:$I,4,FALSE)</f>
        <v>Card/卡牌</v>
      </c>
      <c r="E60" s="9" t="str">
        <f>VLOOKUP($C60,SKU!$A:$I,5,FALSE)</f>
        <v>卡宝</v>
      </c>
      <c r="F60" s="6">
        <v>1</v>
      </c>
      <c r="G60" s="9">
        <f>VLOOKUP($C60,SKU!$A:$I,6,FALSE)</f>
        <v>36</v>
      </c>
      <c r="H60" s="9">
        <f>VLOOKUP($C60,SKU!$A:$I,7,FALSE)</f>
        <v>15</v>
      </c>
      <c r="I60" s="9">
        <f t="shared" si="13"/>
        <v>540</v>
      </c>
      <c r="J60" s="6" t="s">
        <v>401</v>
      </c>
      <c r="K60" s="10" t="s">
        <v>406</v>
      </c>
      <c r="L60" s="10" t="s">
        <v>407</v>
      </c>
      <c r="M60" s="164">
        <f t="shared" si="14"/>
        <v>0</v>
      </c>
      <c r="N60" s="9" cm="1">
        <f t="array" ref="N60">SUMPRODUCT(($A$3:$A$997=A60)*($I$3:$I$997))-SUMPRODUCT((Xuất出库!$A$2:$A$986=A60)*(Xuất出库!$E$2:$E$986))-SUMPRODUCT((Xuất出库!$A$2:$A$986=A60)*(Xuất出库!$F$2:$F$986))+SUMPRODUCT((Hoàn回库!$A$2:$A$996=A60)*(Hoàn回库!$E$2:$E$996))+SUMPRODUCT((Hoàn回库!$A$2:$A$996=A60)*(Hoàn回库!$F$2:$F$996))</f>
        <v>0</v>
      </c>
    </row>
    <row r="61" spans="1:14">
      <c r="A61" s="9">
        <f>VLOOKUP($C61,SKU!$A:$I,3,FALSE)</f>
        <v>10059</v>
      </c>
      <c r="B61" s="9" t="str">
        <f>VLOOKUP($C61,SKU!$A:$I,2,FALSE)</f>
        <v>鬼灭之刃·炽阳文创《未眠之夜 》限定双闪色纸</v>
      </c>
      <c r="C61" s="34" t="s">
        <v>246</v>
      </c>
      <c r="D61" s="9" t="str">
        <f>VLOOKUP($C61,SKU!$A:$I,4,FALSE)</f>
        <v>Thẻ bự/色纸</v>
      </c>
      <c r="E61" s="9" t="str">
        <f>VLOOKUP($C61,SKU!$A:$I,5,FALSE)</f>
        <v>炽阳文创</v>
      </c>
      <c r="F61" s="6">
        <v>1</v>
      </c>
      <c r="G61" s="9">
        <f>VLOOKUP($C61,SKU!$A:$I,6,FALSE)</f>
        <v>90</v>
      </c>
      <c r="H61" s="9">
        <f>VLOOKUP($C61,SKU!$A:$I,7,FALSE)</f>
        <v>1</v>
      </c>
      <c r="I61" s="9">
        <f t="shared" si="13"/>
        <v>90</v>
      </c>
      <c r="J61" s="6" t="s">
        <v>401</v>
      </c>
      <c r="K61" s="10" t="s">
        <v>406</v>
      </c>
      <c r="L61" s="10" t="s">
        <v>407</v>
      </c>
      <c r="M61" s="164">
        <f t="shared" si="14"/>
        <v>0</v>
      </c>
      <c r="N61" s="9" cm="1">
        <f t="array" ref="N61">SUMPRODUCT(($A$3:$A$997=A61)*($I$3:$I$997))-SUMPRODUCT((Xuất出库!$A$2:$A$986=A61)*(Xuất出库!$E$2:$E$986))-SUMPRODUCT((Xuất出库!$A$2:$A$986=A61)*(Xuất出库!$F$2:$F$986))+SUMPRODUCT((Hoàn回库!$A$2:$A$996=A61)*(Hoàn回库!$E$2:$E$996))+SUMPRODUCT((Hoàn回库!$A$2:$A$996=A61)*(Hoàn回库!$F$2:$F$996))</f>
        <v>0</v>
      </c>
    </row>
    <row r="62" spans="1:14">
      <c r="A62" s="9">
        <f>VLOOKUP($C62,SKU!$A:$I,3,FALSE)</f>
        <v>10060</v>
      </c>
      <c r="B62" s="9" t="str">
        <f>VLOOKUP($C62,SKU!$A:$I,2,FALSE)</f>
        <v>漫の森《宫崎骏第三弹·奇幻之旅》</v>
      </c>
      <c r="C62" s="29" t="s">
        <v>249</v>
      </c>
      <c r="D62" s="9" t="str">
        <f>VLOOKUP($C62,SKU!$A:$I,4,FALSE)</f>
        <v>Card/卡牌</v>
      </c>
      <c r="E62" s="9" t="str">
        <f>VLOOKUP($C62,SKU!$A:$I,5,FALSE)</f>
        <v>漫の森</v>
      </c>
      <c r="F62" s="6">
        <v>1</v>
      </c>
      <c r="G62" s="9">
        <f>VLOOKUP($C62,SKU!$A:$I,6,FALSE)</f>
        <v>36</v>
      </c>
      <c r="H62" s="9">
        <f>VLOOKUP($C62,SKU!$A:$I,7,FALSE)</f>
        <v>13</v>
      </c>
      <c r="I62" s="9">
        <f t="shared" si="13"/>
        <v>468</v>
      </c>
      <c r="J62" s="6" t="s">
        <v>401</v>
      </c>
      <c r="K62" s="10" t="s">
        <v>406</v>
      </c>
      <c r="L62" s="10" t="s">
        <v>407</v>
      </c>
      <c r="M62" s="164">
        <f t="shared" si="14"/>
        <v>7</v>
      </c>
      <c r="N62" s="9" cm="1">
        <f t="array" ref="N62">SUMPRODUCT(($A$3:$A$997=A62)*($I$3:$I$997))-SUMPRODUCT((Xuất出库!$A$2:$A$986=A62)*(Xuất出库!$E$2:$E$986))-SUMPRODUCT((Xuất出库!$A$2:$A$986=A62)*(Xuất出库!$F$2:$F$986))+SUMPRODUCT((Hoàn回库!$A$2:$A$996=A62)*(Hoàn回库!$E$2:$E$996))+SUMPRODUCT((Hoàn回库!$A$2:$A$996=A62)*(Hoàn回库!$F$2:$F$996))</f>
        <v>91</v>
      </c>
    </row>
    <row r="63" spans="1:14">
      <c r="A63" s="9">
        <f>VLOOKUP($C63,SKU!$A:$I,3,FALSE)</f>
        <v>10061</v>
      </c>
      <c r="B63" s="9" t="str">
        <f>VLOOKUP($C63,SKU!$A:$I,2,FALSE)</f>
        <v>灵漫社《耽于美涩》古风系列收藏卡牌第三弹</v>
      </c>
      <c r="C63" s="34" t="s">
        <v>252</v>
      </c>
      <c r="D63" s="9" t="str">
        <f>VLOOKUP($C63,SKU!$A:$I,4,FALSE)</f>
        <v>Card/卡牌</v>
      </c>
      <c r="E63" s="9" t="str">
        <f>VLOOKUP($C63,SKU!$A:$I,5,FALSE)</f>
        <v>灵漫社</v>
      </c>
      <c r="F63" s="12">
        <v>1</v>
      </c>
      <c r="G63" s="9">
        <f>VLOOKUP($C63,SKU!$A:$I,6,FALSE)</f>
        <v>36</v>
      </c>
      <c r="H63" s="9">
        <f>VLOOKUP($C63,SKU!$A:$I,7,FALSE)</f>
        <v>11</v>
      </c>
      <c r="I63" s="9">
        <f t="shared" si="13"/>
        <v>396</v>
      </c>
      <c r="J63" s="6" t="s">
        <v>401</v>
      </c>
      <c r="K63" s="10" t="s">
        <v>406</v>
      </c>
      <c r="L63" s="10" t="s">
        <v>407</v>
      </c>
      <c r="M63" s="164">
        <f t="shared" si="14"/>
        <v>0</v>
      </c>
      <c r="N63" s="9" cm="1">
        <f t="array" ref="N63">SUMPRODUCT(($A$3:$A$997=A63)*($I$3:$I$997))-SUMPRODUCT((Xuất出库!$A$2:$A$986=A63)*(Xuất出库!$E$2:$E$986))-SUMPRODUCT((Xuất出库!$A$2:$A$986=A63)*(Xuất出库!$F$2:$F$986))+SUMPRODUCT((Hoàn回库!$A$2:$A$996=A63)*(Hoàn回库!$E$2:$E$996))+SUMPRODUCT((Hoàn回库!$A$2:$A$996=A63)*(Hoàn回库!$F$2:$F$996))</f>
        <v>0</v>
      </c>
    </row>
    <row r="64" spans="1:14">
      <c r="A64" s="9">
        <f>VLOOKUP($C64,SKU!$A:$I,3,FALSE)</f>
        <v>10062</v>
      </c>
      <c r="B64" s="9" t="str">
        <f>VLOOKUP($C64,SKU!$A:$I,2,FALSE)</f>
        <v>Mobile Legends: Bang Bang-Collectible Cards-Hand of Destiny-001A-SEA</v>
      </c>
      <c r="C64" s="34" t="s">
        <v>255</v>
      </c>
      <c r="D64" s="9" t="str">
        <f>VLOOKUP($C64,SKU!$A:$I,4,FALSE)</f>
        <v>Card/卡牌</v>
      </c>
      <c r="E64" s="140" t="str">
        <f>VLOOKUP($C64,SKU!$A:$I,5,FALSE)</f>
        <v>卡游</v>
      </c>
      <c r="F64" s="29">
        <v>1</v>
      </c>
      <c r="G64" s="165">
        <f>VLOOKUP($C64,SKU!$A:$I,6,FALSE)</f>
        <v>48</v>
      </c>
      <c r="H64" s="9">
        <f>VLOOKUP($C64,SKU!$A:$I,7,FALSE)</f>
        <v>20</v>
      </c>
      <c r="I64" s="9">
        <f t="shared" ref="I64:I74" si="15">F64*G64*H64</f>
        <v>960</v>
      </c>
      <c r="J64" s="6" t="s">
        <v>401</v>
      </c>
      <c r="K64" s="10" t="s">
        <v>408</v>
      </c>
      <c r="L64" s="10" t="s">
        <v>409</v>
      </c>
      <c r="M64" s="164">
        <f t="shared" ref="M64:M74" si="16">N64/H64</f>
        <v>23</v>
      </c>
      <c r="N64" s="9" cm="1">
        <f t="array" ref="N64">SUMPRODUCT(($A$3:$A$997=A64)*($I$3:$I$997))-SUMPRODUCT((Xuất出库!$A$2:$A$986=A64)*(Xuất出库!$E$2:$E$986))-SUMPRODUCT((Xuất出库!$A$2:$A$986=A64)*(Xuất出库!$F$2:$F$986))+SUMPRODUCT((Hoàn回库!$A$2:$A$996=A64)*(Hoàn回库!$E$2:$E$996))+SUMPRODUCT((Hoàn回库!$A$2:$A$996=A64)*(Hoàn回库!$F$2:$F$996))</f>
        <v>460</v>
      </c>
    </row>
    <row r="65" spans="1:14">
      <c r="A65" s="9">
        <f>VLOOKUP($C65,SKU!$A:$I,3,FALSE)</f>
        <v>10063</v>
      </c>
      <c r="B65" s="9" t="str">
        <f>VLOOKUP($C65,SKU!$A:$I,2,FALSE)</f>
        <v>浮梦集 「童境绮梦」艺术家联名收藏卡牌</v>
      </c>
      <c r="C65" s="29" t="s">
        <v>257</v>
      </c>
      <c r="D65" s="9" t="str">
        <f>VLOOKUP($C65,SKU!$A:$I,4,FALSE)</f>
        <v>Card/卡牌</v>
      </c>
      <c r="E65" s="140" t="str">
        <f>VLOOKUP($C65,SKU!$A:$I,5,FALSE)</f>
        <v>浮梦集</v>
      </c>
      <c r="F65" s="29">
        <v>2</v>
      </c>
      <c r="G65" s="165">
        <f>VLOOKUP($C65,SKU!$A:$I,6,FALSE)</f>
        <v>36</v>
      </c>
      <c r="H65" s="9">
        <f>VLOOKUP($C65,SKU!$A:$I,7,FALSE)</f>
        <v>13</v>
      </c>
      <c r="I65" s="9">
        <f t="shared" si="15"/>
        <v>936</v>
      </c>
      <c r="J65" s="6" t="s">
        <v>401</v>
      </c>
      <c r="K65" s="10" t="s">
        <v>408</v>
      </c>
      <c r="L65" s="10" t="s">
        <v>409</v>
      </c>
      <c r="M65" s="164">
        <f t="shared" si="16"/>
        <v>0</v>
      </c>
      <c r="N65" s="9" cm="1">
        <f t="array" ref="N65">SUMPRODUCT(($A$3:$A$997=A65)*($I$3:$I$997))-SUMPRODUCT((Xuất出库!$A$2:$A$986=A65)*(Xuất出库!$E$2:$E$986))-SUMPRODUCT((Xuất出库!$A$2:$A$986=A65)*(Xuất出库!$F$2:$F$986))+SUMPRODUCT((Hoàn回库!$A$2:$A$996=A65)*(Hoàn回库!$E$2:$E$996))+SUMPRODUCT((Hoàn回库!$A$2:$A$996=A65)*(Hoàn回库!$F$2:$F$996))</f>
        <v>0</v>
      </c>
    </row>
    <row r="66" spans="1:14">
      <c r="A66" s="9">
        <f>VLOOKUP($C66,SKU!$A:$I,3,FALSE)</f>
        <v>10064</v>
      </c>
      <c r="B66" s="9" t="str">
        <f>VLOOKUP($C66,SKU!$A:$I,2,FALSE)</f>
        <v>源宇宙崩铁色纸</v>
      </c>
      <c r="C66" s="29" t="s">
        <v>260</v>
      </c>
      <c r="D66" s="9" t="str">
        <f>VLOOKUP($C66,SKU!$A:$I,4,FALSE)</f>
        <v>Thẻ bự/色纸</v>
      </c>
      <c r="E66" s="140" t="str">
        <f>VLOOKUP($C66,SKU!$A:$I,5,FALSE)</f>
        <v>源宇宙</v>
      </c>
      <c r="F66" s="29">
        <v>2</v>
      </c>
      <c r="G66" s="165">
        <f>VLOOKUP($C66,SKU!$A:$I,6,FALSE)</f>
        <v>30</v>
      </c>
      <c r="H66" s="9">
        <f>VLOOKUP($C66,SKU!$A:$I,7,FALSE)</f>
        <v>6</v>
      </c>
      <c r="I66" s="9">
        <f t="shared" si="15"/>
        <v>360</v>
      </c>
      <c r="J66" s="6" t="s">
        <v>401</v>
      </c>
      <c r="K66" s="10" t="s">
        <v>408</v>
      </c>
      <c r="L66" s="10" t="s">
        <v>409</v>
      </c>
      <c r="M66" s="164">
        <f t="shared" si="16"/>
        <v>0</v>
      </c>
      <c r="N66" s="9" cm="1">
        <f t="array" ref="N66">SUMPRODUCT(($A$3:$A$997=A66)*($I$3:$I$997))-SUMPRODUCT((Xuất出库!$A$2:$A$986=A66)*(Xuất出库!$E$2:$E$986))-SUMPRODUCT((Xuất出库!$A$2:$A$986=A66)*(Xuất出库!$F$2:$F$986))+SUMPRODUCT((Hoàn回库!$A$2:$A$996=A66)*(Hoàn回库!$E$2:$E$996))+SUMPRODUCT((Hoàn回库!$A$2:$A$996=A66)*(Hoàn回库!$F$2:$F$996))</f>
        <v>0</v>
      </c>
    </row>
    <row r="67" spans="1:14">
      <c r="A67" s="9">
        <f>VLOOKUP($C67,SKU!$A:$I,3,FALSE)</f>
        <v>10065</v>
      </c>
      <c r="B67" s="9" t="str">
        <f>VLOOKUP($C67,SKU!$A:$I,2,FALSE)</f>
        <v>【行星文创·上上签·命运答案】X全新原神系列上上签</v>
      </c>
      <c r="C67" s="34" t="s">
        <v>263</v>
      </c>
      <c r="D67" s="9" t="str">
        <f>VLOOKUP($C67,SKU!$A:$I,4,FALSE)</f>
        <v>Card/卡牌</v>
      </c>
      <c r="E67" s="140" t="str">
        <f>VLOOKUP($C67,SKU!$A:$I,5,FALSE)</f>
        <v>行星文创</v>
      </c>
      <c r="F67" s="29">
        <v>2</v>
      </c>
      <c r="G67" s="165">
        <f>VLOOKUP($C67,SKU!$A:$I,6,FALSE)</f>
        <v>10</v>
      </c>
      <c r="H67" s="9">
        <f>VLOOKUP($C67,SKU!$A:$I,7,FALSE)</f>
        <v>12</v>
      </c>
      <c r="I67" s="9">
        <f t="shared" si="15"/>
        <v>240</v>
      </c>
      <c r="J67" s="6" t="s">
        <v>401</v>
      </c>
      <c r="K67" s="10" t="s">
        <v>408</v>
      </c>
      <c r="L67" s="10" t="s">
        <v>409</v>
      </c>
      <c r="M67" s="164">
        <f t="shared" si="16"/>
        <v>0</v>
      </c>
      <c r="N67" s="9" cm="1">
        <f t="array" ref="N67">SUMPRODUCT(($A$3:$A$997=A67)*($I$3:$I$997))-SUMPRODUCT((Xuất出库!$A$2:$A$986=A67)*(Xuất出库!$E$2:$E$986))-SUMPRODUCT((Xuất出库!$A$2:$A$986=A67)*(Xuất出库!$F$2:$F$986))+SUMPRODUCT((Hoàn回库!$A$2:$A$996=A67)*(Hoàn回库!$E$2:$E$996))+SUMPRODUCT((Hoàn回库!$A$2:$A$996=A67)*(Hoàn回库!$F$2:$F$996))</f>
        <v>0</v>
      </c>
    </row>
    <row r="68" spans="1:14">
      <c r="A68" s="9">
        <f>VLOOKUP($C68,SKU!$A:$I,3,FALSE)</f>
        <v>10066</v>
      </c>
      <c r="B68" s="9" t="str">
        <f>VLOOKUP($C68,SKU!$A:$I,2,FALSE)</f>
        <v>卡游柯南揭秘包第2弹</v>
      </c>
      <c r="C68" s="34" t="s">
        <v>266</v>
      </c>
      <c r="D68" s="9" t="str">
        <f>VLOOKUP($C68,SKU!$A:$I,4,FALSE)</f>
        <v>Card/卡牌</v>
      </c>
      <c r="E68" s="140" t="str">
        <f>VLOOKUP($C68,SKU!$A:$I,5,FALSE)</f>
        <v>卡游</v>
      </c>
      <c r="F68" s="29">
        <v>1</v>
      </c>
      <c r="G68" s="165">
        <f>VLOOKUP($C68,SKU!$A:$I,6,FALSE)</f>
        <v>48</v>
      </c>
      <c r="H68" s="9">
        <f>VLOOKUP($C68,SKU!$A:$I,7,FALSE)</f>
        <v>36</v>
      </c>
      <c r="I68" s="9">
        <f t="shared" si="15"/>
        <v>1728</v>
      </c>
      <c r="J68" s="6" t="s">
        <v>401</v>
      </c>
      <c r="K68" s="10" t="s">
        <v>408</v>
      </c>
      <c r="L68" s="10" t="s">
        <v>409</v>
      </c>
      <c r="M68" s="164">
        <f t="shared" si="16"/>
        <v>0</v>
      </c>
      <c r="N68" s="9" cm="1">
        <f t="array" ref="N68">SUMPRODUCT(($A$3:$A$997=A68)*($I$3:$I$997))-SUMPRODUCT((Xuất出库!$A$2:$A$986=A68)*(Xuất出库!$E$2:$E$986))-SUMPRODUCT((Xuất出库!$A$2:$A$986=A68)*(Xuất出库!$F$2:$F$986))+SUMPRODUCT((Hoàn回库!$A$2:$A$996=A68)*(Hoàn回库!$E$2:$E$996))+SUMPRODUCT((Hoàn回库!$A$2:$A$996=A68)*(Hoàn回库!$F$2:$F$996))</f>
        <v>0</v>
      </c>
    </row>
    <row r="69" spans="1:14">
      <c r="A69" s="9">
        <f>VLOOKUP($C69,SKU!$A:$I,3,FALSE)</f>
        <v>10067</v>
      </c>
      <c r="B69" s="9" t="str">
        <f>VLOOKUP($C69,SKU!$A:$I,2,FALSE)</f>
        <v>拓宇文创—崩铁·启航星程 A6 亚克力色纸</v>
      </c>
      <c r="C69" s="34" t="s">
        <v>268</v>
      </c>
      <c r="D69" s="9" t="str">
        <f>VLOOKUP($C69,SKU!$A:$I,4,FALSE)</f>
        <v>Thẻ bự/色纸</v>
      </c>
      <c r="E69" s="140" t="str">
        <f>VLOOKUP($C69,SKU!$A:$I,5,FALSE)</f>
        <v>拓宇文创</v>
      </c>
      <c r="F69" s="29">
        <v>1</v>
      </c>
      <c r="G69" s="165">
        <f>VLOOKUP($C69,SKU!$A:$I,6,FALSE)</f>
        <v>90</v>
      </c>
      <c r="H69" s="9">
        <f>VLOOKUP($C69,SKU!$A:$I,7,FALSE)</f>
        <v>1</v>
      </c>
      <c r="I69" s="9">
        <f t="shared" si="15"/>
        <v>90</v>
      </c>
      <c r="J69" s="6" t="s">
        <v>401</v>
      </c>
      <c r="K69" s="10" t="s">
        <v>408</v>
      </c>
      <c r="L69" s="10" t="s">
        <v>409</v>
      </c>
      <c r="M69" s="164">
        <f t="shared" si="16"/>
        <v>0</v>
      </c>
      <c r="N69" s="9" cm="1">
        <f t="array" ref="N69">SUMPRODUCT(($A$3:$A$997=A69)*($I$3:$I$997))-SUMPRODUCT((Xuất出库!$A$2:$A$986=A69)*(Xuất出库!$E$2:$E$986))-SUMPRODUCT((Xuất出库!$A$2:$A$986=A69)*(Xuất出库!$F$2:$F$986))+SUMPRODUCT((Hoàn回库!$A$2:$A$996=A69)*(Hoàn回库!$E$2:$E$996))+SUMPRODUCT((Hoàn回库!$A$2:$A$996=A69)*(Hoàn回库!$F$2:$F$996))</f>
        <v>0</v>
      </c>
    </row>
    <row r="70" spans="1:14">
      <c r="A70" s="9">
        <f>VLOOKUP($C70,SKU!$A:$I,3,FALSE)</f>
        <v>10068</v>
      </c>
      <c r="B70" s="9" t="str">
        <f>VLOOKUP($C70,SKU!$A:$I,2,FALSE)</f>
        <v>《竹影摇笺》耽美撕撕乐系列</v>
      </c>
      <c r="C70" s="34" t="s">
        <v>271</v>
      </c>
      <c r="D70" s="9" t="str">
        <f>VLOOKUP($C70,SKU!$A:$I,4,FALSE)</f>
        <v>Thẻ xé/撕撕乐</v>
      </c>
      <c r="E70" s="140" t="str">
        <f>VLOOKUP($C70,SKU!$A:$I,5,FALSE)</f>
        <v>漫の森</v>
      </c>
      <c r="F70" s="29">
        <v>1</v>
      </c>
      <c r="G70" s="165">
        <f>VLOOKUP($C70,SKU!$A:$I,6,FALSE)</f>
        <v>300</v>
      </c>
      <c r="H70" s="9">
        <f>VLOOKUP($C70,SKU!$A:$I,7,FALSE)</f>
        <v>1</v>
      </c>
      <c r="I70" s="9">
        <f t="shared" si="15"/>
        <v>300</v>
      </c>
      <c r="J70" s="6" t="s">
        <v>401</v>
      </c>
      <c r="K70" s="10" t="s">
        <v>408</v>
      </c>
      <c r="L70" s="10" t="s">
        <v>409</v>
      </c>
      <c r="M70" s="164">
        <f t="shared" si="16"/>
        <v>0</v>
      </c>
      <c r="N70" s="9" cm="1">
        <f t="array" ref="N70">SUMPRODUCT(($A$3:$A$997=A70)*($I$3:$I$997))-SUMPRODUCT((Xuất出库!$A$2:$A$986=A70)*(Xuất出库!$E$2:$E$986))-SUMPRODUCT((Xuất出库!$A$2:$A$986=A70)*(Xuất出库!$F$2:$F$986))+SUMPRODUCT((Hoàn回库!$A$2:$A$996=A70)*(Hoàn回库!$E$2:$E$996))+SUMPRODUCT((Hoàn回库!$A$2:$A$996=A70)*(Hoàn回库!$F$2:$F$996))</f>
        <v>0</v>
      </c>
    </row>
    <row r="71" spans="1:14">
      <c r="A71" s="9">
        <f>VLOOKUP($C71,SKU!$A:$I,3,FALSE)</f>
        <v>10069</v>
      </c>
      <c r="B71" s="9" t="str">
        <f>VLOOKUP($C71,SKU!$A:$I,2,FALSE)</f>
        <v>【艺画文创】鸣潮撕撕乐</v>
      </c>
      <c r="C71" s="34" t="s">
        <v>274</v>
      </c>
      <c r="D71" s="9" t="str">
        <f>VLOOKUP($C71,SKU!$A:$I,4,FALSE)</f>
        <v>Thẻ xé/撕撕乐</v>
      </c>
      <c r="E71" s="140" t="str">
        <f>VLOOKUP($C71,SKU!$A:$I,5,FALSE)</f>
        <v>艺画文创</v>
      </c>
      <c r="F71" s="29">
        <v>1</v>
      </c>
      <c r="G71" s="165">
        <f>VLOOKUP($C71,SKU!$A:$I,6,FALSE)</f>
        <v>300</v>
      </c>
      <c r="H71" s="9">
        <f>VLOOKUP($C71,SKU!$A:$I,7,FALSE)</f>
        <v>1</v>
      </c>
      <c r="I71" s="9">
        <f t="shared" si="15"/>
        <v>300</v>
      </c>
      <c r="J71" s="6" t="s">
        <v>401</v>
      </c>
      <c r="K71" s="10" t="s">
        <v>408</v>
      </c>
      <c r="L71" s="10" t="s">
        <v>409</v>
      </c>
      <c r="M71" s="164">
        <f t="shared" si="16"/>
        <v>180</v>
      </c>
      <c r="N71" s="9" cm="1">
        <f t="array" ref="N71">SUMPRODUCT(($A$3:$A$997=A71)*($I$3:$I$997))-SUMPRODUCT((Xuất出库!$A$2:$A$986=A71)*(Xuất出库!$E$2:$E$986))-SUMPRODUCT((Xuất出库!$A$2:$A$986=A71)*(Xuất出库!$F$2:$F$986))+SUMPRODUCT((Hoàn回库!$A$2:$A$996=A71)*(Hoàn回库!$E$2:$E$996))+SUMPRODUCT((Hoàn回库!$A$2:$A$996=A71)*(Hoàn回库!$F$2:$F$996))</f>
        <v>180</v>
      </c>
    </row>
    <row r="72" spans="1:14">
      <c r="A72" s="9">
        <f>VLOOKUP($C72,SKU!$A:$I,3,FALSE)</f>
        <v>10070</v>
      </c>
      <c r="B72" s="9" t="str">
        <f>VLOOKUP($C72,SKU!$A:$I,2,FALSE)</f>
        <v>【喵谷】&amp;【一诺终生】墨香三部曲系列色纸【魔道】【天官】【渣反】第二弹</v>
      </c>
      <c r="C72" s="34" t="s">
        <v>277</v>
      </c>
      <c r="D72" s="9" t="str">
        <f>VLOOKUP($C72,SKU!$A:$I,4,FALSE)</f>
        <v>Thẻ bự/色纸</v>
      </c>
      <c r="E72" s="140" t="str">
        <f>VLOOKUP($C72,SKU!$A:$I,5,FALSE)</f>
        <v>喵谷</v>
      </c>
      <c r="F72" s="29">
        <v>1</v>
      </c>
      <c r="G72" s="165">
        <f>VLOOKUP($C72,SKU!$A:$I,6,FALSE)</f>
        <v>90</v>
      </c>
      <c r="H72" s="9">
        <f>VLOOKUP($C72,SKU!$A:$I,7,FALSE)</f>
        <v>1</v>
      </c>
      <c r="I72" s="9">
        <f t="shared" si="15"/>
        <v>90</v>
      </c>
      <c r="J72" s="6" t="s">
        <v>401</v>
      </c>
      <c r="K72" s="10" t="s">
        <v>408</v>
      </c>
      <c r="L72" s="10" t="s">
        <v>409</v>
      </c>
      <c r="M72" s="164">
        <f t="shared" si="16"/>
        <v>0</v>
      </c>
      <c r="N72" s="9" cm="1">
        <f t="array" ref="N72">SUMPRODUCT(($A$3:$A$997=A72)*($I$3:$I$997))-SUMPRODUCT((Xuất出库!$A$2:$A$986=A72)*(Xuất出库!$E$2:$E$986))-SUMPRODUCT((Xuất出库!$A$2:$A$986=A72)*(Xuất出库!$F$2:$F$986))+SUMPRODUCT((Hoàn回库!$A$2:$A$996=A72)*(Hoàn回库!$E$2:$E$996))+SUMPRODUCT((Hoàn回库!$A$2:$A$996=A72)*(Hoàn回库!$F$2:$F$996))</f>
        <v>0</v>
      </c>
    </row>
    <row r="73" spans="1:14">
      <c r="A73" s="9">
        <f>VLOOKUP($C73,SKU!$A:$I,3,FALSE)</f>
        <v>10071</v>
      </c>
      <c r="B73" s="9" t="str">
        <f>VLOOKUP($C73,SKU!$A:$I,2,FALSE)</f>
        <v>咒术回战-术士收藏卡-高专篇</v>
      </c>
      <c r="C73" s="34" t="s">
        <v>280</v>
      </c>
      <c r="D73" s="9" t="str">
        <f>VLOOKUP($C73,SKU!$A:$I,4,FALSE)</f>
        <v>Card/卡牌</v>
      </c>
      <c r="E73" s="140" t="str">
        <f>VLOOKUP($C73,SKU!$A:$I,5,FALSE)</f>
        <v>卡游</v>
      </c>
      <c r="F73" s="29">
        <v>1</v>
      </c>
      <c r="G73" s="165">
        <f>VLOOKUP($C73,SKU!$A:$I,6,FALSE)</f>
        <v>36</v>
      </c>
      <c r="H73" s="9">
        <f>VLOOKUP($C73,SKU!$A:$I,7,FALSE)</f>
        <v>18</v>
      </c>
      <c r="I73" s="9">
        <f t="shared" si="15"/>
        <v>648</v>
      </c>
      <c r="J73" s="6" t="s">
        <v>401</v>
      </c>
      <c r="K73" s="10" t="s">
        <v>408</v>
      </c>
      <c r="L73" s="10" t="s">
        <v>409</v>
      </c>
      <c r="M73" s="164">
        <f t="shared" si="16"/>
        <v>0</v>
      </c>
      <c r="N73" s="9" cm="1">
        <f t="array" ref="N73">SUMPRODUCT(($A$3:$A$997=A73)*($I$3:$I$997))-SUMPRODUCT((Xuất出库!$A$2:$A$986=A73)*(Xuất出库!$E$2:$E$986))-SUMPRODUCT((Xuất出库!$A$2:$A$986=A73)*(Xuất出库!$F$2:$F$986))+SUMPRODUCT((Hoàn回库!$A$2:$A$996=A73)*(Hoàn回库!$E$2:$E$996))+SUMPRODUCT((Hoàn回库!$A$2:$A$996=A73)*(Hoàn回库!$F$2:$F$996))</f>
        <v>0</v>
      </c>
    </row>
    <row r="74" spans="1:14">
      <c r="A74" s="9">
        <f>VLOOKUP($C74,SKU!$A:$I,3,FALSE)</f>
        <v>10072</v>
      </c>
      <c r="B74" s="9" t="str">
        <f>VLOOKUP($C74,SKU!$A:$I,2,FALSE)</f>
        <v>伴飞小鸟</v>
      </c>
      <c r="C74" s="34" t="s">
        <v>282</v>
      </c>
      <c r="D74" s="9" t="str">
        <f>VLOOKUP($C74,SKU!$A:$I,4,FALSE)</f>
        <v>Đồ chơi/玩具</v>
      </c>
      <c r="E74" s="140" t="str">
        <f>VLOOKUP($C74,SKU!$A:$I,5,FALSE)</f>
        <v>未知</v>
      </c>
      <c r="F74" s="29">
        <v>2</v>
      </c>
      <c r="G74" s="165">
        <f>VLOOKUP($C74,SKU!$A:$I,6,FALSE)</f>
        <v>200</v>
      </c>
      <c r="H74" s="9">
        <f>VLOOKUP($C74,SKU!$A:$I,7,FALSE)</f>
        <v>1</v>
      </c>
      <c r="I74" s="9">
        <f t="shared" si="15"/>
        <v>400</v>
      </c>
      <c r="J74" s="6" t="s">
        <v>401</v>
      </c>
      <c r="K74" s="10" t="s">
        <v>408</v>
      </c>
      <c r="L74" s="10" t="s">
        <v>409</v>
      </c>
      <c r="M74" s="164">
        <f t="shared" si="16"/>
        <v>391</v>
      </c>
      <c r="N74" s="9" cm="1">
        <f t="array" ref="N74">SUMPRODUCT(($A$3:$A$997=A74)*($I$3:$I$997))-SUMPRODUCT((Xuất出库!$A$2:$A$986=A74)*(Xuất出库!$E$2:$E$986))-SUMPRODUCT((Xuất出库!$A$2:$A$986=A74)*(Xuất出库!$F$2:$F$986))+SUMPRODUCT((Hoàn回库!$A$2:$A$996=A74)*(Hoàn回库!$E$2:$E$996))+SUMPRODUCT((Hoàn回库!$A$2:$A$996=A74)*(Hoàn回库!$F$2:$F$996))</f>
        <v>391</v>
      </c>
    </row>
    <row r="75" spans="1:14">
      <c r="A75" s="9">
        <f>VLOOKUP($C75,SKU!$A:$I,3,FALSE)</f>
        <v>10073</v>
      </c>
      <c r="B75" s="9" t="str">
        <f>VLOOKUP($C75,SKU!$A:$I,2,FALSE)</f>
        <v>名侦探柯南-名推理收藏卡-觅影包-第2弹</v>
      </c>
      <c r="C75" s="34" t="s">
        <v>285</v>
      </c>
      <c r="D75" s="9" t="str">
        <f>VLOOKUP($C75,SKU!$A:$I,4,FALSE)</f>
        <v>Card/卡牌</v>
      </c>
      <c r="E75" s="140" t="str">
        <f>VLOOKUP($C75,SKU!$A:$I,5,FALSE)</f>
        <v>卡游</v>
      </c>
      <c r="F75" s="29">
        <v>1</v>
      </c>
      <c r="G75" s="165">
        <f>VLOOKUP($C75,SKU!$A:$I,6,FALSE)</f>
        <v>48</v>
      </c>
      <c r="H75" s="9">
        <f>VLOOKUP($C75,SKU!$A:$I,7,FALSE)</f>
        <v>30</v>
      </c>
      <c r="I75" s="9">
        <f t="shared" ref="I75:I91" si="17">F75*G75*H75</f>
        <v>1440</v>
      </c>
      <c r="J75" s="6" t="s">
        <v>401</v>
      </c>
      <c r="K75" s="10" t="s">
        <v>408</v>
      </c>
      <c r="L75" s="10" t="s">
        <v>410</v>
      </c>
      <c r="M75" s="164">
        <f t="shared" ref="M75:M91" si="18">N75/H75</f>
        <v>48</v>
      </c>
      <c r="N75" s="9" cm="1">
        <f t="array" ref="N75">SUMPRODUCT(($A$3:$A$997=A75)*($I$3:$I$997))-SUMPRODUCT((Xuất出库!$A$2:$A$986=A75)*(Xuất出库!$E$2:$E$986))-SUMPRODUCT((Xuất出库!$A$2:$A$986=A75)*(Xuất出库!$F$2:$F$986))+SUMPRODUCT((Hoàn回库!$A$2:$A$996=A75)*(Hoàn回库!$E$2:$E$996))+SUMPRODUCT((Hoàn回库!$A$2:$A$996=A75)*(Hoàn回库!$F$2:$F$996))</f>
        <v>1440</v>
      </c>
    </row>
    <row r="76" spans="1:14">
      <c r="A76" s="9">
        <f>VLOOKUP($C76,SKU!$A:$I,3,FALSE)</f>
        <v>10074</v>
      </c>
      <c r="B76" s="9" t="str">
        <f>VLOOKUP($C76,SKU!$A:$I,2,FALSE)</f>
        <v>火萤文创【帷幕将倾】俊男唯美撕撕乐</v>
      </c>
      <c r="C76" s="34" t="s">
        <v>287</v>
      </c>
      <c r="D76" s="9" t="str">
        <f>VLOOKUP($C76,SKU!$A:$I,4,FALSE)</f>
        <v>Thẻ xé/撕撕乐</v>
      </c>
      <c r="E76" s="140" t="str">
        <f>VLOOKUP($C76,SKU!$A:$I,5,FALSE)</f>
        <v>火萤文创</v>
      </c>
      <c r="F76" s="29">
        <v>1</v>
      </c>
      <c r="G76" s="165">
        <f>VLOOKUP($C76,SKU!$A:$I,6,FALSE)</f>
        <v>80</v>
      </c>
      <c r="H76" s="9">
        <f>VLOOKUP($C76,SKU!$A:$I,7,FALSE)</f>
        <v>1</v>
      </c>
      <c r="I76" s="9">
        <f t="shared" si="17"/>
        <v>80</v>
      </c>
      <c r="J76" s="6" t="s">
        <v>401</v>
      </c>
      <c r="K76" s="10" t="s">
        <v>408</v>
      </c>
      <c r="L76" s="10" t="s">
        <v>410</v>
      </c>
      <c r="M76" s="164">
        <f t="shared" si="18"/>
        <v>0</v>
      </c>
      <c r="N76" s="9" cm="1">
        <f t="array" ref="N76">SUMPRODUCT(($A$3:$A$997=A76)*($I$3:$I$997))-SUMPRODUCT((Xuất出库!$A$2:$A$986=A76)*(Xuất出库!$E$2:$E$986))-SUMPRODUCT((Xuất出库!$A$2:$A$986=A76)*(Xuất出库!$F$2:$F$986))+SUMPRODUCT((Hoàn回库!$A$2:$A$996=A76)*(Hoàn回库!$E$2:$E$996))+SUMPRODUCT((Hoàn回库!$A$2:$A$996=A76)*(Hoàn回库!$F$2:$F$996))</f>
        <v>0</v>
      </c>
    </row>
    <row r="77" spans="1:14">
      <c r="A77" s="9">
        <f>VLOOKUP($C77,SKU!$A:$I,3,FALSE)</f>
        <v>10075</v>
      </c>
      <c r="B77" s="9" t="str">
        <f>VLOOKUP($C77,SKU!$A:$I,2,FALSE)</f>
        <v>《万卡卡文创》鬼灭之刃日轮破晓第一弹</v>
      </c>
      <c r="C77" s="34" t="s">
        <v>290</v>
      </c>
      <c r="D77" s="9" t="str">
        <f>VLOOKUP($C77,SKU!$A:$I,4,FALSE)</f>
        <v>Card/卡牌</v>
      </c>
      <c r="E77" s="140" t="str">
        <f>VLOOKUP($C77,SKU!$A:$I,5,FALSE)</f>
        <v>万卡卡文创</v>
      </c>
      <c r="F77" s="29">
        <v>2</v>
      </c>
      <c r="G77" s="165">
        <f>VLOOKUP($C77,SKU!$A:$I,6,FALSE)</f>
        <v>10</v>
      </c>
      <c r="H77" s="9">
        <f>VLOOKUP($C77,SKU!$A:$I,7,FALSE)</f>
        <v>10</v>
      </c>
      <c r="I77" s="9">
        <f t="shared" si="17"/>
        <v>200</v>
      </c>
      <c r="J77" s="6" t="s">
        <v>401</v>
      </c>
      <c r="K77" s="10" t="s">
        <v>408</v>
      </c>
      <c r="L77" s="10" t="s">
        <v>410</v>
      </c>
      <c r="M77" s="164">
        <f t="shared" si="18"/>
        <v>0</v>
      </c>
      <c r="N77" s="9" cm="1">
        <f t="array" ref="N77">SUMPRODUCT(($A$3:$A$997=A77)*($I$3:$I$997))-SUMPRODUCT((Xuất出库!$A$2:$A$986=A77)*(Xuất出库!$E$2:$E$986))-SUMPRODUCT((Xuất出库!$A$2:$A$986=A77)*(Xuất出库!$F$2:$F$986))+SUMPRODUCT((Hoàn回库!$A$2:$A$996=A77)*(Hoàn回库!$E$2:$E$996))+SUMPRODUCT((Hoàn回库!$A$2:$A$996=A77)*(Hoàn回库!$F$2:$F$996))</f>
        <v>0</v>
      </c>
    </row>
    <row r="78" spans="1:14">
      <c r="A78" s="9">
        <f>VLOOKUP($C78,SKU!$A:$I,3,FALSE)</f>
        <v>10076</v>
      </c>
      <c r="B78" s="9" t="str">
        <f>VLOOKUP($C78,SKU!$A:$I,2,FALSE)</f>
        <v>【Aikaho】鬼灭之刃第四弹 集结 【DS-04 Muster】</v>
      </c>
      <c r="C78" s="34" t="s">
        <v>293</v>
      </c>
      <c r="D78" s="9" t="str">
        <f>VLOOKUP($C78,SKU!$A:$I,4,FALSE)</f>
        <v>Thẻ bự/色纸</v>
      </c>
      <c r="E78" s="140" t="str">
        <f>VLOOKUP($C78,SKU!$A:$I,5,FALSE)</f>
        <v>Aikaho</v>
      </c>
      <c r="F78" s="29">
        <v>1</v>
      </c>
      <c r="G78" s="165">
        <f>VLOOKUP($C78,SKU!$A:$I,6,FALSE)</f>
        <v>36</v>
      </c>
      <c r="H78" s="9">
        <f>VLOOKUP($C78,SKU!$A:$I,7,FALSE)</f>
        <v>10</v>
      </c>
      <c r="I78" s="9">
        <f t="shared" si="17"/>
        <v>360</v>
      </c>
      <c r="J78" s="6" t="s">
        <v>401</v>
      </c>
      <c r="K78" s="10" t="s">
        <v>408</v>
      </c>
      <c r="L78" s="10" t="s">
        <v>410</v>
      </c>
      <c r="M78" s="164">
        <f t="shared" si="18"/>
        <v>0</v>
      </c>
      <c r="N78" s="9" cm="1">
        <f t="array" ref="N78">SUMPRODUCT(($A$3:$A$997=A78)*($I$3:$I$997))-SUMPRODUCT((Xuất出库!$A$2:$A$986=A78)*(Xuất出库!$E$2:$E$986))-SUMPRODUCT((Xuất出库!$A$2:$A$986=A78)*(Xuất出库!$F$2:$F$986))+SUMPRODUCT((Hoàn回库!$A$2:$A$996=A78)*(Hoàn回库!$E$2:$E$996))+SUMPRODUCT((Hoàn回库!$A$2:$A$996=A78)*(Hoàn回库!$F$2:$F$996))</f>
        <v>0</v>
      </c>
    </row>
    <row r="79" spans="1:14">
      <c r="A79" s="9">
        <f>VLOOKUP($C79,SKU!$A:$I,3,FALSE)</f>
        <v>10077</v>
      </c>
      <c r="B79" s="9" t="str">
        <f>VLOOKUP($C79,SKU!$A:$I,2,FALSE)</f>
        <v>多多文创原神第二弹卡砖—神眸再现</v>
      </c>
      <c r="C79" s="34" t="s">
        <v>296</v>
      </c>
      <c r="D79" s="9" t="str">
        <f>VLOOKUP($C79,SKU!$A:$I,4,FALSE)</f>
        <v>Thẻ hộp/卡砖</v>
      </c>
      <c r="E79" s="140" t="str">
        <f>VLOOKUP($C79,SKU!$A:$I,5,FALSE)</f>
        <v>多多文创</v>
      </c>
      <c r="F79" s="29">
        <v>2</v>
      </c>
      <c r="G79" s="165">
        <f>VLOOKUP($C79,SKU!$A:$I,6,FALSE)</f>
        <v>100</v>
      </c>
      <c r="H79" s="9">
        <f>VLOOKUP($C79,SKU!$A:$I,7,FALSE)</f>
        <v>1</v>
      </c>
      <c r="I79" s="9">
        <f t="shared" si="17"/>
        <v>200</v>
      </c>
      <c r="J79" s="6" t="s">
        <v>401</v>
      </c>
      <c r="K79" s="10" t="s">
        <v>408</v>
      </c>
      <c r="L79" s="10" t="s">
        <v>410</v>
      </c>
      <c r="M79" s="164">
        <f t="shared" si="18"/>
        <v>0</v>
      </c>
      <c r="N79" s="9" cm="1">
        <f t="array" ref="N79">SUMPRODUCT(($A$3:$A$997=A79)*($I$3:$I$997))-SUMPRODUCT((Xuất出库!$A$2:$A$986=A79)*(Xuất出库!$E$2:$E$986))-SUMPRODUCT((Xuất出库!$A$2:$A$986=A79)*(Xuất出库!$F$2:$F$986))+SUMPRODUCT((Hoàn回库!$A$2:$A$996=A79)*(Hoàn回库!$E$2:$E$996))+SUMPRODUCT((Hoàn回库!$A$2:$A$996=A79)*(Hoàn回库!$F$2:$F$996))</f>
        <v>0</v>
      </c>
    </row>
    <row r="80" spans="1:14">
      <c r="A80" s="9">
        <f>VLOOKUP($C80,SKU!$A:$I,3,FALSE)</f>
        <v>10078</v>
      </c>
      <c r="B80" s="9" t="str">
        <f>VLOOKUP($C80,SKU!$A:$I,2,FALSE)</f>
        <v>摩斯社×名侦探柯南-摩斯密码系列评级邮票</v>
      </c>
      <c r="C80" s="34" t="s">
        <v>299</v>
      </c>
      <c r="D80" s="9" t="str">
        <f>VLOOKUP($C80,SKU!$A:$I,4,FALSE)</f>
        <v>Card/卡牌</v>
      </c>
      <c r="E80" s="140" t="str">
        <f>VLOOKUP($C80,SKU!$A:$I,5,FALSE)</f>
        <v>摩斯社</v>
      </c>
      <c r="F80" s="29">
        <v>1</v>
      </c>
      <c r="G80" s="165">
        <f>VLOOKUP($C80,SKU!$A:$I,6,FALSE)</f>
        <v>200</v>
      </c>
      <c r="H80" s="9">
        <f>VLOOKUP($C80,SKU!$A:$I,7,FALSE)</f>
        <v>1</v>
      </c>
      <c r="I80" s="9">
        <f t="shared" si="17"/>
        <v>200</v>
      </c>
      <c r="J80" s="6" t="s">
        <v>401</v>
      </c>
      <c r="K80" s="10" t="s">
        <v>408</v>
      </c>
      <c r="L80" s="10" t="s">
        <v>410</v>
      </c>
      <c r="M80" s="164">
        <f t="shared" si="18"/>
        <v>50</v>
      </c>
      <c r="N80" s="9" cm="1">
        <f t="array" ref="N80">SUMPRODUCT(($A$3:$A$997=A80)*($I$3:$I$997))-SUMPRODUCT((Xuất出库!$A$2:$A$986=A80)*(Xuất出库!$E$2:$E$986))-SUMPRODUCT((Xuất出库!$A$2:$A$986=A80)*(Xuất出库!$F$2:$F$986))+SUMPRODUCT((Hoàn回库!$A$2:$A$996=A80)*(Hoàn回库!$E$2:$E$996))+SUMPRODUCT((Hoàn回库!$A$2:$A$996=A80)*(Hoàn回库!$F$2:$F$996))</f>
        <v>50</v>
      </c>
    </row>
    <row r="81" spans="1:14">
      <c r="A81" s="9">
        <f>VLOOKUP($C81,SKU!$A:$I,3,FALSE)</f>
        <v>10079</v>
      </c>
      <c r="B81" s="9" t="str">
        <f>VLOOKUP($C81,SKU!$A:$I,2,FALSE)</f>
        <v>卡趣多《童话-千夜绘卷》艺术典藏卡牌</v>
      </c>
      <c r="C81" s="34" t="s">
        <v>302</v>
      </c>
      <c r="D81" s="9" t="str">
        <f>VLOOKUP($C81,SKU!$A:$I,4,FALSE)</f>
        <v>Card/卡牌</v>
      </c>
      <c r="E81" s="140" t="str">
        <f>VLOOKUP($C81,SKU!$A:$I,5,FALSE)</f>
        <v>卡趣多</v>
      </c>
      <c r="F81" s="29">
        <v>1</v>
      </c>
      <c r="G81" s="165">
        <f>VLOOKUP($C81,SKU!$A:$I,6,FALSE)</f>
        <v>36</v>
      </c>
      <c r="H81" s="9">
        <f>VLOOKUP($C81,SKU!$A:$I,7,FALSE)</f>
        <v>12</v>
      </c>
      <c r="I81" s="9">
        <f t="shared" si="17"/>
        <v>432</v>
      </c>
      <c r="J81" s="6" t="s">
        <v>401</v>
      </c>
      <c r="K81" s="10" t="s">
        <v>408</v>
      </c>
      <c r="L81" s="10" t="s">
        <v>410</v>
      </c>
      <c r="M81" s="164">
        <f t="shared" si="18"/>
        <v>0</v>
      </c>
      <c r="N81" s="9" cm="1">
        <f t="array" ref="N81">SUMPRODUCT(($A$3:$A$997=A81)*($I$3:$I$997))-SUMPRODUCT((Xuất出库!$A$2:$A$986=A81)*(Xuất出库!$E$2:$E$986))-SUMPRODUCT((Xuất出库!$A$2:$A$986=A81)*(Xuất出库!$F$2:$F$986))+SUMPRODUCT((Hoàn回库!$A$2:$A$996=A81)*(Hoàn回库!$E$2:$E$996))+SUMPRODUCT((Hoàn回库!$A$2:$A$996=A81)*(Hoàn回库!$F$2:$F$996))</f>
        <v>0</v>
      </c>
    </row>
    <row r="82" spans="1:14">
      <c r="A82" s="9">
        <f>VLOOKUP($C82,SKU!$A:$I,3,FALSE)</f>
        <v>10080</v>
      </c>
      <c r="B82" s="9" t="str">
        <f>VLOOKUP($C82,SKU!$A:$I,2,FALSE)</f>
        <v>《小蘑菇》流荧版收藏卡-末世深渊</v>
      </c>
      <c r="C82" s="34" t="s">
        <v>305</v>
      </c>
      <c r="D82" s="9" t="str">
        <f>VLOOKUP($C82,SKU!$A:$I,4,FALSE)</f>
        <v>Card/卡牌</v>
      </c>
      <c r="E82" s="140" t="str">
        <f>VLOOKUP($C82,SKU!$A:$I,5,FALSE)</f>
        <v>集卡社</v>
      </c>
      <c r="F82" s="29">
        <v>1</v>
      </c>
      <c r="G82" s="165">
        <f>VLOOKUP($C82,SKU!$A:$I,6,FALSE)</f>
        <v>36</v>
      </c>
      <c r="H82" s="9">
        <f>VLOOKUP($C82,SKU!$A:$I,7,FALSE)</f>
        <v>10</v>
      </c>
      <c r="I82" s="9">
        <f t="shared" si="17"/>
        <v>360</v>
      </c>
      <c r="J82" s="6" t="s">
        <v>401</v>
      </c>
      <c r="K82" s="10" t="s">
        <v>408</v>
      </c>
      <c r="L82" s="10" t="s">
        <v>410</v>
      </c>
      <c r="M82" s="164">
        <f t="shared" si="18"/>
        <v>0</v>
      </c>
      <c r="N82" s="9" cm="1">
        <f t="array" ref="N82">SUMPRODUCT(($A$3:$A$997=A82)*($I$3:$I$997))-SUMPRODUCT((Xuất出库!$A$2:$A$986=A82)*(Xuất出库!$E$2:$E$986))-SUMPRODUCT((Xuất出库!$A$2:$A$986=A82)*(Xuất出库!$F$2:$F$986))+SUMPRODUCT((Hoàn回库!$A$2:$A$996=A82)*(Hoàn回库!$E$2:$E$996))+SUMPRODUCT((Hoàn回库!$A$2:$A$996=A82)*(Hoàn回库!$F$2:$F$996))</f>
        <v>0</v>
      </c>
    </row>
    <row r="83" spans="1:14">
      <c r="A83" s="9">
        <f>VLOOKUP($C83,SKU!$A:$I,3,FALSE)</f>
        <v>10081</v>
      </c>
      <c r="B83" s="9" t="str">
        <f>VLOOKUP($C83,SKU!$A:$I,2,FALSE)</f>
        <v>京都社 美少女战士 · 第4弹</v>
      </c>
      <c r="C83" s="34" t="s">
        <v>307</v>
      </c>
      <c r="D83" s="9" t="str">
        <f>VLOOKUP($C83,SKU!$A:$I,4,FALSE)</f>
        <v>Card/卡牌</v>
      </c>
      <c r="E83" s="140" t="str">
        <f>VLOOKUP($C83,SKU!$A:$I,5,FALSE)</f>
        <v>京都社</v>
      </c>
      <c r="F83" s="29">
        <v>1</v>
      </c>
      <c r="G83" s="165">
        <f>VLOOKUP($C83,SKU!$A:$I,6,FALSE)</f>
        <v>36</v>
      </c>
      <c r="H83" s="9">
        <f>VLOOKUP($C83,SKU!$A:$I,7,FALSE)</f>
        <v>13</v>
      </c>
      <c r="I83" s="9">
        <f t="shared" si="17"/>
        <v>468</v>
      </c>
      <c r="J83" s="6" t="s">
        <v>401</v>
      </c>
      <c r="K83" s="10" t="s">
        <v>408</v>
      </c>
      <c r="L83" s="10" t="s">
        <v>410</v>
      </c>
      <c r="M83" s="164">
        <f t="shared" si="18"/>
        <v>16</v>
      </c>
      <c r="N83" s="9" cm="1">
        <f t="array" ref="N83">SUMPRODUCT(($A$3:$A$997=A83)*($I$3:$I$997))-SUMPRODUCT((Xuất出库!$A$2:$A$986=A83)*(Xuất出库!$E$2:$E$986))-SUMPRODUCT((Xuất出库!$A$2:$A$986=A83)*(Xuất出库!$F$2:$F$986))+SUMPRODUCT((Hoàn回库!$A$2:$A$996=A83)*(Hoàn回库!$E$2:$E$996))+SUMPRODUCT((Hoàn回库!$A$2:$A$996=A83)*(Hoàn回库!$F$2:$F$996))</f>
        <v>208</v>
      </c>
    </row>
    <row r="84" spans="1:14">
      <c r="A84" s="9">
        <f>VLOOKUP($C84,SKU!$A:$I,3,FALSE)</f>
        <v>10082</v>
      </c>
      <c r="B84" s="9" t="str">
        <f>VLOOKUP($C84,SKU!$A:$I,2,FALSE)</f>
        <v>吾羽文创-全亚克力正方形原神色纸</v>
      </c>
      <c r="C84" s="34" t="s">
        <v>310</v>
      </c>
      <c r="D84" s="9" t="str">
        <f>VLOOKUP($C84,SKU!$A:$I,4,FALSE)</f>
        <v>Thẻ bự/色纸</v>
      </c>
      <c r="E84" s="140" t="str">
        <f>VLOOKUP($C84,SKU!$A:$I,5,FALSE)</f>
        <v>吾羽文创</v>
      </c>
      <c r="F84" s="29">
        <f>1+179/180</f>
        <v>1.99444444444444</v>
      </c>
      <c r="G84" s="165">
        <f>VLOOKUP($C84,SKU!$A:$I,6,FALSE)</f>
        <v>30</v>
      </c>
      <c r="H84" s="9">
        <f>VLOOKUP($C84,SKU!$A:$I,7,FALSE)</f>
        <v>6</v>
      </c>
      <c r="I84" s="9">
        <f t="shared" si="17"/>
        <v>358.999999999999</v>
      </c>
      <c r="J84" s="6" t="s">
        <v>401</v>
      </c>
      <c r="K84" s="10" t="s">
        <v>408</v>
      </c>
      <c r="L84" s="10" t="s">
        <v>410</v>
      </c>
      <c r="M84" s="164">
        <f t="shared" si="18"/>
        <v>-1.70530256582424e-13</v>
      </c>
      <c r="N84" s="9" cm="1">
        <f t="array" ref="N84">SUMPRODUCT(($A$3:$A$997=A84)*($I$3:$I$997))-SUMPRODUCT((Xuất出库!$A$2:$A$986=A84)*(Xuất出库!$E$2:$E$986))-SUMPRODUCT((Xuất出库!$A$2:$A$986=A84)*(Xuất出库!$F$2:$F$986))+SUMPRODUCT((Hoàn回库!$A$2:$A$996=A84)*(Hoàn回库!$E$2:$E$996))+SUMPRODUCT((Hoàn回库!$A$2:$A$996=A84)*(Hoàn回库!$F$2:$F$996))</f>
        <v>-1.02318153949454e-12</v>
      </c>
    </row>
    <row r="85" spans="1:14">
      <c r="A85" s="9">
        <f>VLOOKUP($C85,SKU!$A:$I,3,FALSE)</f>
        <v>10083</v>
      </c>
      <c r="B85" s="9" t="str">
        <f>VLOOKUP($C85,SKU!$A:$I,2,FALSE)</f>
        <v>天官赐福花灯照夜</v>
      </c>
      <c r="C85" s="34" t="s">
        <v>313</v>
      </c>
      <c r="D85" s="9" t="str">
        <f>VLOOKUP($C85,SKU!$A:$I,4,FALSE)</f>
        <v>Card/卡牌</v>
      </c>
      <c r="E85" s="140" t="str">
        <f>VLOOKUP($C85,SKU!$A:$I,5,FALSE)</f>
        <v>集卡社</v>
      </c>
      <c r="F85" s="29">
        <v>1</v>
      </c>
      <c r="G85" s="165">
        <f>VLOOKUP($C85,SKU!$A:$I,6,FALSE)</f>
        <v>36</v>
      </c>
      <c r="H85" s="9">
        <f>VLOOKUP($C85,SKU!$A:$I,7,FALSE)</f>
        <v>16</v>
      </c>
      <c r="I85" s="9">
        <f t="shared" si="17"/>
        <v>576</v>
      </c>
      <c r="J85" s="6" t="s">
        <v>401</v>
      </c>
      <c r="K85" s="10" t="s">
        <v>408</v>
      </c>
      <c r="L85" s="10" t="s">
        <v>410</v>
      </c>
      <c r="M85" s="164">
        <f t="shared" si="18"/>
        <v>16</v>
      </c>
      <c r="N85" s="9" cm="1">
        <f t="array" ref="N85">SUMPRODUCT(($A$3:$A$997=A85)*($I$3:$I$997))-SUMPRODUCT((Xuất出库!$A$2:$A$986=A85)*(Xuất出库!$E$2:$E$986))-SUMPRODUCT((Xuất出库!$A$2:$A$986=A85)*(Xuất出库!$F$2:$F$986))+SUMPRODUCT((Hoàn回库!$A$2:$A$996=A85)*(Hoàn回库!$E$2:$E$996))+SUMPRODUCT((Hoàn回库!$A$2:$A$996=A85)*(Hoàn回库!$F$2:$F$996))</f>
        <v>256</v>
      </c>
    </row>
    <row r="86" spans="1:14">
      <c r="A86" s="9">
        <f>VLOOKUP($C86,SKU!$A:$I,3,FALSE)</f>
        <v>10084</v>
      </c>
      <c r="B86" s="9" t="str">
        <f>VLOOKUP($C86,SKU!$A:$I,2,FALSE)</f>
        <v>《斩神之凡尘神域》典藏版收藏卡</v>
      </c>
      <c r="C86" s="34" t="s">
        <v>315</v>
      </c>
      <c r="D86" s="9" t="str">
        <f>VLOOKUP($C86,SKU!$A:$I,4,FALSE)</f>
        <v>Card/卡牌</v>
      </c>
      <c r="E86" s="140" t="str">
        <f>VLOOKUP($C86,SKU!$A:$I,5,FALSE)</f>
        <v>集卡社</v>
      </c>
      <c r="F86" s="29">
        <v>1</v>
      </c>
      <c r="G86" s="165">
        <f>VLOOKUP($C86,SKU!$A:$I,6,FALSE)</f>
        <v>36</v>
      </c>
      <c r="H86" s="9">
        <f>VLOOKUP($C86,SKU!$A:$I,7,FALSE)</f>
        <v>16</v>
      </c>
      <c r="I86" s="9">
        <f t="shared" si="17"/>
        <v>576</v>
      </c>
      <c r="J86" s="6" t="s">
        <v>401</v>
      </c>
      <c r="K86" s="10" t="s">
        <v>408</v>
      </c>
      <c r="L86" s="10" t="s">
        <v>410</v>
      </c>
      <c r="M86" s="164">
        <f t="shared" si="18"/>
        <v>36</v>
      </c>
      <c r="N86" s="9" cm="1">
        <f t="array" ref="N86">SUMPRODUCT(($A$3:$A$997=A86)*($I$3:$I$997))-SUMPRODUCT((Xuất出库!$A$2:$A$986=A86)*(Xuất出库!$E$2:$E$986))-SUMPRODUCT((Xuất出库!$A$2:$A$986=A86)*(Xuất出库!$F$2:$F$986))+SUMPRODUCT((Hoàn回库!$A$2:$A$996=A86)*(Hoàn回库!$E$2:$E$996))+SUMPRODUCT((Hoàn回库!$A$2:$A$996=A86)*(Hoàn回库!$F$2:$F$996))</f>
        <v>576</v>
      </c>
    </row>
    <row r="87" spans="1:14">
      <c r="A87" s="9">
        <f>VLOOKUP($C87,SKU!$A:$I,3,FALSE)</f>
        <v>10085</v>
      </c>
      <c r="B87" s="9" t="str">
        <f>VLOOKUP($C87,SKU!$A:$I,2,FALSE)</f>
        <v>火影忍者·手绘复刻撕撕乐</v>
      </c>
      <c r="C87" s="34" t="s">
        <v>317</v>
      </c>
      <c r="D87" s="9" t="str">
        <f>VLOOKUP($C87,SKU!$A:$I,4,FALSE)</f>
        <v>Thẻ xé/撕撕乐</v>
      </c>
      <c r="E87" s="140" t="str">
        <f>VLOOKUP($C87,SKU!$A:$I,5,FALSE)</f>
        <v>未知</v>
      </c>
      <c r="F87" s="29">
        <v>2</v>
      </c>
      <c r="G87" s="165">
        <f>VLOOKUP($C87,SKU!$A:$I,6,FALSE)</f>
        <v>300</v>
      </c>
      <c r="H87" s="9">
        <f>VLOOKUP($C87,SKU!$A:$I,7,FALSE)</f>
        <v>1</v>
      </c>
      <c r="I87" s="9">
        <f t="shared" si="17"/>
        <v>600</v>
      </c>
      <c r="J87" s="6" t="s">
        <v>401</v>
      </c>
      <c r="K87" s="10" t="s">
        <v>408</v>
      </c>
      <c r="L87" s="10" t="s">
        <v>410</v>
      </c>
      <c r="M87" s="164">
        <f t="shared" si="18"/>
        <v>370</v>
      </c>
      <c r="N87" s="9" cm="1">
        <f t="array" ref="N87">SUMPRODUCT(($A$3:$A$997=A87)*($I$3:$I$997))-SUMPRODUCT((Xuất出库!$A$2:$A$986=A87)*(Xuất出库!$E$2:$E$986))-SUMPRODUCT((Xuất出库!$A$2:$A$986=A87)*(Xuất出库!$F$2:$F$986))+SUMPRODUCT((Hoàn回库!$A$2:$A$996=A87)*(Hoàn回库!$E$2:$E$996))+SUMPRODUCT((Hoàn回库!$A$2:$A$996=A87)*(Hoàn回库!$F$2:$F$996))</f>
        <v>370</v>
      </c>
    </row>
    <row r="88" spans="1:14">
      <c r="A88" s="9">
        <f>VLOOKUP($C88,SKU!$A:$I,3,FALSE)</f>
        <v>10086</v>
      </c>
      <c r="B88" s="9" t="str">
        <f>VLOOKUP($C88,SKU!$A:$I,2,FALSE)</f>
        <v>【潮迷文创】名侦探柯南-危险排队-周边创意艺术色纸</v>
      </c>
      <c r="C88" s="34" t="s">
        <v>319</v>
      </c>
      <c r="D88" s="9" t="str">
        <f>VLOOKUP($C88,SKU!$A:$I,4,FALSE)</f>
        <v>Thẻ bự/色纸</v>
      </c>
      <c r="E88" s="140" t="str">
        <f>VLOOKUP($C88,SKU!$A:$I,5,FALSE)</f>
        <v>潮迷文创</v>
      </c>
      <c r="F88" s="29">
        <v>2</v>
      </c>
      <c r="G88" s="165">
        <f>VLOOKUP($C88,SKU!$A:$I,6,FALSE)</f>
        <v>90</v>
      </c>
      <c r="H88" s="9">
        <f>VLOOKUP($C88,SKU!$A:$I,7,FALSE)</f>
        <v>1</v>
      </c>
      <c r="I88" s="9">
        <f t="shared" si="17"/>
        <v>180</v>
      </c>
      <c r="J88" s="6" t="s">
        <v>401</v>
      </c>
      <c r="K88" s="10" t="s">
        <v>408</v>
      </c>
      <c r="L88" s="10" t="s">
        <v>410</v>
      </c>
      <c r="M88" s="164">
        <f t="shared" si="18"/>
        <v>0</v>
      </c>
      <c r="N88" s="9" cm="1">
        <f t="array" ref="N88">SUMPRODUCT(($A$3:$A$997=A88)*($I$3:$I$997))-SUMPRODUCT((Xuất出库!$A$2:$A$986=A88)*(Xuất出库!$E$2:$E$986))-SUMPRODUCT((Xuất出库!$A$2:$A$986=A88)*(Xuất出库!$F$2:$F$986))+SUMPRODUCT((Hoàn回库!$A$2:$A$996=A88)*(Hoàn回库!$E$2:$E$996))+SUMPRODUCT((Hoàn回库!$A$2:$A$996=A88)*(Hoàn回库!$F$2:$F$996))</f>
        <v>0</v>
      </c>
    </row>
    <row r="89" spans="1:14">
      <c r="A89" s="9">
        <f>VLOOKUP($C89,SKU!$A:$I,3,FALSE)</f>
        <v>10087</v>
      </c>
      <c r="B89" s="9" t="str">
        <f>VLOOKUP($C89,SKU!$A:$I,2,FALSE)</f>
        <v>世界杯足球2026</v>
      </c>
      <c r="C89" s="34" t="s">
        <v>322</v>
      </c>
      <c r="D89" s="9" t="str">
        <f>VLOOKUP($C89,SKU!$A:$I,4,FALSE)</f>
        <v>Card/卡牌</v>
      </c>
      <c r="E89" s="140" t="str">
        <f>VLOOKUP($C89,SKU!$A:$I,5,FALSE)</f>
        <v>义乌</v>
      </c>
      <c r="F89" s="29">
        <v>2</v>
      </c>
      <c r="G89" s="165">
        <f>VLOOKUP($C89,SKU!$A:$I,6,FALSE)</f>
        <v>80</v>
      </c>
      <c r="H89" s="9">
        <f>VLOOKUP($C89,SKU!$A:$I,7,FALSE)</f>
        <v>36</v>
      </c>
      <c r="I89" s="9">
        <f t="shared" si="17"/>
        <v>5760</v>
      </c>
      <c r="J89" s="6" t="s">
        <v>401</v>
      </c>
      <c r="K89" s="10" t="s">
        <v>408</v>
      </c>
      <c r="L89" s="10" t="s">
        <v>410</v>
      </c>
      <c r="M89" s="164">
        <f t="shared" si="18"/>
        <v>145</v>
      </c>
      <c r="N89" s="9" cm="1">
        <f t="array" ref="N89">SUMPRODUCT(($A$3:$A$997=A89)*($I$3:$I$997))-SUMPRODUCT((Xuất出库!$A$2:$A$986=A89)*(Xuất出库!$E$2:$E$986))-SUMPRODUCT((Xuất出库!$A$2:$A$986=A89)*(Xuất出库!$F$2:$F$986))+SUMPRODUCT((Hoàn回库!$A$2:$A$996=A89)*(Hoàn回库!$E$2:$E$996))+SUMPRODUCT((Hoàn回库!$A$2:$A$996=A89)*(Hoàn回库!$F$2:$F$996))</f>
        <v>5220</v>
      </c>
    </row>
    <row r="90" spans="1:14">
      <c r="A90" s="9">
        <f>VLOOKUP($C90,SKU!$A:$I,3,FALSE)</f>
        <v>10088</v>
      </c>
      <c r="B90" s="9" t="str">
        <f>VLOOKUP($C90,SKU!$A:$I,2,FALSE)</f>
        <v>名侦探柯南-名推理收藏卡-觅影包-第3弹</v>
      </c>
      <c r="C90" s="34" t="s">
        <v>325</v>
      </c>
      <c r="D90" s="9" t="str">
        <f>VLOOKUP($C90,SKU!$A:$I,4,FALSE)</f>
        <v>Thẻ bự/色纸</v>
      </c>
      <c r="E90" s="140" t="str">
        <f>VLOOKUP($C90,SKU!$A:$I,5,FALSE)</f>
        <v>卡游</v>
      </c>
      <c r="F90" s="29">
        <v>2</v>
      </c>
      <c r="G90" s="165">
        <f>VLOOKUP($C90,SKU!$A:$I,6,FALSE)</f>
        <v>48</v>
      </c>
      <c r="H90" s="9">
        <f>VLOOKUP($C90,SKU!$A:$I,7,FALSE)</f>
        <v>30</v>
      </c>
      <c r="I90" s="9">
        <f t="shared" si="17"/>
        <v>2880</v>
      </c>
      <c r="J90" s="6" t="s">
        <v>401</v>
      </c>
      <c r="K90" s="10" t="s">
        <v>408</v>
      </c>
      <c r="L90" s="10" t="s">
        <v>410</v>
      </c>
      <c r="M90" s="164">
        <f t="shared" si="18"/>
        <v>59</v>
      </c>
      <c r="N90" s="9" cm="1">
        <f t="array" ref="N90">SUMPRODUCT(($A$3:$A$997=A90)*($I$3:$I$997))-SUMPRODUCT((Xuất出库!$A$2:$A$986=A90)*(Xuất出库!$E$2:$E$986))-SUMPRODUCT((Xuất出库!$A$2:$A$986=A90)*(Xuất出库!$F$2:$F$986))+SUMPRODUCT((Hoàn回库!$A$2:$A$996=A90)*(Hoàn回库!$E$2:$E$996))+SUMPRODUCT((Hoàn回库!$A$2:$A$996=A90)*(Hoàn回库!$F$2:$F$996))</f>
        <v>1770</v>
      </c>
    </row>
    <row r="91" spans="1:14">
      <c r="A91" s="9">
        <f>VLOOKUP($C91,SKU!$A:$I,3,FALSE)</f>
        <v>10031</v>
      </c>
      <c r="B91" s="9" t="str">
        <f>VLOOKUP($C91,SKU!$A:$I,2,FALSE)</f>
        <v>胜卡文创x魔道祖师云深不忘邮票评级卡砖</v>
      </c>
      <c r="C91" s="34" t="s">
        <v>151</v>
      </c>
      <c r="D91" s="9" t="str">
        <f>VLOOKUP($C91,SKU!$A:$I,4,FALSE)</f>
        <v>Phiếu tem/邮票</v>
      </c>
      <c r="E91" s="140" t="str">
        <f>VLOOKUP($C91,SKU!$A:$I,5,FALSE)</f>
        <v>胜卡文创</v>
      </c>
      <c r="F91" s="34">
        <f>1/6</f>
        <v>0.166666666666667</v>
      </c>
      <c r="G91" s="165">
        <f>VLOOKUP($C91,SKU!$A:$I,6,FALSE)</f>
        <v>12</v>
      </c>
      <c r="H91" s="9">
        <f>VLOOKUP($C91,SKU!$A:$I,7,FALSE)</f>
        <v>10</v>
      </c>
      <c r="I91" s="9">
        <f t="shared" si="17"/>
        <v>20</v>
      </c>
      <c r="J91" s="6" t="s">
        <v>401</v>
      </c>
      <c r="K91" s="10" t="s">
        <v>408</v>
      </c>
      <c r="L91" s="10" t="s">
        <v>410</v>
      </c>
      <c r="M91" s="164">
        <f t="shared" si="18"/>
        <v>2</v>
      </c>
      <c r="N91" s="9" cm="1">
        <f t="array" ref="N91">SUMPRODUCT(($A$3:$A$997=A91)*($I$3:$I$997))-SUMPRODUCT((Xuất出库!$A$2:$A$986=A91)*(Xuất出库!$E$2:$E$986))-SUMPRODUCT((Xuất出库!$A$2:$A$986=A91)*(Xuất出库!$F$2:$F$986))+SUMPRODUCT((Hoàn回库!$A$2:$A$996=A91)*(Hoàn回库!$E$2:$E$996))+SUMPRODUCT((Hoàn回库!$A$2:$A$996=A91)*(Hoàn回库!$F$2:$F$996))</f>
        <v>20</v>
      </c>
    </row>
    <row r="92" spans="1:14">
      <c r="A92" s="9">
        <f>VLOOKUP($C92,SKU!$A:$I,3,FALSE)</f>
        <v>10089</v>
      </c>
      <c r="B92" s="9" t="str">
        <f>VLOOKUP($C92,SKU!$A:$I,2,FALSE)</f>
        <v>星火线条小狗</v>
      </c>
      <c r="C92" s="34" t="s">
        <v>327</v>
      </c>
      <c r="D92" s="9" t="str">
        <f>VLOOKUP($C92,SKU!$A:$I,4,FALSE)</f>
        <v>Card/卡牌</v>
      </c>
      <c r="E92" s="140" t="str">
        <f>VLOOKUP($C92,SKU!$A:$I,5,FALSE)</f>
        <v>星火</v>
      </c>
      <c r="F92" s="34">
        <v>2</v>
      </c>
      <c r="G92" s="165">
        <f>VLOOKUP($C92,SKU!$A:$I,6,FALSE)</f>
        <v>36</v>
      </c>
      <c r="H92" s="9">
        <f>VLOOKUP($C92,SKU!$A:$I,7,FALSE)</f>
        <v>14</v>
      </c>
      <c r="I92" s="9">
        <f t="shared" ref="I92:I98" si="19">F92*G92*H92</f>
        <v>1008</v>
      </c>
      <c r="J92" s="6" t="s">
        <v>401</v>
      </c>
      <c r="K92" s="10" t="s">
        <v>408</v>
      </c>
      <c r="L92" s="10" t="s">
        <v>411</v>
      </c>
      <c r="M92" s="164">
        <f t="shared" ref="M92:M98" si="20">N92/H92</f>
        <v>0</v>
      </c>
      <c r="N92" s="9" cm="1">
        <f t="array" ref="N92">SUMPRODUCT(($A$3:$A$997=A92)*($I$3:$I$997))-SUMPRODUCT((Xuất出库!$A$2:$A$986=A92)*(Xuất出库!$E$2:$E$986))-SUMPRODUCT((Xuất出库!$A$2:$A$986=A92)*(Xuất出库!$F$2:$F$986))+SUMPRODUCT((Hoàn回库!$A$2:$A$996=A92)*(Hoàn回库!$E$2:$E$996))+SUMPRODUCT((Hoàn回库!$A$2:$A$996=A92)*(Hoàn回库!$F$2:$F$996))</f>
        <v>0</v>
      </c>
    </row>
    <row r="93" spans="1:14">
      <c r="A93" s="9">
        <f>VLOOKUP($C93,SKU!$A:$I,3,FALSE)</f>
        <v>10090</v>
      </c>
      <c r="B93" s="9" t="str">
        <f>VLOOKUP($C93,SKU!$A:$I,2,FALSE)</f>
        <v>依梦×宫崎骏の治愈一生</v>
      </c>
      <c r="C93" s="34" t="s">
        <v>330</v>
      </c>
      <c r="D93" s="9" t="str">
        <f>VLOOKUP($C93,SKU!$A:$I,4,FALSE)</f>
        <v>Card/卡牌</v>
      </c>
      <c r="E93" s="140" t="str">
        <f>VLOOKUP($C93,SKU!$A:$I,5,FALSE)</f>
        <v>依梦</v>
      </c>
      <c r="F93" s="34">
        <v>1</v>
      </c>
      <c r="G93" s="165">
        <f>VLOOKUP($C93,SKU!$A:$I,6,FALSE)</f>
        <v>36</v>
      </c>
      <c r="H93" s="9">
        <f>VLOOKUP($C93,SKU!$A:$I,7,FALSE)</f>
        <v>13</v>
      </c>
      <c r="I93" s="9">
        <f t="shared" si="19"/>
        <v>468</v>
      </c>
      <c r="J93" s="6" t="s">
        <v>401</v>
      </c>
      <c r="K93" s="10" t="s">
        <v>408</v>
      </c>
      <c r="L93" s="10" t="s">
        <v>411</v>
      </c>
      <c r="M93" s="164">
        <f t="shared" si="20"/>
        <v>0</v>
      </c>
      <c r="N93" s="9" cm="1">
        <f t="array" ref="N93">SUMPRODUCT(($A$3:$A$997=A93)*($I$3:$I$997))-SUMPRODUCT((Xuất出库!$A$2:$A$986=A93)*(Xuất出库!$E$2:$E$986))-SUMPRODUCT((Xuất出库!$A$2:$A$986=A93)*(Xuất出库!$F$2:$F$986))+SUMPRODUCT((Hoàn回库!$A$2:$A$996=A93)*(Hoàn回库!$E$2:$E$996))+SUMPRODUCT((Hoàn回库!$A$2:$A$996=A93)*(Hoàn回库!$F$2:$F$996))</f>
        <v>0</v>
      </c>
    </row>
    <row r="94" spans="1:14">
      <c r="A94" s="9">
        <f>VLOOKUP($C94,SKU!$A:$I,3,FALSE)</f>
        <v>10091</v>
      </c>
      <c r="B94" s="9" t="str">
        <f>VLOOKUP($C94,SKU!$A:$I,2,FALSE)</f>
        <v>星际宝贝百变顽家收藏卡</v>
      </c>
      <c r="C94" s="34" t="s">
        <v>333</v>
      </c>
      <c r="D94" s="9" t="str">
        <f>VLOOKUP($C94,SKU!$A:$I,4,FALSE)</f>
        <v>Card/卡牌</v>
      </c>
      <c r="E94" s="140" t="str">
        <f>VLOOKUP($C94,SKU!$A:$I,5,FALSE)</f>
        <v>集卡社</v>
      </c>
      <c r="F94" s="34">
        <v>1</v>
      </c>
      <c r="G94" s="165">
        <f>VLOOKUP($C94,SKU!$A:$I,6,FALSE)</f>
        <v>48</v>
      </c>
      <c r="H94" s="9">
        <f>VLOOKUP($C94,SKU!$A:$I,7,FALSE)</f>
        <v>10</v>
      </c>
      <c r="I94" s="9">
        <f t="shared" si="19"/>
        <v>480</v>
      </c>
      <c r="J94" s="6" t="s">
        <v>401</v>
      </c>
      <c r="K94" s="10" t="s">
        <v>408</v>
      </c>
      <c r="L94" s="10" t="s">
        <v>411</v>
      </c>
      <c r="M94" s="164">
        <f t="shared" si="20"/>
        <v>0</v>
      </c>
      <c r="N94" s="9" cm="1">
        <f t="array" ref="N94">SUMPRODUCT(($A$3:$A$997=A94)*($I$3:$I$997))-SUMPRODUCT((Xuất出库!$A$2:$A$986=A94)*(Xuất出库!$E$2:$E$986))-SUMPRODUCT((Xuất出库!$A$2:$A$986=A94)*(Xuất出库!$F$2:$F$986))+SUMPRODUCT((Hoàn回库!$A$2:$A$996=A94)*(Hoàn回库!$E$2:$E$996))+SUMPRODUCT((Hoàn回库!$A$2:$A$996=A94)*(Hoàn回库!$F$2:$F$996))</f>
        <v>0</v>
      </c>
    </row>
    <row r="95" spans="1:14">
      <c r="A95" s="9">
        <f>VLOOKUP($C95,SKU!$A:$I,3,FALSE)</f>
        <v>10092</v>
      </c>
      <c r="B95" s="9" t="str">
        <f>VLOOKUP($C95,SKU!$A:$I,2,FALSE)</f>
        <v>紫薇文创×魔卡少女樱·撕撕乐</v>
      </c>
      <c r="C95" s="34" t="s">
        <v>335</v>
      </c>
      <c r="D95" s="9" t="str">
        <f>VLOOKUP($C95,SKU!$A:$I,4,FALSE)</f>
        <v>Thẻ xé/撕撕乐</v>
      </c>
      <c r="E95" s="140" t="str">
        <f>VLOOKUP($C95,SKU!$A:$I,5,FALSE)</f>
        <v>紫薇文创</v>
      </c>
      <c r="F95" s="34">
        <v>1</v>
      </c>
      <c r="G95" s="165">
        <f>VLOOKUP($C95,SKU!$A:$I,6,FALSE)</f>
        <v>202</v>
      </c>
      <c r="H95" s="9">
        <f>VLOOKUP($C95,SKU!$A:$I,7,FALSE)</f>
        <v>3</v>
      </c>
      <c r="I95" s="9">
        <f t="shared" si="19"/>
        <v>606</v>
      </c>
      <c r="J95" s="6" t="s">
        <v>401</v>
      </c>
      <c r="K95" s="10" t="s">
        <v>408</v>
      </c>
      <c r="L95" s="10" t="s">
        <v>411</v>
      </c>
      <c r="M95" s="164">
        <f t="shared" si="20"/>
        <v>0</v>
      </c>
      <c r="N95" s="9" cm="1">
        <f t="array" ref="N95">SUMPRODUCT(($A$3:$A$997=A95)*($I$3:$I$997))-SUMPRODUCT((Xuất出库!$A$2:$A$986=A95)*(Xuất出库!$E$2:$E$986))-SUMPRODUCT((Xuất出库!$A$2:$A$986=A95)*(Xuất出库!$F$2:$F$986))+SUMPRODUCT((Hoàn回库!$A$2:$A$996=A95)*(Hoàn回库!$E$2:$E$996))+SUMPRODUCT((Hoàn回库!$A$2:$A$996=A95)*(Hoàn回库!$F$2:$F$996))</f>
        <v>0</v>
      </c>
    </row>
    <row r="96" spans="1:14">
      <c r="A96" s="9">
        <f>VLOOKUP($C96,SKU!$A:$I,3,FALSE)</f>
        <v>10093</v>
      </c>
      <c r="B96" s="9" t="str">
        <f>VLOOKUP($C96,SKU!$A:$I,2,FALSE)</f>
        <v>星绘社新海诚系列卡牌</v>
      </c>
      <c r="C96" s="34" t="s">
        <v>338</v>
      </c>
      <c r="D96" s="9" t="str">
        <f>VLOOKUP($C96,SKU!$A:$I,4,FALSE)</f>
        <v>Card/卡牌</v>
      </c>
      <c r="E96" s="140" t="str">
        <f>VLOOKUP($C96,SKU!$A:$I,5,FALSE)</f>
        <v>星绘社</v>
      </c>
      <c r="F96" s="34">
        <v>1</v>
      </c>
      <c r="G96" s="165">
        <f>VLOOKUP($C96,SKU!$A:$I,6,FALSE)</f>
        <v>36</v>
      </c>
      <c r="H96" s="9">
        <f>VLOOKUP($C96,SKU!$A:$I,7,FALSE)</f>
        <v>13</v>
      </c>
      <c r="I96" s="9">
        <f t="shared" si="19"/>
        <v>468</v>
      </c>
      <c r="J96" s="6" t="s">
        <v>401</v>
      </c>
      <c r="K96" s="10" t="s">
        <v>408</v>
      </c>
      <c r="L96" s="10" t="s">
        <v>411</v>
      </c>
      <c r="M96" s="164">
        <f t="shared" si="20"/>
        <v>5</v>
      </c>
      <c r="N96" s="9" cm="1">
        <f t="array" ref="N96">SUMPRODUCT(($A$3:$A$997=A96)*($I$3:$I$997))-SUMPRODUCT((Xuất出库!$A$2:$A$986=A96)*(Xuất出库!$E$2:$E$986))-SUMPRODUCT((Xuất出库!$A$2:$A$986=A96)*(Xuất出库!$F$2:$F$986))+SUMPRODUCT((Hoàn回库!$A$2:$A$996=A96)*(Hoàn回库!$E$2:$E$996))+SUMPRODUCT((Hoàn回库!$A$2:$A$996=A96)*(Hoàn回库!$F$2:$F$996))</f>
        <v>65</v>
      </c>
    </row>
    <row r="97" spans="1:14">
      <c r="A97" s="9">
        <f>VLOOKUP($C97,SKU!$A:$I,3,FALSE)</f>
        <v>10094</v>
      </c>
      <c r="B97" s="9" t="str">
        <f>VLOOKUP($C97,SKU!$A:$I,2,FALSE)</f>
        <v>山海文创《蝶海梦花》耽美男神A6纯亚克力色纸</v>
      </c>
      <c r="C97" s="34" t="s">
        <v>341</v>
      </c>
      <c r="D97" s="9" t="str">
        <f>VLOOKUP($C97,SKU!$A:$I,4,FALSE)</f>
        <v>Thẻ bự/色纸</v>
      </c>
      <c r="E97" s="140" t="str">
        <f>VLOOKUP($C97,SKU!$A:$I,5,FALSE)</f>
        <v>山海文创</v>
      </c>
      <c r="F97" s="34">
        <v>1</v>
      </c>
      <c r="G97" s="165">
        <f>VLOOKUP($C97,SKU!$A:$I,6,FALSE)</f>
        <v>20</v>
      </c>
      <c r="H97" s="9">
        <f>VLOOKUP($C97,SKU!$A:$I,7,FALSE)</f>
        <v>5</v>
      </c>
      <c r="I97" s="9">
        <f t="shared" si="19"/>
        <v>100</v>
      </c>
      <c r="J97" s="6" t="s">
        <v>401</v>
      </c>
      <c r="K97" s="10" t="s">
        <v>408</v>
      </c>
      <c r="L97" s="10" t="s">
        <v>411</v>
      </c>
      <c r="M97" s="164">
        <f t="shared" si="20"/>
        <v>0</v>
      </c>
      <c r="N97" s="9" cm="1">
        <f t="array" ref="N97">SUMPRODUCT(($A$3:$A$997=A97)*($I$3:$I$997))-SUMPRODUCT((Xuất出库!$A$2:$A$986=A97)*(Xuất出库!$E$2:$E$986))-SUMPRODUCT((Xuất出库!$A$2:$A$986=A97)*(Xuất出库!$F$2:$F$986))+SUMPRODUCT((Hoàn回库!$A$2:$A$996=A97)*(Hoàn回库!$E$2:$E$996))+SUMPRODUCT((Hoàn回库!$A$2:$A$996=A97)*(Hoàn回库!$F$2:$F$996))</f>
        <v>0</v>
      </c>
    </row>
    <row r="98" spans="1:14">
      <c r="A98" s="9">
        <f>VLOOKUP($C98,SKU!$A:$I,3,FALSE)</f>
        <v>10095</v>
      </c>
      <c r="B98" s="9" t="str">
        <f>VLOOKUP($C98,SKU!$A:$I,2,FALSE)</f>
        <v>WUPO艺术家手绘系列色纸第一弹</v>
      </c>
      <c r="C98" s="34" t="s">
        <v>344</v>
      </c>
      <c r="D98" s="9" t="str">
        <f>VLOOKUP($C98,SKU!$A:$I,4,FALSE)</f>
        <v>Thẻ bự/色纸</v>
      </c>
      <c r="E98" s="140" t="str">
        <f>VLOOKUP($C98,SKU!$A:$I,5,FALSE)</f>
        <v>WUPO</v>
      </c>
      <c r="F98" s="34">
        <v>1</v>
      </c>
      <c r="G98" s="165">
        <f>VLOOKUP($C98,SKU!$A:$I,6,FALSE)</f>
        <v>20</v>
      </c>
      <c r="H98" s="9">
        <f>VLOOKUP($C98,SKU!$A:$I,7,FALSE)</f>
        <v>6</v>
      </c>
      <c r="I98" s="9">
        <f t="shared" si="19"/>
        <v>120</v>
      </c>
      <c r="J98" s="6" t="s">
        <v>401</v>
      </c>
      <c r="K98" s="10" t="s">
        <v>408</v>
      </c>
      <c r="L98" s="10" t="s">
        <v>411</v>
      </c>
      <c r="M98" s="164">
        <f t="shared" si="20"/>
        <v>0</v>
      </c>
      <c r="N98" s="9" cm="1">
        <f t="array" ref="N98">SUMPRODUCT(($A$3:$A$997=A98)*($I$3:$I$997))-SUMPRODUCT((Xuất出库!$A$2:$A$986=A98)*(Xuất出库!$E$2:$E$986))-SUMPRODUCT((Xuất出库!$A$2:$A$986=A98)*(Xuất出库!$F$2:$F$986))+SUMPRODUCT((Hoàn回库!$A$2:$A$996=A98)*(Hoàn回库!$E$2:$E$996))+SUMPRODUCT((Hoàn回库!$A$2:$A$996=A98)*(Hoàn回库!$F$2:$F$996))</f>
        <v>0</v>
      </c>
    </row>
    <row r="99" spans="1:14">
      <c r="A99" s="9">
        <f>VLOOKUP($C99,SKU!$A:$I,3,FALSE)</f>
        <v>10096</v>
      </c>
      <c r="B99" s="9" t="str">
        <f>VLOOKUP($C99,SKU!$A:$I,2,FALSE)</f>
        <v>至臻文创美少女战士</v>
      </c>
      <c r="C99" s="29" t="s">
        <v>347</v>
      </c>
      <c r="D99" s="9" t="str">
        <f>VLOOKUP($C99,SKU!$A:$I,4,FALSE)</f>
        <v>Card/卡牌</v>
      </c>
      <c r="E99" s="140" t="str">
        <f>VLOOKUP($C99,SKU!$A:$I,5,FALSE)</f>
        <v>至臻文创</v>
      </c>
      <c r="F99" s="34">
        <v>2</v>
      </c>
      <c r="G99" s="165">
        <f>VLOOKUP($C99,SKU!$A:$I,6,FALSE)</f>
        <v>36</v>
      </c>
      <c r="H99" s="9">
        <f>VLOOKUP($C99,SKU!$A:$I,7,FALSE)</f>
        <v>14</v>
      </c>
      <c r="I99" s="9">
        <f t="shared" ref="I99:I115" si="21">F99*G99*H99</f>
        <v>1008</v>
      </c>
      <c r="J99" s="6" t="s">
        <v>401</v>
      </c>
      <c r="K99" s="10" t="s">
        <v>408</v>
      </c>
      <c r="L99" s="10" t="s">
        <v>412</v>
      </c>
      <c r="M99" s="164">
        <f t="shared" ref="M99:M115" si="22">N99/H99</f>
        <v>45</v>
      </c>
      <c r="N99" s="9" cm="1">
        <f t="array" ref="N99">SUMPRODUCT(($A$3:$A$997=A99)*($I$3:$I$997))-SUMPRODUCT((Xuất出库!$A$2:$A$986=A99)*(Xuất出库!$E$2:$E$986))-SUMPRODUCT((Xuất出库!$A$2:$A$986=A99)*(Xuất出库!$F$2:$F$986))+SUMPRODUCT((Hoàn回库!$A$2:$A$996=A99)*(Hoàn回库!$E$2:$E$996))+SUMPRODUCT((Hoàn回库!$A$2:$A$996=A99)*(Hoàn回库!$F$2:$F$996))</f>
        <v>630</v>
      </c>
    </row>
    <row r="100" spans="1:14">
      <c r="A100" s="9">
        <f>VLOOKUP($C100,SKU!$A:$I,3,FALSE)</f>
        <v>10097</v>
      </c>
      <c r="B100" s="9" t="str">
        <f>VLOOKUP($C100,SKU!$A:$I,2,FALSE)</f>
        <v>《将进酒》漫画纪念收藏卡-剑指山河</v>
      </c>
      <c r="C100" s="34" t="s">
        <v>350</v>
      </c>
      <c r="D100" s="9" t="str">
        <f>VLOOKUP($C100,SKU!$A:$I,4,FALSE)</f>
        <v>Card/卡牌</v>
      </c>
      <c r="E100" s="140" t="str">
        <f>VLOOKUP($C100,SKU!$A:$I,5,FALSE)</f>
        <v>集卡社</v>
      </c>
      <c r="F100" s="34">
        <v>1</v>
      </c>
      <c r="G100" s="165">
        <f>VLOOKUP($C100,SKU!$A:$I,6,FALSE)</f>
        <v>36</v>
      </c>
      <c r="H100" s="9">
        <f>VLOOKUP($C100,SKU!$A:$I,7,FALSE)</f>
        <v>16</v>
      </c>
      <c r="I100" s="9">
        <f t="shared" si="21"/>
        <v>576</v>
      </c>
      <c r="J100" s="6" t="s">
        <v>401</v>
      </c>
      <c r="K100" s="10" t="s">
        <v>408</v>
      </c>
      <c r="L100" s="10" t="s">
        <v>412</v>
      </c>
      <c r="M100" s="164">
        <f t="shared" si="22"/>
        <v>36</v>
      </c>
      <c r="N100" s="9" cm="1">
        <f t="array" ref="N100">SUMPRODUCT(($A$3:$A$997=A100)*($I$3:$I$997))-SUMPRODUCT((Xuất出库!$A$2:$A$986=A100)*(Xuất出库!$E$2:$E$986))-SUMPRODUCT((Xuất出库!$A$2:$A$986=A100)*(Xuất出库!$F$2:$F$986))+SUMPRODUCT((Hoàn回库!$A$2:$A$996=A100)*(Hoàn回库!$E$2:$E$996))+SUMPRODUCT((Hoàn回库!$A$2:$A$996=A100)*(Hoàn回库!$F$2:$F$996))</f>
        <v>576</v>
      </c>
    </row>
    <row r="101" spans="1:14">
      <c r="A101" s="9">
        <f>VLOOKUP($C101,SKU!$A:$I,3,FALSE)</f>
        <v>10098</v>
      </c>
      <c r="B101" s="9" t="str">
        <f>VLOOKUP($C101,SKU!$A:$I,2,FALSE)</f>
        <v>【念君集·双心占卜·耽美系列】三界情缘塔罗牌</v>
      </c>
      <c r="C101" s="34" t="s">
        <v>352</v>
      </c>
      <c r="D101" s="9" t="str">
        <f>VLOOKUP($C101,SKU!$A:$I,4,FALSE)</f>
        <v>Thẻ bự/色纸</v>
      </c>
      <c r="E101" s="140" t="str">
        <f>VLOOKUP($C101,SKU!$A:$I,5,FALSE)</f>
        <v>念君集</v>
      </c>
      <c r="F101" s="34">
        <v>1</v>
      </c>
      <c r="G101" s="165">
        <f>VLOOKUP($C101,SKU!$A:$I,6,FALSE)</f>
        <v>10</v>
      </c>
      <c r="H101" s="9">
        <f>VLOOKUP($C101,SKU!$A:$I,7,FALSE)</f>
        <v>12</v>
      </c>
      <c r="I101" s="9">
        <f t="shared" si="21"/>
        <v>120</v>
      </c>
      <c r="J101" s="6" t="s">
        <v>401</v>
      </c>
      <c r="K101" s="10" t="s">
        <v>408</v>
      </c>
      <c r="L101" s="10" t="s">
        <v>412</v>
      </c>
      <c r="M101" s="164">
        <f t="shared" si="22"/>
        <v>0</v>
      </c>
      <c r="N101" s="9" cm="1">
        <f t="array" ref="N101">SUMPRODUCT(($A$3:$A$997=A101)*($I$3:$I$997))-SUMPRODUCT((Xuất出库!$A$2:$A$986=A101)*(Xuất出库!$E$2:$E$986))-SUMPRODUCT((Xuất出库!$A$2:$A$986=A101)*(Xuất出库!$F$2:$F$986))+SUMPRODUCT((Hoàn回库!$A$2:$A$996=A101)*(Hoàn回库!$E$2:$E$996))+SUMPRODUCT((Hoàn回库!$A$2:$A$996=A101)*(Hoàn回库!$F$2:$F$996))</f>
        <v>0</v>
      </c>
    </row>
    <row r="102" spans="1:14">
      <c r="A102" s="9">
        <f>VLOOKUP($C102,SKU!$A:$I,3,FALSE)</f>
        <v>10099</v>
      </c>
      <c r="B102" s="9" t="str">
        <f>VLOOKUP($C102,SKU!$A:$I,2,FALSE)</f>
        <v>青彦美少女战士 · 第 1 弹</v>
      </c>
      <c r="C102" s="29" t="s">
        <v>355</v>
      </c>
      <c r="D102" s="9" t="str">
        <f>VLOOKUP($C102,SKU!$A:$I,4,FALSE)</f>
        <v>Card/卡牌</v>
      </c>
      <c r="E102" s="140" t="str">
        <f>VLOOKUP($C102,SKU!$A:$I,5,FALSE)</f>
        <v>青彦</v>
      </c>
      <c r="F102" s="34">
        <v>1</v>
      </c>
      <c r="G102" s="165">
        <f>VLOOKUP($C102,SKU!$A:$I,6,FALSE)</f>
        <v>36</v>
      </c>
      <c r="H102" s="9">
        <f>VLOOKUP($C102,SKU!$A:$I,7,FALSE)</f>
        <v>13</v>
      </c>
      <c r="I102" s="9">
        <f t="shared" si="21"/>
        <v>468</v>
      </c>
      <c r="J102" s="6" t="s">
        <v>401</v>
      </c>
      <c r="K102" s="10" t="s">
        <v>408</v>
      </c>
      <c r="L102" s="10" t="s">
        <v>412</v>
      </c>
      <c r="M102" s="164">
        <f t="shared" si="22"/>
        <v>31</v>
      </c>
      <c r="N102" s="9" cm="1">
        <f t="array" ref="N102">SUMPRODUCT(($A$3:$A$997=A102)*($I$3:$I$997))-SUMPRODUCT((Xuất出库!$A$2:$A$986=A102)*(Xuất出库!$E$2:$E$986))-SUMPRODUCT((Xuất出库!$A$2:$A$986=A102)*(Xuất出库!$F$2:$F$986))+SUMPRODUCT((Hoàn回库!$A$2:$A$996=A102)*(Hoàn回库!$E$2:$E$996))+SUMPRODUCT((Hoàn回库!$A$2:$A$996=A102)*(Hoàn回库!$F$2:$F$996))</f>
        <v>403</v>
      </c>
    </row>
    <row r="103" spans="1:14">
      <c r="A103" s="9">
        <f>VLOOKUP($C103,SKU!$A:$I,3,FALSE)</f>
        <v>10100</v>
      </c>
      <c r="B103" s="9" t="str">
        <f>VLOOKUP($C103,SKU!$A:$I,2,FALSE)</f>
        <v>《意卡文创海贼王》第二弹</v>
      </c>
      <c r="C103" s="34" t="s">
        <v>358</v>
      </c>
      <c r="D103" s="9" t="str">
        <f>VLOOKUP($C103,SKU!$A:$I,4,FALSE)</f>
        <v>Card/卡牌</v>
      </c>
      <c r="E103" s="140" t="str">
        <f>VLOOKUP($C103,SKU!$A:$I,5,FALSE)</f>
        <v>意卡文创</v>
      </c>
      <c r="F103" s="34">
        <v>2</v>
      </c>
      <c r="G103" s="165">
        <f>VLOOKUP($C103,SKU!$A:$I,6,FALSE)</f>
        <v>36</v>
      </c>
      <c r="H103" s="9">
        <f>VLOOKUP($C103,SKU!$A:$I,7,FALSE)</f>
        <v>13</v>
      </c>
      <c r="I103" s="9">
        <f t="shared" si="21"/>
        <v>936</v>
      </c>
      <c r="J103" s="6" t="s">
        <v>401</v>
      </c>
      <c r="K103" s="10" t="s">
        <v>408</v>
      </c>
      <c r="L103" s="10" t="s">
        <v>412</v>
      </c>
      <c r="M103" s="164">
        <f t="shared" si="22"/>
        <v>28</v>
      </c>
      <c r="N103" s="9" cm="1">
        <f t="array" ref="N103">SUMPRODUCT(($A$3:$A$997=A103)*($I$3:$I$997))-SUMPRODUCT((Xuất出库!$A$2:$A$986=A103)*(Xuất出库!$E$2:$E$986))-SUMPRODUCT((Xuất出库!$A$2:$A$986=A103)*(Xuất出库!$F$2:$F$986))+SUMPRODUCT((Hoàn回库!$A$2:$A$996=A103)*(Hoàn回库!$E$2:$E$996))+SUMPRODUCT((Hoàn回库!$A$2:$A$996=A103)*(Hoàn回库!$F$2:$F$996))</f>
        <v>364</v>
      </c>
    </row>
    <row r="104" spans="1:14">
      <c r="A104" s="9">
        <f>VLOOKUP($C104,SKU!$A:$I,3,FALSE)</f>
        <v>10101</v>
      </c>
      <c r="B104" s="9" t="str">
        <f>VLOOKUP($C104,SKU!$A:$I,2,FALSE)</f>
        <v>卡迷家xROROJUMP肉肉酱正版授权第一弹《肉肉酱-百变系列-典藏卡》</v>
      </c>
      <c r="C104" s="34" t="s">
        <v>361</v>
      </c>
      <c r="D104" s="9" t="str">
        <f>VLOOKUP($C104,SKU!$A:$I,4,FALSE)</f>
        <v>Card/卡牌</v>
      </c>
      <c r="E104" s="140" t="str">
        <f>VLOOKUP($C104,SKU!$A:$I,5,FALSE)</f>
        <v>卡迷家</v>
      </c>
      <c r="F104" s="34">
        <v>1</v>
      </c>
      <c r="G104" s="165">
        <f>VLOOKUP($C104,SKU!$A:$I,6,FALSE)</f>
        <v>36</v>
      </c>
      <c r="H104" s="9">
        <f>VLOOKUP($C104,SKU!$A:$I,7,FALSE)</f>
        <v>12</v>
      </c>
      <c r="I104" s="9">
        <f t="shared" si="21"/>
        <v>432</v>
      </c>
      <c r="J104" s="6" t="s">
        <v>401</v>
      </c>
      <c r="K104" s="10" t="s">
        <v>408</v>
      </c>
      <c r="L104" s="10" t="s">
        <v>412</v>
      </c>
      <c r="M104" s="164">
        <f t="shared" si="22"/>
        <v>0</v>
      </c>
      <c r="N104" s="9" cm="1">
        <f t="array" ref="N104">SUMPRODUCT(($A$3:$A$997=A104)*($I$3:$I$997))-SUMPRODUCT((Xuất出库!$A$2:$A$986=A104)*(Xuất出库!$E$2:$E$986))-SUMPRODUCT((Xuất出库!$A$2:$A$986=A104)*(Xuất出库!$F$2:$F$986))+SUMPRODUCT((Hoàn回库!$A$2:$A$996=A104)*(Hoàn回库!$E$2:$E$996))+SUMPRODUCT((Hoàn回库!$A$2:$A$996=A104)*(Hoàn回库!$F$2:$F$996))</f>
        <v>0</v>
      </c>
    </row>
    <row r="105" spans="1:14">
      <c r="A105" s="9">
        <f>VLOOKUP($C105,SKU!$A:$I,3,FALSE)</f>
        <v>10102</v>
      </c>
      <c r="B105" s="9" t="str">
        <f>VLOOKUP($C105,SKU!$A:$I,2,FALSE)</f>
        <v>麒麟文创航海王第一弹-仙道天下</v>
      </c>
      <c r="C105" s="34" t="s">
        <v>364</v>
      </c>
      <c r="D105" s="9" t="str">
        <f>VLOOKUP($C105,SKU!$A:$I,4,FALSE)</f>
        <v>Card/卡牌</v>
      </c>
      <c r="E105" s="140" t="str">
        <f>VLOOKUP($C105,SKU!$A:$I,5,FALSE)</f>
        <v>麒麟文创</v>
      </c>
      <c r="F105" s="34">
        <v>2</v>
      </c>
      <c r="G105" s="165">
        <f>VLOOKUP($C105,SKU!$A:$I,6,FALSE)</f>
        <v>36</v>
      </c>
      <c r="H105" s="9">
        <f>VLOOKUP($C105,SKU!$A:$I,7,FALSE)</f>
        <v>13</v>
      </c>
      <c r="I105" s="9">
        <f t="shared" si="21"/>
        <v>936</v>
      </c>
      <c r="J105" s="6" t="s">
        <v>401</v>
      </c>
      <c r="K105" s="10" t="s">
        <v>408</v>
      </c>
      <c r="L105" s="10" t="s">
        <v>412</v>
      </c>
      <c r="M105" s="164">
        <f t="shared" si="22"/>
        <v>0</v>
      </c>
      <c r="N105" s="9" cm="1">
        <f t="array" ref="N105">SUMPRODUCT(($A$3:$A$997=A105)*($I$3:$I$997))-SUMPRODUCT((Xuất出库!$A$2:$A$986=A105)*(Xuất出库!$E$2:$E$986))-SUMPRODUCT((Xuất出库!$A$2:$A$986=A105)*(Xuất出库!$F$2:$F$986))+SUMPRODUCT((Hoàn回库!$A$2:$A$996=A105)*(Hoàn回库!$E$2:$E$996))+SUMPRODUCT((Hoàn回库!$A$2:$A$996=A105)*(Hoàn回库!$F$2:$F$996))</f>
        <v>0</v>
      </c>
    </row>
    <row r="106" spans="1:14">
      <c r="A106" s="9">
        <f>VLOOKUP($C106,SKU!$A:$I,3,FALSE)</f>
        <v>10103</v>
      </c>
      <c r="B106" s="9" t="str">
        <f>VLOOKUP($C106,SKU!$A:$I,2,FALSE)</f>
        <v>疯狂动物城白金收藏卡狐兔神探</v>
      </c>
      <c r="C106" s="34" t="s">
        <v>367</v>
      </c>
      <c r="D106" s="9" t="str">
        <f>VLOOKUP($C106,SKU!$A:$I,4,FALSE)</f>
        <v>Card/卡牌</v>
      </c>
      <c r="E106" s="140" t="str">
        <f>VLOOKUP($C106,SKU!$A:$I,5,FALSE)</f>
        <v>集卡社</v>
      </c>
      <c r="F106" s="34">
        <v>2</v>
      </c>
      <c r="G106" s="165">
        <f>VLOOKUP($C106,SKU!$A:$I,6,FALSE)</f>
        <v>48</v>
      </c>
      <c r="H106" s="9">
        <f>VLOOKUP($C106,SKU!$A:$I,7,FALSE)</f>
        <v>20</v>
      </c>
      <c r="I106" s="9">
        <f t="shared" si="21"/>
        <v>1920</v>
      </c>
      <c r="J106" s="6" t="s">
        <v>401</v>
      </c>
      <c r="K106" s="10" t="s">
        <v>408</v>
      </c>
      <c r="L106" s="10" t="s">
        <v>412</v>
      </c>
      <c r="M106" s="164">
        <f t="shared" si="22"/>
        <v>6</v>
      </c>
      <c r="N106" s="9" cm="1">
        <f t="array" ref="N106">SUMPRODUCT(($A$3:$A$997=A106)*($I$3:$I$997))-SUMPRODUCT((Xuất出库!$A$2:$A$986=A106)*(Xuất出库!$E$2:$E$986))-SUMPRODUCT((Xuất出库!$A$2:$A$986=A106)*(Xuất出库!$F$2:$F$986))+SUMPRODUCT((Hoàn回库!$A$2:$A$996=A106)*(Hoàn回库!$E$2:$E$996))+SUMPRODUCT((Hoàn回库!$A$2:$A$996=A106)*(Hoàn回库!$F$2:$F$996))</f>
        <v>120</v>
      </c>
    </row>
    <row r="107" spans="1:14">
      <c r="A107" s="9">
        <f>VLOOKUP($C107,SKU!$A:$I,3,FALSE)</f>
        <v>10104</v>
      </c>
      <c r="B107" s="9" t="str">
        <f>VLOOKUP($C107,SKU!$A:$I,2,FALSE)</f>
        <v>鬼灭之刃纪念钞黄金闪卡</v>
      </c>
      <c r="C107" s="34" t="s">
        <v>369</v>
      </c>
      <c r="D107" s="9" t="str">
        <f>VLOOKUP($C107,SKU!$A:$I,4,FALSE)</f>
        <v>Card/卡牌</v>
      </c>
      <c r="E107" s="140" t="str">
        <f>VLOOKUP($C107,SKU!$A:$I,5,FALSE)</f>
        <v>未知</v>
      </c>
      <c r="F107" s="34">
        <v>1</v>
      </c>
      <c r="G107" s="165">
        <f>VLOOKUP($C107,SKU!$A:$I,6,FALSE)</f>
        <v>10</v>
      </c>
      <c r="H107" s="9">
        <f>VLOOKUP($C107,SKU!$A:$I,7,FALSE)</f>
        <v>1</v>
      </c>
      <c r="I107" s="9">
        <f t="shared" si="21"/>
        <v>10</v>
      </c>
      <c r="J107" s="6" t="s">
        <v>401</v>
      </c>
      <c r="K107" s="10" t="s">
        <v>408</v>
      </c>
      <c r="L107" s="10" t="s">
        <v>412</v>
      </c>
      <c r="M107" s="164">
        <f t="shared" si="22"/>
        <v>10</v>
      </c>
      <c r="N107" s="9" cm="1">
        <f t="array" ref="N107">SUMPRODUCT(($A$3:$A$997=A107)*($I$3:$I$997))-SUMPRODUCT((Xuất出库!$A$2:$A$986=A107)*(Xuất出库!$E$2:$E$986))-SUMPRODUCT((Xuất出库!$A$2:$A$986=A107)*(Xuất出库!$F$2:$F$986))+SUMPRODUCT((Hoàn回库!$A$2:$A$996=A107)*(Hoàn回库!$E$2:$E$996))+SUMPRODUCT((Hoàn回库!$A$2:$A$996=A107)*(Hoàn回库!$F$2:$F$996))</f>
        <v>10</v>
      </c>
    </row>
    <row r="108" spans="1:14">
      <c r="A108" s="9">
        <f>VLOOKUP($C108,SKU!$A:$I,3,FALSE)</f>
        <v>10105</v>
      </c>
      <c r="B108" s="9" t="str">
        <f>VLOOKUP($C108,SKU!$A:$I,2,FALSE)</f>
        <v>木木卡舍·鬼灭之刃无限城篇</v>
      </c>
      <c r="C108" s="29" t="s">
        <v>371</v>
      </c>
      <c r="D108" s="9" t="str">
        <f>VLOOKUP($C108,SKU!$A:$I,4,FALSE)</f>
        <v>Thẻ bự/色纸</v>
      </c>
      <c r="E108" s="140" t="str">
        <f>VLOOKUP($C108,SKU!$A:$I,5,FALSE)</f>
        <v>木木卡舍</v>
      </c>
      <c r="F108" s="34">
        <v>1</v>
      </c>
      <c r="G108" s="165">
        <f>VLOOKUP($C108,SKU!$A:$I,6,FALSE)</f>
        <v>16</v>
      </c>
      <c r="H108" s="9">
        <f>VLOOKUP($C108,SKU!$A:$I,7,FALSE)</f>
        <v>5</v>
      </c>
      <c r="I108" s="9">
        <f t="shared" si="21"/>
        <v>80</v>
      </c>
      <c r="J108" s="6" t="s">
        <v>401</v>
      </c>
      <c r="K108" s="10" t="s">
        <v>408</v>
      </c>
      <c r="L108" s="10" t="s">
        <v>412</v>
      </c>
      <c r="M108" s="164">
        <f t="shared" si="22"/>
        <v>0</v>
      </c>
      <c r="N108" s="9" cm="1">
        <f t="array" ref="N108">SUMPRODUCT(($A$3:$A$997=A108)*($I$3:$I$997))-SUMPRODUCT((Xuất出库!$A$2:$A$986=A108)*(Xuất出库!$E$2:$E$986))-SUMPRODUCT((Xuất出库!$A$2:$A$986=A108)*(Xuất出库!$F$2:$F$986))+SUMPRODUCT((Hoàn回库!$A$2:$A$996=A108)*(Hoàn回库!$E$2:$E$996))+SUMPRODUCT((Hoàn回库!$A$2:$A$996=A108)*(Hoàn回库!$F$2:$F$996))</f>
        <v>0</v>
      </c>
    </row>
    <row r="109" spans="1:14">
      <c r="A109" s="9">
        <f>VLOOKUP($C109,SKU!$A:$I,3,FALSE)</f>
        <v>10106</v>
      </c>
      <c r="B109" s="9" t="str">
        <f>VLOOKUP($C109,SKU!$A:$I,2,FALSE)</f>
        <v>云映文化时光绘卷·宫崎骏珍藏卡牌</v>
      </c>
      <c r="C109" s="29" t="s">
        <v>374</v>
      </c>
      <c r="D109" s="9" t="str">
        <f>VLOOKUP($C109,SKU!$A:$I,4,FALSE)</f>
        <v>Card/卡牌</v>
      </c>
      <c r="E109" s="140" t="str">
        <f>VLOOKUP($C109,SKU!$A:$I,5,FALSE)</f>
        <v>云映文化</v>
      </c>
      <c r="F109" s="34">
        <v>2</v>
      </c>
      <c r="G109" s="165">
        <f>VLOOKUP($C109,SKU!$A:$I,6,FALSE)</f>
        <v>36</v>
      </c>
      <c r="H109" s="9">
        <f>VLOOKUP($C109,SKU!$A:$I,7,FALSE)</f>
        <v>13</v>
      </c>
      <c r="I109" s="9">
        <f t="shared" si="21"/>
        <v>936</v>
      </c>
      <c r="J109" s="6" t="s">
        <v>401</v>
      </c>
      <c r="K109" s="10" t="s">
        <v>408</v>
      </c>
      <c r="L109" s="10" t="s">
        <v>412</v>
      </c>
      <c r="M109" s="164">
        <f t="shared" si="22"/>
        <v>32</v>
      </c>
      <c r="N109" s="9" cm="1">
        <f t="array" ref="N109">SUMPRODUCT(($A$3:$A$997=A109)*($I$3:$I$997))-SUMPRODUCT((Xuất出库!$A$2:$A$986=A109)*(Xuất出库!$E$2:$E$986))-SUMPRODUCT((Xuất出库!$A$2:$A$986=A109)*(Xuất出库!$F$2:$F$986))+SUMPRODUCT((Hoàn回库!$A$2:$A$996=A109)*(Hoàn回库!$E$2:$E$996))+SUMPRODUCT((Hoàn回库!$A$2:$A$996=A109)*(Hoàn回库!$F$2:$F$996))</f>
        <v>416</v>
      </c>
    </row>
    <row r="110" spans="1:14">
      <c r="A110" s="9">
        <f>VLOOKUP($C110,SKU!$A:$I,3,FALSE)</f>
        <v>10107</v>
      </c>
      <c r="B110" s="9" t="str">
        <f>VLOOKUP($C110,SKU!$A:$I,2,FALSE)</f>
        <v>Hi卡柯南第四弹《一切都会大白于天下》</v>
      </c>
      <c r="C110" s="29" t="s">
        <v>377</v>
      </c>
      <c r="D110" s="9" t="str">
        <f>VLOOKUP($C110,SKU!$A:$I,4,FALSE)</f>
        <v>Card/卡牌</v>
      </c>
      <c r="E110" s="140" t="str">
        <f>VLOOKUP($C110,SKU!$A:$I,5,FALSE)</f>
        <v>Hi卡</v>
      </c>
      <c r="F110" s="34">
        <v>1</v>
      </c>
      <c r="G110" s="165">
        <f>VLOOKUP($C110,SKU!$A:$I,6,FALSE)</f>
        <v>36</v>
      </c>
      <c r="H110" s="9">
        <f>VLOOKUP($C110,SKU!$A:$I,7,FALSE)</f>
        <v>15</v>
      </c>
      <c r="I110" s="9">
        <f t="shared" si="21"/>
        <v>540</v>
      </c>
      <c r="J110" s="6" t="s">
        <v>401</v>
      </c>
      <c r="K110" s="10" t="s">
        <v>408</v>
      </c>
      <c r="L110" s="10" t="s">
        <v>412</v>
      </c>
      <c r="M110" s="164">
        <f t="shared" si="22"/>
        <v>0</v>
      </c>
      <c r="N110" s="9" cm="1">
        <f t="array" ref="N110">SUMPRODUCT(($A$3:$A$997=A110)*($I$3:$I$997))-SUMPRODUCT((Xuất出库!$A$2:$A$986=A110)*(Xuất出库!$E$2:$E$986))-SUMPRODUCT((Xuất出库!$A$2:$A$986=A110)*(Xuất出库!$F$2:$F$986))+SUMPRODUCT((Hoàn回库!$A$2:$A$996=A110)*(Hoàn回库!$E$2:$E$996))+SUMPRODUCT((Hoàn回库!$A$2:$A$996=A110)*(Hoàn回库!$F$2:$F$996))</f>
        <v>0</v>
      </c>
    </row>
    <row r="111" spans="1:14">
      <c r="A111" s="9">
        <f>VLOOKUP($C111,SKU!$A:$I,3,FALSE)</f>
        <v>10108</v>
      </c>
      <c r="B111" s="9">
        <f>VLOOKUP($C111,SKU!$A:$I,2,FALSE)</f>
        <v>0</v>
      </c>
      <c r="C111" s="29" t="s">
        <v>380</v>
      </c>
      <c r="D111" s="9" t="str">
        <f>VLOOKUP($C111,SKU!$A:$I,4,FALSE)</f>
        <v>Card/卡牌</v>
      </c>
      <c r="E111" s="140" t="str">
        <f>VLOOKUP($C111,SKU!$A:$I,5,FALSE)</f>
        <v>Mancy</v>
      </c>
      <c r="F111" s="34">
        <v>1</v>
      </c>
      <c r="G111" s="165">
        <f>VLOOKUP($C111,SKU!$A:$I,6,FALSE)</f>
        <v>24</v>
      </c>
      <c r="H111" s="9">
        <f>VLOOKUP($C111,SKU!$A:$I,7,FALSE)</f>
        <v>10</v>
      </c>
      <c r="I111" s="9">
        <f t="shared" si="21"/>
        <v>240</v>
      </c>
      <c r="J111" s="6" t="s">
        <v>401</v>
      </c>
      <c r="K111" s="10" t="s">
        <v>408</v>
      </c>
      <c r="L111" s="10" t="s">
        <v>412</v>
      </c>
      <c r="M111" s="164">
        <f t="shared" si="22"/>
        <v>19</v>
      </c>
      <c r="N111" s="9" cm="1">
        <f t="array" ref="N111">SUMPRODUCT(($A$3:$A$997=A111)*($I$3:$I$997))-SUMPRODUCT((Xuất出库!$A$2:$A$986=A111)*(Xuất出库!$E$2:$E$986))-SUMPRODUCT((Xuất出库!$A$2:$A$986=A111)*(Xuất出库!$F$2:$F$986))+SUMPRODUCT((Hoàn回库!$A$2:$A$996=A111)*(Hoàn回库!$E$2:$E$996))+SUMPRODUCT((Hoàn回库!$A$2:$A$996=A111)*(Hoàn回库!$F$2:$F$996))</f>
        <v>190</v>
      </c>
    </row>
    <row r="112" spans="1:14">
      <c r="A112" s="9">
        <f>VLOOKUP($C112,SKU!$A:$I,3,FALSE)</f>
        <v>10109</v>
      </c>
      <c r="B112" s="9">
        <f>VLOOKUP($C112,SKU!$A:$I,2,FALSE)</f>
        <v>0</v>
      </c>
      <c r="C112" s="29" t="s">
        <v>382</v>
      </c>
      <c r="D112" s="9" t="str">
        <f>VLOOKUP($C112,SKU!$A:$I,4,FALSE)</f>
        <v>Card/卡牌</v>
      </c>
      <c r="E112" s="140" t="str">
        <f>VLOOKUP($C112,SKU!$A:$I,5,FALSE)</f>
        <v>Mancy</v>
      </c>
      <c r="F112" s="34">
        <v>1</v>
      </c>
      <c r="G112" s="165">
        <f>VLOOKUP($C112,SKU!$A:$I,6,FALSE)</f>
        <v>18</v>
      </c>
      <c r="H112" s="9">
        <f>VLOOKUP($C112,SKU!$A:$I,7,FALSE)</f>
        <v>10</v>
      </c>
      <c r="I112" s="9">
        <f t="shared" si="21"/>
        <v>180</v>
      </c>
      <c r="J112" s="6" t="s">
        <v>401</v>
      </c>
      <c r="K112" s="10" t="s">
        <v>408</v>
      </c>
      <c r="L112" s="10" t="s">
        <v>412</v>
      </c>
      <c r="M112" s="164">
        <f t="shared" si="22"/>
        <v>-1</v>
      </c>
      <c r="N112" s="9" cm="1">
        <f t="array" ref="N112">SUMPRODUCT(($A$3:$A$997=A112)*($I$3:$I$997))-SUMPRODUCT((Xuất出库!$A$2:$A$986=A112)*(Xuất出库!$E$2:$E$986))-SUMPRODUCT((Xuất出库!$A$2:$A$986=A112)*(Xuất出库!$F$2:$F$986))+SUMPRODUCT((Hoàn回库!$A$2:$A$996=A112)*(Hoàn回库!$E$2:$E$996))+SUMPRODUCT((Hoàn回库!$A$2:$A$996=A112)*(Hoàn回库!$F$2:$F$996))</f>
        <v>-10</v>
      </c>
    </row>
    <row r="113" spans="1:14">
      <c r="A113" s="9">
        <f>VLOOKUP($C113,SKU!$A:$I,3,FALSE)</f>
        <v>10110</v>
      </c>
      <c r="B113" s="9">
        <f>VLOOKUP($C113,SKU!$A:$I,2,FALSE)</f>
        <v>0</v>
      </c>
      <c r="C113" s="29" t="s">
        <v>383</v>
      </c>
      <c r="D113" s="9" t="str">
        <f>VLOOKUP($C113,SKU!$A:$I,4,FALSE)</f>
        <v>Card/卡牌</v>
      </c>
      <c r="E113" s="140" t="str">
        <f>VLOOKUP($C113,SKU!$A:$I,5,FALSE)</f>
        <v>Mancy</v>
      </c>
      <c r="F113" s="34">
        <v>1</v>
      </c>
      <c r="G113" s="165">
        <f>VLOOKUP($C113,SKU!$A:$I,6,FALSE)</f>
        <v>22</v>
      </c>
      <c r="H113" s="9">
        <f>VLOOKUP($C113,SKU!$A:$I,7,FALSE)</f>
        <v>20</v>
      </c>
      <c r="I113" s="9">
        <f t="shared" si="21"/>
        <v>440</v>
      </c>
      <c r="J113" s="6" t="s">
        <v>401</v>
      </c>
      <c r="K113" s="10" t="s">
        <v>408</v>
      </c>
      <c r="L113" s="10" t="s">
        <v>412</v>
      </c>
      <c r="M113" s="164">
        <f t="shared" si="22"/>
        <v>22</v>
      </c>
      <c r="N113" s="9" cm="1">
        <f t="array" ref="N113">SUMPRODUCT(($A$3:$A$997=A113)*($I$3:$I$997))-SUMPRODUCT((Xuất出库!$A$2:$A$986=A113)*(Xuất出库!$E$2:$E$986))-SUMPRODUCT((Xuất出库!$A$2:$A$986=A113)*(Xuất出库!$F$2:$F$986))+SUMPRODUCT((Hoàn回库!$A$2:$A$996=A113)*(Hoàn回库!$E$2:$E$996))+SUMPRODUCT((Hoàn回库!$A$2:$A$996=A113)*(Hoàn回库!$F$2:$F$996))</f>
        <v>440</v>
      </c>
    </row>
    <row r="114" spans="1:14">
      <c r="A114" s="9">
        <f>VLOOKUP($C114,SKU!$A:$I,3,FALSE)</f>
        <v>10111</v>
      </c>
      <c r="B114" s="140">
        <f>VLOOKUP($C114,SKU!$A:$I,2,FALSE)</f>
        <v>0</v>
      </c>
      <c r="C114" s="34" t="s">
        <v>384</v>
      </c>
      <c r="D114" s="165" t="str">
        <f>VLOOKUP($C114,SKU!$A:$I,4,FALSE)</f>
        <v>Card/卡牌</v>
      </c>
      <c r="E114" s="140" t="str">
        <f>VLOOKUP($C114,SKU!$A:$I,5,FALSE)</f>
        <v>Mancy</v>
      </c>
      <c r="F114" s="34">
        <v>1</v>
      </c>
      <c r="G114" s="165">
        <f>VLOOKUP($C114,SKU!$A:$I,6,FALSE)</f>
        <v>23</v>
      </c>
      <c r="H114" s="9">
        <f>VLOOKUP($C114,SKU!$A:$I,7,FALSE)</f>
        <v>20</v>
      </c>
      <c r="I114" s="9">
        <f t="shared" si="21"/>
        <v>460</v>
      </c>
      <c r="J114" s="6" t="s">
        <v>401</v>
      </c>
      <c r="K114" s="10" t="s">
        <v>408</v>
      </c>
      <c r="L114" s="10" t="s">
        <v>412</v>
      </c>
      <c r="M114" s="164">
        <f t="shared" si="22"/>
        <v>21</v>
      </c>
      <c r="N114" s="9" cm="1">
        <f t="array" ref="N114">SUMPRODUCT(($A$3:$A$997=A114)*($I$3:$I$997))-SUMPRODUCT((Xuất出库!$A$2:$A$986=A114)*(Xuất出库!$E$2:$E$986))-SUMPRODUCT((Xuất出库!$A$2:$A$986=A114)*(Xuất出库!$F$2:$F$986))+SUMPRODUCT((Hoàn回库!$A$2:$A$996=A114)*(Hoàn回库!$E$2:$E$996))+SUMPRODUCT((Hoàn回库!$A$2:$A$996=A114)*(Hoàn回库!$F$2:$F$996))</f>
        <v>420</v>
      </c>
    </row>
    <row r="115" spans="1:14">
      <c r="A115" s="9">
        <f>VLOOKUP($C115,SKU!$A:$I,3,FALSE)</f>
        <v>10112</v>
      </c>
      <c r="B115" s="140">
        <f>VLOOKUP($C115,SKU!$A:$I,2,FALSE)</f>
        <v>0</v>
      </c>
      <c r="C115" s="34" t="s">
        <v>385</v>
      </c>
      <c r="D115" s="165" t="str">
        <f>VLOOKUP($C115,SKU!$A:$I,4,FALSE)</f>
        <v>Card/卡牌</v>
      </c>
      <c r="E115" s="140" t="str">
        <f>VLOOKUP($C115,SKU!$A:$I,5,FALSE)</f>
        <v>Mancy</v>
      </c>
      <c r="F115" s="34">
        <v>1</v>
      </c>
      <c r="G115" s="165">
        <f>VLOOKUP($C115,SKU!$A:$I,6,FALSE)</f>
        <v>24</v>
      </c>
      <c r="H115" s="9">
        <f>VLOOKUP($C115,SKU!$A:$I,7,FALSE)</f>
        <v>10</v>
      </c>
      <c r="I115" s="9">
        <f t="shared" si="21"/>
        <v>240</v>
      </c>
      <c r="J115" s="6" t="s">
        <v>401</v>
      </c>
      <c r="K115" s="10" t="s">
        <v>408</v>
      </c>
      <c r="L115" s="10" t="s">
        <v>412</v>
      </c>
      <c r="M115" s="164">
        <f t="shared" si="22"/>
        <v>24</v>
      </c>
      <c r="N115" s="9" cm="1">
        <f t="array" ref="N115">SUMPRODUCT(($A$3:$A$997=A115)*($I$3:$I$997))-SUMPRODUCT((Xuất出库!$A$2:$A$986=A115)*(Xuất出库!$E$2:$E$986))-SUMPRODUCT((Xuất出库!$A$2:$A$986=A115)*(Xuất出库!$F$2:$F$986))+SUMPRODUCT((Hoàn回库!$A$2:$A$996=A115)*(Hoàn回库!$E$2:$E$996))+SUMPRODUCT((Hoàn回库!$A$2:$A$996=A115)*(Hoàn回库!$F$2:$F$996))</f>
        <v>240</v>
      </c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$A1:$XFD1048576" name="Range1"/>
  </protectedRanges>
  <mergeCells count="11">
    <mergeCell ref="F1:I1"/>
    <mergeCell ref="A1:A2"/>
    <mergeCell ref="B1:B2"/>
    <mergeCell ref="C1:C2"/>
    <mergeCell ref="D1:D2"/>
    <mergeCell ref="E1:E2"/>
    <mergeCell ref="J1:J2"/>
    <mergeCell ref="K1:K2"/>
    <mergeCell ref="L1:L2"/>
    <mergeCell ref="M1:M2"/>
    <mergeCell ref="N1:N2"/>
  </mergeCells>
  <dataValidations count="2">
    <dataValidation type="list" allowBlank="1" showInputMessage="1" showErrorMessage="1" sqref="C25 C35:C40 C48:C1048576">
      <formula1>英文_越文名_Tên_SP</formula1>
    </dataValidation>
    <dataValidation type="list" allowBlank="1" showInputMessage="1" showErrorMessage="1" sqref="K3:K1048576">
      <formula1>运营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25"/>
  <sheetViews>
    <sheetView workbookViewId="0">
      <pane ySplit="1" topLeftCell="A35" activePane="bottomLeft" state="frozen"/>
      <selection/>
      <selection pane="bottomLeft" activeCell="A35" sqref="A35:K35"/>
    </sheetView>
  </sheetViews>
  <sheetFormatPr defaultColWidth="8.70833333333333" defaultRowHeight="15"/>
  <cols>
    <col min="1" max="1" width="11.375" style="29" customWidth="1"/>
    <col min="2" max="2" width="72.875" style="29" customWidth="1"/>
    <col min="3" max="3" width="44.75" style="29" customWidth="1"/>
    <col min="4" max="4" width="9.56666666666667" style="29" customWidth="1"/>
    <col min="5" max="5" width="16.875" style="29" customWidth="1"/>
    <col min="6" max="6" width="9.56666666666667" style="29" customWidth="1"/>
    <col min="7" max="7" width="14.7083333333333" style="29" customWidth="1"/>
    <col min="8" max="8" width="13.875" style="29" customWidth="1"/>
    <col min="9" max="9" width="14" style="150" customWidth="1"/>
    <col min="10" max="10" width="10.8583333333333" style="29" customWidth="1"/>
    <col min="11" max="11" width="10" style="1" customWidth="1"/>
    <col min="12" max="16384" width="8.70833333333333" style="2"/>
  </cols>
  <sheetData>
    <row r="1" ht="28.5" spans="1:10">
      <c r="A1" s="151" t="s">
        <v>386</v>
      </c>
      <c r="B1" s="151" t="s">
        <v>387</v>
      </c>
      <c r="C1" s="151" t="s">
        <v>413</v>
      </c>
      <c r="D1" s="151" t="s">
        <v>414</v>
      </c>
      <c r="E1" s="152" t="s">
        <v>415</v>
      </c>
      <c r="F1" s="151" t="s">
        <v>416</v>
      </c>
      <c r="G1" s="151" t="s">
        <v>417</v>
      </c>
      <c r="H1" s="151" t="s">
        <v>418</v>
      </c>
      <c r="I1" s="153" t="s">
        <v>419</v>
      </c>
      <c r="J1" s="151" t="s">
        <v>420</v>
      </c>
    </row>
    <row r="2" spans="1:10">
      <c r="A2" s="31">
        <f>VLOOKUP($C2,SKU!$A:$I,3,FALSE)</f>
        <v>10010</v>
      </c>
      <c r="B2" s="31" t="str">
        <f>VLOOKUP($C2,SKU!$A:$I,2,FALSE)</f>
        <v>玩的入迷-魔卡少女樱第一弹—樱之绮遇</v>
      </c>
      <c r="C2" s="29" t="s">
        <v>66</v>
      </c>
      <c r="D2" s="29">
        <v>12</v>
      </c>
      <c r="E2" s="31">
        <f>D2*VLOOKUP(A2,Nhập入库!A:N,8,FALSE)</f>
        <v>156</v>
      </c>
      <c r="G2" s="29" t="s">
        <v>16</v>
      </c>
      <c r="H2" s="29" t="s">
        <v>28</v>
      </c>
      <c r="I2" s="141" t="s">
        <v>421</v>
      </c>
      <c r="J2" s="133">
        <v>0.479861111111111</v>
      </c>
    </row>
    <row r="3" spans="1:10">
      <c r="A3" s="31">
        <f>VLOOKUP($C3,SKU!$A:$I,3,FALSE)</f>
        <v>10016</v>
      </c>
      <c r="B3" s="31" t="str">
        <f>VLOOKUP($C3,SKU!$A:$I,2,FALSE)</f>
        <v>思梨普文创《hey!国王陛下》集换式艺术家典藏卡</v>
      </c>
      <c r="C3" s="29" t="s">
        <v>91</v>
      </c>
      <c r="D3" s="29">
        <v>5</v>
      </c>
      <c r="E3" s="31">
        <f>D3*VLOOKUP(A3,Nhập入库!A:N,8,FALSE)</f>
        <v>50</v>
      </c>
      <c r="G3" s="29" t="s">
        <v>16</v>
      </c>
      <c r="H3" s="29" t="s">
        <v>28</v>
      </c>
      <c r="I3" s="141" t="s">
        <v>421</v>
      </c>
      <c r="J3" s="133">
        <v>0.479861111111111</v>
      </c>
    </row>
    <row r="4" spans="1:10">
      <c r="A4" s="31">
        <f>VLOOKUP($C4,SKU!$A:$I,3,FALSE)</f>
        <v>10010</v>
      </c>
      <c r="B4" s="31" t="str">
        <f>VLOOKUP($C4,SKU!$A:$I,2,FALSE)</f>
        <v>玩的入迷-魔卡少女樱第一弹—樱之绮遇</v>
      </c>
      <c r="C4" s="29" t="s">
        <v>66</v>
      </c>
      <c r="D4" s="29">
        <v>24</v>
      </c>
      <c r="E4" s="31">
        <f>D4*VLOOKUP(A4,Nhập入库!A:N,8,FALSE)</f>
        <v>312</v>
      </c>
      <c r="G4" s="29" t="s">
        <v>16</v>
      </c>
      <c r="H4" s="29" t="s">
        <v>28</v>
      </c>
      <c r="I4" s="141" t="s">
        <v>421</v>
      </c>
      <c r="J4" s="133">
        <v>0.517361111111111</v>
      </c>
    </row>
    <row r="5" spans="1:10">
      <c r="A5" s="31">
        <f>VLOOKUP($C5,SKU!$A:$I,3,FALSE)</f>
        <v>10015</v>
      </c>
      <c r="B5" s="31" t="str">
        <f>VLOOKUP($C5,SKU!$A:$I,2,FALSE)</f>
        <v>梦绘文创-宫崎骏第二弹</v>
      </c>
      <c r="C5" s="29" t="s">
        <v>87</v>
      </c>
      <c r="D5" s="29">
        <v>5</v>
      </c>
      <c r="E5" s="31">
        <f>D5*VLOOKUP(A5,Nhập入库!A:N,8,FALSE)</f>
        <v>60</v>
      </c>
      <c r="G5" s="29" t="s">
        <v>27</v>
      </c>
      <c r="H5" s="29" t="s">
        <v>28</v>
      </c>
      <c r="I5" s="141" t="s">
        <v>421</v>
      </c>
      <c r="J5" s="133">
        <v>0.556944444444444</v>
      </c>
    </row>
    <row r="6" spans="1:10">
      <c r="A6" s="31">
        <f>VLOOKUP($C6,SKU!$A:$I,3,FALSE)</f>
        <v>10003</v>
      </c>
      <c r="B6" s="31" t="str">
        <f>VLOOKUP($C6,SKU!$A:$I,2,FALSE)</f>
        <v>DUO米全新出品鬼灭之刃-柱合会议篇第二弹</v>
      </c>
      <c r="C6" s="29" t="s">
        <v>24</v>
      </c>
      <c r="D6" s="29">
        <v>5</v>
      </c>
      <c r="E6" s="31">
        <f>D6*VLOOKUP(A6,Nhập入库!A:N,8,FALSE)</f>
        <v>65</v>
      </c>
      <c r="G6" s="29" t="s">
        <v>22</v>
      </c>
      <c r="H6" s="29" t="s">
        <v>28</v>
      </c>
      <c r="I6" s="141" t="s">
        <v>421</v>
      </c>
      <c r="J6" s="133">
        <v>0.556944444444444</v>
      </c>
    </row>
    <row r="7" spans="1:10">
      <c r="A7" s="31">
        <f>VLOOKUP($C7,SKU!$A:$I,3,FALSE)</f>
        <v>10020</v>
      </c>
      <c r="B7" s="31" t="str">
        <f>VLOOKUP($C7,SKU!$A:$I,2,FALSE)</f>
        <v>集卡社小樱</v>
      </c>
      <c r="C7" s="29" t="s">
        <v>107</v>
      </c>
      <c r="D7" s="29">
        <v>5</v>
      </c>
      <c r="E7" s="31">
        <f>D7*VLOOKUP(A7,Nhập入库!A:N,8,FALSE)</f>
        <v>80</v>
      </c>
      <c r="G7" s="29" t="s">
        <v>422</v>
      </c>
      <c r="H7" s="29" t="s">
        <v>423</v>
      </c>
      <c r="I7" s="154">
        <v>45947</v>
      </c>
      <c r="J7" s="133">
        <v>0.390277777777778</v>
      </c>
    </row>
    <row r="8" spans="1:10">
      <c r="A8" s="31">
        <f>VLOOKUP($C8,SKU!$A:$I,3,FALSE)</f>
        <v>10021</v>
      </c>
      <c r="B8" s="31" t="str">
        <f>VLOOKUP($C8,SKU!$A:$I,2,FALSE)</f>
        <v>新谷动漫名侦探柯南·仲夏夜之恋邮票集</v>
      </c>
      <c r="C8" s="29" t="s">
        <v>111</v>
      </c>
      <c r="D8" s="29">
        <v>10</v>
      </c>
      <c r="E8" s="31">
        <f>D8*VLOOKUP(A8,Nhập入库!A:N,8,FALSE)</f>
        <v>50</v>
      </c>
      <c r="G8" s="29" t="s">
        <v>33</v>
      </c>
      <c r="H8" s="29" t="s">
        <v>424</v>
      </c>
      <c r="I8" s="154">
        <v>45948</v>
      </c>
      <c r="J8" s="133">
        <v>0.403472222222222</v>
      </c>
    </row>
    <row r="9" spans="1:10">
      <c r="A9" s="31">
        <f>VLOOKUP($C9,SKU!$A:$I,3,FALSE)</f>
        <v>10014</v>
      </c>
      <c r="B9" s="31" t="str">
        <f>VLOOKUP($C9,SKU!$A:$I,2,FALSE)</f>
        <v>星梦文创-Studio Ghibli宫崎骏撕撕乐系列 </v>
      </c>
      <c r="C9" s="29" t="s">
        <v>83</v>
      </c>
      <c r="D9" s="29">
        <v>20</v>
      </c>
      <c r="E9" s="31">
        <f>D9*VLOOKUP(A9,Nhập入库!A:N,8,FALSE)</f>
        <v>60</v>
      </c>
      <c r="G9" s="29" t="s">
        <v>425</v>
      </c>
      <c r="H9" s="29" t="s">
        <v>424</v>
      </c>
      <c r="I9" s="154">
        <v>45948</v>
      </c>
      <c r="J9" s="133">
        <v>0.403472222222222</v>
      </c>
    </row>
    <row r="10" spans="1:10">
      <c r="A10" s="31">
        <f>VLOOKUP($C10,SKU!$A:$I,3,FALSE)</f>
        <v>10028</v>
      </c>
      <c r="B10" s="31" t="str">
        <f>VLOOKUP($C10,SKU!$A:$I,2,FALSE)</f>
        <v>潮玩咔原神 尘世收藏卡</v>
      </c>
      <c r="C10" s="29" t="s">
        <v>139</v>
      </c>
      <c r="D10" s="29">
        <v>5</v>
      </c>
      <c r="E10" s="31">
        <f>D10*VLOOKUP(A10,Nhập入库!A:N,8,FALSE)</f>
        <v>65</v>
      </c>
      <c r="G10" s="29" t="s">
        <v>426</v>
      </c>
      <c r="H10" s="29" t="s">
        <v>406</v>
      </c>
      <c r="I10" s="154">
        <v>45948</v>
      </c>
      <c r="J10" s="133">
        <v>0.45625</v>
      </c>
    </row>
    <row r="11" spans="1:10">
      <c r="A11" s="31">
        <f>VLOOKUP($C11,SKU!$A:$I,3,FALSE)</f>
        <v>10018</v>
      </c>
      <c r="B11" s="31" t="str">
        <f>VLOOKUP($C11,SKU!$A:$I,2,FALSE)</f>
        <v>圣月美少女战士星尘协奏曲长卡</v>
      </c>
      <c r="C11" s="29" t="s">
        <v>99</v>
      </c>
      <c r="D11" s="29">
        <v>5</v>
      </c>
      <c r="E11" s="31">
        <f>D11*VLOOKUP(A11,Nhập入库!A:N,8,FALSE)</f>
        <v>65</v>
      </c>
      <c r="G11" s="29" t="s">
        <v>422</v>
      </c>
      <c r="H11" s="29" t="s">
        <v>423</v>
      </c>
      <c r="I11" s="154">
        <v>45948</v>
      </c>
      <c r="J11" s="133">
        <v>0.41875</v>
      </c>
    </row>
    <row r="12" spans="1:10">
      <c r="A12" s="31">
        <f>VLOOKUP($C12,SKU!$A:$I,3,FALSE)</f>
        <v>10028</v>
      </c>
      <c r="B12" s="31" t="str">
        <f>VLOOKUP($C12,SKU!$A:$I,2,FALSE)</f>
        <v>潮玩咔原神 尘世收藏卡</v>
      </c>
      <c r="C12" s="29" t="s">
        <v>139</v>
      </c>
      <c r="D12" s="29">
        <v>5</v>
      </c>
      <c r="E12" s="31">
        <f>D12*VLOOKUP(A12,Nhập入库!A:N,8,FALSE)</f>
        <v>65</v>
      </c>
      <c r="G12" s="29" t="s">
        <v>426</v>
      </c>
      <c r="H12" s="29" t="s">
        <v>406</v>
      </c>
      <c r="I12" s="154">
        <v>45948</v>
      </c>
      <c r="J12" s="133">
        <v>0.557638888888889</v>
      </c>
    </row>
    <row r="13" spans="1:10">
      <c r="A13" s="31">
        <f>VLOOKUP($C13,SKU!$A:$I,3,FALSE)</f>
        <v>10022</v>
      </c>
      <c r="B13" s="31" t="str">
        <f>VLOOKUP($C13,SKU!$A:$I,2,FALSE)</f>
        <v>【耀光·美少女战士】长卡卡砖</v>
      </c>
      <c r="C13" s="29" t="s">
        <v>115</v>
      </c>
      <c r="D13" s="29">
        <v>10</v>
      </c>
      <c r="E13" s="31">
        <f>D13*VLOOKUP(A13,Nhập入库!A:N,8,FALSE)</f>
        <v>80</v>
      </c>
      <c r="G13" s="29" t="s">
        <v>422</v>
      </c>
      <c r="H13" s="29" t="s">
        <v>406</v>
      </c>
      <c r="I13" s="154">
        <v>45948</v>
      </c>
      <c r="J13" s="133">
        <v>0.557638888888889</v>
      </c>
    </row>
    <row r="14" spans="1:10">
      <c r="A14" s="31">
        <f>VLOOKUP($C14,SKU!$A:$I,3,FALSE)</f>
        <v>10021</v>
      </c>
      <c r="B14" s="31" t="str">
        <f>VLOOKUP($C14,SKU!$A:$I,2,FALSE)</f>
        <v>新谷动漫名侦探柯南·仲夏夜之恋邮票集</v>
      </c>
      <c r="C14" s="29" t="s">
        <v>111</v>
      </c>
      <c r="D14" s="29">
        <v>5</v>
      </c>
      <c r="E14" s="31">
        <f>D14*VLOOKUP(A14,Nhập入库!A:N,8,FALSE)</f>
        <v>25</v>
      </c>
      <c r="G14" s="29" t="s">
        <v>427</v>
      </c>
      <c r="H14" s="29" t="s">
        <v>428</v>
      </c>
      <c r="I14" s="154">
        <v>45948</v>
      </c>
      <c r="J14" s="133">
        <v>0.695833333333333</v>
      </c>
    </row>
    <row r="15" spans="1:10">
      <c r="A15" s="31">
        <f>VLOOKUP($C15,SKU!$A:$I,3,FALSE)</f>
        <v>10028</v>
      </c>
      <c r="B15" s="31" t="str">
        <f>VLOOKUP($C15,SKU!$A:$I,2,FALSE)</f>
        <v>潮玩咔原神 尘世收藏卡</v>
      </c>
      <c r="C15" s="29" t="s">
        <v>139</v>
      </c>
      <c r="D15" s="29">
        <v>5</v>
      </c>
      <c r="E15" s="31">
        <f>D15*VLOOKUP(A15,Nhập入库!A:N,8,FALSE)</f>
        <v>65</v>
      </c>
      <c r="G15" s="29" t="s">
        <v>429</v>
      </c>
      <c r="H15" s="29" t="s">
        <v>428</v>
      </c>
      <c r="I15" s="154">
        <v>45948</v>
      </c>
      <c r="J15" s="133">
        <v>0.717361111111111</v>
      </c>
    </row>
    <row r="16" spans="1:10">
      <c r="A16" s="31">
        <f>VLOOKUP($C16,SKU!$A:$I,3,FALSE)</f>
        <v>10021</v>
      </c>
      <c r="B16" s="31" t="str">
        <f>VLOOKUP($C16,SKU!$A:$I,2,FALSE)</f>
        <v>新谷动漫名侦探柯南·仲夏夜之恋邮票集</v>
      </c>
      <c r="C16" s="29" t="s">
        <v>111</v>
      </c>
      <c r="D16" s="29">
        <v>6</v>
      </c>
      <c r="E16" s="31">
        <f>D16*VLOOKUP(A16,Nhập入库!A:N,8,FALSE)</f>
        <v>30</v>
      </c>
      <c r="G16" s="29" t="s">
        <v>430</v>
      </c>
      <c r="H16" s="29" t="s">
        <v>431</v>
      </c>
      <c r="I16" s="154">
        <v>45948</v>
      </c>
      <c r="J16" s="133">
        <v>0.754861111111111</v>
      </c>
    </row>
    <row r="17" spans="1:10">
      <c r="A17" s="31">
        <f>VLOOKUP($C17,SKU!$A:$I,3,FALSE)</f>
        <v>10021</v>
      </c>
      <c r="B17" s="31" t="str">
        <f>VLOOKUP($C17,SKU!$A:$I,2,FALSE)</f>
        <v>新谷动漫名侦探柯南·仲夏夜之恋邮票集</v>
      </c>
      <c r="C17" s="29" t="s">
        <v>111</v>
      </c>
      <c r="D17" s="29">
        <v>5</v>
      </c>
      <c r="E17" s="31">
        <f>D17*VLOOKUP(A17,Nhập入库!A:N,8,FALSE)</f>
        <v>25</v>
      </c>
      <c r="G17" s="29" t="s">
        <v>33</v>
      </c>
      <c r="H17" s="29" t="s">
        <v>424</v>
      </c>
      <c r="I17" s="154">
        <v>45948</v>
      </c>
      <c r="J17" s="133">
        <v>0.761111111111111</v>
      </c>
    </row>
    <row r="18" spans="1:10">
      <c r="A18" s="31">
        <f>VLOOKUP($C18,SKU!$A:$I,3,FALSE)</f>
        <v>10013</v>
      </c>
      <c r="B18" s="31" t="str">
        <f>VLOOKUP($C18,SKU!$A:$I,2,FALSE)</f>
        <v>皇卡 × 鬼灭《血月之契》篇决战无限城收藏卡</v>
      </c>
      <c r="C18" s="29" t="s">
        <v>79</v>
      </c>
      <c r="D18" s="29">
        <v>5</v>
      </c>
      <c r="E18" s="31">
        <f>D18*VLOOKUP(A18,Nhập入库!A:N,8,FALSE)</f>
        <v>60</v>
      </c>
      <c r="G18" s="29" t="s">
        <v>430</v>
      </c>
      <c r="H18" s="29" t="s">
        <v>431</v>
      </c>
      <c r="I18" s="154">
        <v>45948</v>
      </c>
      <c r="J18" s="133">
        <v>0.948611111111111</v>
      </c>
    </row>
    <row r="19" spans="1:10">
      <c r="A19" s="31">
        <f>VLOOKUP($C19,SKU!$A:$I,3,FALSE)</f>
        <v>10031</v>
      </c>
      <c r="B19" s="31" t="str">
        <f>VLOOKUP($C19,SKU!$A:$I,2,FALSE)</f>
        <v>胜卡文创x魔道祖师云深不忘邮票评级卡砖</v>
      </c>
      <c r="C19" s="29" t="s">
        <v>151</v>
      </c>
      <c r="D19" s="29">
        <v>5</v>
      </c>
      <c r="E19" s="31">
        <f>D19*VLOOKUP(A19,Nhập入库!A:N,8,FALSE)</f>
        <v>50</v>
      </c>
      <c r="G19" s="29" t="s">
        <v>422</v>
      </c>
      <c r="H19" s="29" t="s">
        <v>406</v>
      </c>
      <c r="I19" s="154">
        <v>45949</v>
      </c>
      <c r="J19" s="133">
        <v>0.407638888888889</v>
      </c>
    </row>
    <row r="20" spans="1:10">
      <c r="A20" s="31">
        <f>VLOOKUP($C20,SKU!$A:$I,3,FALSE)</f>
        <v>10030</v>
      </c>
      <c r="B20" s="31" t="str">
        <f>VLOOKUP($C20,SKU!$A:$I,2,FALSE)</f>
        <v>梦影动漫黑执事-典藏版收藏卡牌</v>
      </c>
      <c r="C20" s="29" t="s">
        <v>147</v>
      </c>
      <c r="D20" s="29">
        <v>5</v>
      </c>
      <c r="E20" s="31">
        <f>D20*VLOOKUP(A20,Nhập入库!A:N,8,FALSE)</f>
        <v>60</v>
      </c>
      <c r="G20" s="29" t="s">
        <v>422</v>
      </c>
      <c r="H20" s="29" t="s">
        <v>406</v>
      </c>
      <c r="I20" s="154">
        <v>45949</v>
      </c>
      <c r="J20" s="133">
        <v>0.407638888888889</v>
      </c>
    </row>
    <row r="21" spans="1:10">
      <c r="A21" s="31">
        <f>VLOOKUP($C21,SKU!$A:$I,3,FALSE)</f>
        <v>10037</v>
      </c>
      <c r="B21" s="31" t="str">
        <f>VLOOKUP($C21,SKU!$A:$I,2,FALSE)</f>
        <v>磁吸邮票《咪咕咪咕&amp;魔卡少女樱》</v>
      </c>
      <c r="C21" s="29" t="s">
        <v>175</v>
      </c>
      <c r="D21" s="29">
        <v>50</v>
      </c>
      <c r="E21" s="31">
        <f>D21*VLOOKUP(A21,Nhập入库!A:N,8,FALSE)</f>
        <v>50</v>
      </c>
      <c r="G21" s="29" t="s">
        <v>422</v>
      </c>
      <c r="H21" s="29" t="s">
        <v>406</v>
      </c>
      <c r="I21" s="154">
        <v>45949</v>
      </c>
      <c r="J21" s="133">
        <v>0.407638888888889</v>
      </c>
    </row>
    <row r="22" spans="1:10">
      <c r="A22" s="31">
        <f>VLOOKUP($C22,SKU!$A:$I,3,FALSE)</f>
        <v>10028</v>
      </c>
      <c r="B22" s="31" t="str">
        <f>VLOOKUP($C22,SKU!$A:$I,2,FALSE)</f>
        <v>潮玩咔原神 尘世收藏卡</v>
      </c>
      <c r="C22" s="29" t="s">
        <v>139</v>
      </c>
      <c r="D22" s="29">
        <v>10</v>
      </c>
      <c r="E22" s="31">
        <f>D22*VLOOKUP(A22,Nhập入库!A:N,8,FALSE)</f>
        <v>130</v>
      </c>
      <c r="G22" s="29" t="s">
        <v>426</v>
      </c>
      <c r="H22" s="29" t="s">
        <v>406</v>
      </c>
      <c r="I22" s="154">
        <v>45949</v>
      </c>
      <c r="J22" s="133">
        <v>0.407638888888889</v>
      </c>
    </row>
    <row r="23" spans="1:10">
      <c r="A23" s="31">
        <f>VLOOKUP($C23,SKU!$A:$I,3,FALSE)</f>
        <v>10011</v>
      </c>
      <c r="B23" s="31" t="str">
        <f>VLOOKUP($C23,SKU!$A:$I,2,FALSE)</f>
        <v>灿卡文创宫崎骏第二弹《花涧物语》</v>
      </c>
      <c r="C23" s="29" t="s">
        <v>71</v>
      </c>
      <c r="D23" s="29">
        <v>5</v>
      </c>
      <c r="E23" s="31">
        <f>D23*VLOOKUP(A23,Nhập入库!A:N,8,FALSE)</f>
        <v>65</v>
      </c>
      <c r="G23" s="29" t="s">
        <v>432</v>
      </c>
      <c r="H23" s="29" t="s">
        <v>406</v>
      </c>
      <c r="I23" s="154">
        <v>45949</v>
      </c>
      <c r="J23" s="133">
        <v>0.407638888888889</v>
      </c>
    </row>
    <row r="24" spans="1:10">
      <c r="A24" s="31">
        <f>VLOOKUP($C24,SKU!$A:$I,3,FALSE)</f>
        <v>10011</v>
      </c>
      <c r="B24" s="31" t="str">
        <f>VLOOKUP($C24,SKU!$A:$I,2,FALSE)</f>
        <v>灿卡文创宫崎骏第二弹《花涧物语》</v>
      </c>
      <c r="C24" s="29" t="s">
        <v>71</v>
      </c>
      <c r="D24" s="29">
        <v>5</v>
      </c>
      <c r="E24" s="31">
        <f>D24*VLOOKUP(A24,Nhập入库!A:N,8,FALSE)</f>
        <v>65</v>
      </c>
      <c r="G24" s="29" t="s">
        <v>432</v>
      </c>
      <c r="H24" s="29" t="s">
        <v>406</v>
      </c>
      <c r="I24" s="154">
        <v>45949</v>
      </c>
      <c r="J24" s="133">
        <v>0.457638888888889</v>
      </c>
    </row>
    <row r="25" spans="1:10">
      <c r="A25" s="31">
        <f>VLOOKUP($C25,SKU!$A:$I,3,FALSE)</f>
        <v>10022</v>
      </c>
      <c r="B25" s="31" t="str">
        <f>VLOOKUP($C25,SKU!$A:$I,2,FALSE)</f>
        <v>【耀光·美少女战士】长卡卡砖</v>
      </c>
      <c r="C25" s="29" t="s">
        <v>115</v>
      </c>
      <c r="D25" s="29">
        <v>5</v>
      </c>
      <c r="E25" s="31">
        <f>D25*VLOOKUP(A25,Nhập入库!A:N,8,FALSE)</f>
        <v>40</v>
      </c>
      <c r="G25" s="29" t="s">
        <v>422</v>
      </c>
      <c r="H25" s="29" t="s">
        <v>406</v>
      </c>
      <c r="I25" s="154">
        <v>45949</v>
      </c>
      <c r="J25" s="133">
        <v>0.457638888888889</v>
      </c>
    </row>
    <row r="26" spans="1:10">
      <c r="A26" s="31">
        <f>VLOOKUP($C26,SKU!$A:$I,3,FALSE)</f>
        <v>10001</v>
      </c>
      <c r="B26" s="31" t="str">
        <f>VLOOKUP($C26,SKU!$A:$I,2,FALSE)</f>
        <v>《东株社》宝可梦水晶砖</v>
      </c>
      <c r="C26" s="29" t="s">
        <v>12</v>
      </c>
      <c r="D26" s="29">
        <v>5</v>
      </c>
      <c r="E26" s="31">
        <f>D26*VLOOKUP(A26,Nhập入库!A:N,8,FALSE)</f>
        <v>5</v>
      </c>
      <c r="G26" s="29" t="s">
        <v>426</v>
      </c>
      <c r="H26" s="29" t="s">
        <v>406</v>
      </c>
      <c r="I26" s="154">
        <v>45949</v>
      </c>
      <c r="J26" s="133">
        <v>0.465972222222222</v>
      </c>
    </row>
    <row r="27" spans="1:10">
      <c r="A27" s="31">
        <f>VLOOKUP($C27,SKU!$A:$I,3,FALSE)</f>
        <v>10001</v>
      </c>
      <c r="B27" s="31" t="str">
        <f>VLOOKUP($C27,SKU!$A:$I,2,FALSE)</f>
        <v>《东株社》宝可梦水晶砖</v>
      </c>
      <c r="C27" s="29" t="s">
        <v>12</v>
      </c>
      <c r="D27" s="29">
        <v>5</v>
      </c>
      <c r="E27" s="31">
        <f>D27*VLOOKUP(A27,Nhập入库!A:N,8,FALSE)</f>
        <v>5</v>
      </c>
      <c r="G27" s="29" t="s">
        <v>430</v>
      </c>
      <c r="H27" s="29" t="s">
        <v>431</v>
      </c>
      <c r="I27" s="154">
        <v>45949</v>
      </c>
      <c r="J27" s="133">
        <v>0.872916666666667</v>
      </c>
    </row>
    <row r="28" spans="1:10">
      <c r="A28" s="31">
        <f>VLOOKUP($C28,SKU!$A:$I,3,FALSE)</f>
        <v>10019</v>
      </c>
      <c r="B28" s="31" t="str">
        <f>VLOOKUP($C28,SKU!$A:$I,2,FALSE)</f>
        <v>谷子力量 x 竹烟波月亚克力透卡</v>
      </c>
      <c r="C28" s="29" t="s">
        <v>103</v>
      </c>
      <c r="D28" s="29">
        <v>75</v>
      </c>
      <c r="E28" s="31">
        <f>D28*VLOOKUP(A28,Nhập入库!A:N,8,FALSE)</f>
        <v>75</v>
      </c>
      <c r="G28" s="29" t="s">
        <v>433</v>
      </c>
      <c r="H28" s="29" t="s">
        <v>431</v>
      </c>
      <c r="I28" s="154">
        <v>45949</v>
      </c>
      <c r="J28" s="133">
        <v>0.872916666666667</v>
      </c>
    </row>
    <row r="29" spans="1:10">
      <c r="A29" s="31">
        <f>VLOOKUP($C29,SKU!$A:$I,3,FALSE)</f>
        <v>10024</v>
      </c>
      <c r="B29" s="31" t="str">
        <f>VLOOKUP($C29,SKU!$A:$I,2,FALSE)</f>
        <v>漫影工作室-柯南-A5 大卡第一弹</v>
      </c>
      <c r="C29" s="29" t="s">
        <v>123</v>
      </c>
      <c r="D29" s="29">
        <v>11</v>
      </c>
      <c r="E29" s="31">
        <f>D29*VLOOKUP(A29,Nhập入库!A:N,8,FALSE)</f>
        <v>11</v>
      </c>
      <c r="G29" s="29" t="s">
        <v>33</v>
      </c>
      <c r="H29" s="29" t="s">
        <v>424</v>
      </c>
      <c r="I29" s="154">
        <v>45949</v>
      </c>
      <c r="J29" s="133">
        <v>0.517361111111111</v>
      </c>
    </row>
    <row r="30" spans="1:10">
      <c r="A30" s="31">
        <f>VLOOKUP($C30,SKU!$A:$I,3,FALSE)</f>
        <v>10028</v>
      </c>
      <c r="B30" s="31" t="str">
        <f>VLOOKUP($C30,SKU!$A:$I,2,FALSE)</f>
        <v>潮玩咔原神 尘世收藏卡</v>
      </c>
      <c r="C30" s="29" t="s">
        <v>139</v>
      </c>
      <c r="D30" s="29">
        <v>6</v>
      </c>
      <c r="E30" s="31">
        <f>D30*VLOOKUP(A30,Nhập入库!A:N,8,FALSE)</f>
        <v>78</v>
      </c>
      <c r="G30" s="29" t="s">
        <v>429</v>
      </c>
      <c r="H30" s="29" t="s">
        <v>428</v>
      </c>
      <c r="I30" s="154">
        <v>45949</v>
      </c>
      <c r="J30" s="133">
        <v>0.784027777777778</v>
      </c>
    </row>
    <row r="31" spans="1:10">
      <c r="A31" s="31">
        <f>VLOOKUP($C31,SKU!$A:$I,3,FALSE)</f>
        <v>10025</v>
      </c>
      <c r="B31" s="31" t="str">
        <f>VLOOKUP($C31,SKU!$A:$I,2,FALSE)</f>
        <v>君屹文化耽美古风收藏新纪元《言辞忆梦》撕撕乐</v>
      </c>
      <c r="C31" s="29" t="s">
        <v>127</v>
      </c>
      <c r="D31" s="29">
        <v>170</v>
      </c>
      <c r="E31" s="31">
        <f>D31*VLOOKUP(A31,Nhập入库!A:N,8,FALSE)</f>
        <v>170</v>
      </c>
      <c r="G31" s="29" t="s">
        <v>433</v>
      </c>
      <c r="H31" s="29" t="s">
        <v>431</v>
      </c>
      <c r="I31" s="154">
        <v>45949</v>
      </c>
      <c r="J31" s="133">
        <v>0.801388888888889</v>
      </c>
    </row>
    <row r="32" spans="1:10">
      <c r="A32" s="31">
        <f>VLOOKUP($C32,SKU!$A:$I,3,FALSE)</f>
        <v>10001</v>
      </c>
      <c r="B32" s="31" t="str">
        <f>VLOOKUP($C32,SKU!$A:$I,2,FALSE)</f>
        <v>《东株社》宝可梦水晶砖</v>
      </c>
      <c r="C32" s="29" t="s">
        <v>12</v>
      </c>
      <c r="D32" s="29">
        <v>5</v>
      </c>
      <c r="E32" s="31">
        <f>D32*VLOOKUP(A32,Nhập入库!A:N,8,FALSE)</f>
        <v>5</v>
      </c>
      <c r="G32" s="29" t="s">
        <v>427</v>
      </c>
      <c r="H32" s="29" t="s">
        <v>428</v>
      </c>
      <c r="I32" s="154">
        <v>45949</v>
      </c>
      <c r="J32" s="133">
        <v>0.801388888888889</v>
      </c>
    </row>
    <row r="33" spans="1:10">
      <c r="A33" s="31">
        <f>VLOOKUP($C33,SKU!$A:$I,3,FALSE)</f>
        <v>10001</v>
      </c>
      <c r="B33" s="31" t="str">
        <f>VLOOKUP($C33,SKU!$A:$I,2,FALSE)</f>
        <v>《东株社》宝可梦水晶砖</v>
      </c>
      <c r="C33" s="29" t="s">
        <v>12</v>
      </c>
      <c r="D33" s="29">
        <v>5</v>
      </c>
      <c r="E33" s="31">
        <f>D33*VLOOKUP(A33,Nhập入库!A:N,8,FALSE)</f>
        <v>5</v>
      </c>
      <c r="G33" s="29" t="s">
        <v>429</v>
      </c>
      <c r="H33" s="29" t="s">
        <v>428</v>
      </c>
      <c r="I33" s="154">
        <v>45949</v>
      </c>
      <c r="J33" s="133">
        <v>0.814583333333333</v>
      </c>
    </row>
    <row r="34" spans="1:10">
      <c r="A34" s="31">
        <f>VLOOKUP($C34,SKU!$A:$I,3,FALSE)</f>
        <v>10025</v>
      </c>
      <c r="B34" s="31" t="str">
        <f>VLOOKUP($C34,SKU!$A:$I,2,FALSE)</f>
        <v>君屹文化耽美古风收藏新纪元《言辞忆梦》撕撕乐</v>
      </c>
      <c r="C34" s="29" t="s">
        <v>127</v>
      </c>
      <c r="D34" s="29">
        <v>298</v>
      </c>
      <c r="E34" s="31">
        <f>D34*VLOOKUP(A34,Nhập入库!A:N,8,FALSE)</f>
        <v>298</v>
      </c>
      <c r="G34" s="29" t="s">
        <v>433</v>
      </c>
      <c r="H34" s="29" t="s">
        <v>431</v>
      </c>
      <c r="I34" s="154">
        <v>45949</v>
      </c>
      <c r="J34" s="133">
        <v>0.835416666666667</v>
      </c>
    </row>
    <row r="35" spans="1:10">
      <c r="A35" s="31">
        <f>VLOOKUP($C35,SKU!$A:$I,3,FALSE)</f>
        <v>10020</v>
      </c>
      <c r="B35" s="31" t="str">
        <f>VLOOKUP($C35,SKU!$A:$I,2,FALSE)</f>
        <v>集卡社小樱</v>
      </c>
      <c r="C35" s="29" t="s">
        <v>107</v>
      </c>
      <c r="D35" s="29">
        <v>10</v>
      </c>
      <c r="E35" s="31">
        <f>D35*VLOOKUP(A35,Nhập入库!A:N,8,FALSE)</f>
        <v>160</v>
      </c>
      <c r="G35" s="29" t="s">
        <v>422</v>
      </c>
      <c r="H35" s="29" t="s">
        <v>406</v>
      </c>
      <c r="I35" s="154">
        <v>45951</v>
      </c>
      <c r="J35" s="133">
        <v>0.383333333333333</v>
      </c>
    </row>
    <row r="36" spans="1:10">
      <c r="A36" s="31">
        <f>VLOOKUP($C36,SKU!$A:$I,3,FALSE)</f>
        <v>10006</v>
      </c>
      <c r="B36" s="31" t="str">
        <f>VLOOKUP($C36,SKU!$A:$I,2,FALSE)</f>
        <v>云映文化「云之境の夏」第二弹·宫崎骏珍藏卡牌</v>
      </c>
      <c r="C36" s="29" t="s">
        <v>43</v>
      </c>
      <c r="D36" s="29">
        <v>5</v>
      </c>
      <c r="E36" s="31">
        <f>D36*VLOOKUP(A36,Nhập入库!A:N,8,FALSE)</f>
        <v>65</v>
      </c>
      <c r="G36" s="29" t="s">
        <v>432</v>
      </c>
      <c r="H36" s="29" t="s">
        <v>406</v>
      </c>
      <c r="I36" s="154">
        <v>45951</v>
      </c>
      <c r="J36" s="133">
        <v>0.383333333333333</v>
      </c>
    </row>
    <row r="37" spans="1:10">
      <c r="A37" s="31">
        <f>VLOOKUP($C37,SKU!$A:$I,3,FALSE)</f>
        <v>10007</v>
      </c>
      <c r="B37" s="31" t="str">
        <f>VLOOKUP($C37,SKU!$A:$I,2,FALSE)</f>
        <v>kawaii宫崎骏梦幻之国</v>
      </c>
      <c r="C37" s="29" t="s">
        <v>49</v>
      </c>
      <c r="D37" s="29">
        <v>5</v>
      </c>
      <c r="E37" s="31">
        <f>D37*VLOOKUP(A37,Nhập入库!A:N,8,FALSE)</f>
        <v>65</v>
      </c>
      <c r="G37" s="29" t="s">
        <v>432</v>
      </c>
      <c r="H37" s="29" t="s">
        <v>406</v>
      </c>
      <c r="I37" s="154">
        <v>45951</v>
      </c>
      <c r="J37" s="133">
        <v>0.383333333333333</v>
      </c>
    </row>
    <row r="38" spans="1:10">
      <c r="A38" s="31">
        <f>VLOOKUP($C38,SKU!$A:$I,3,FALSE)</f>
        <v>10045</v>
      </c>
      <c r="B38" s="31" t="str">
        <f>VLOOKUP($C38,SKU!$A:$I,2,FALSE)</f>
        <v>名侦探柯南谜层交错</v>
      </c>
      <c r="C38" s="29" t="s">
        <v>205</v>
      </c>
      <c r="D38" s="29">
        <v>6</v>
      </c>
      <c r="E38" s="31">
        <f>D38*VLOOKUP(A38,Nhập入库!A:N,8,FALSE)</f>
        <v>6</v>
      </c>
      <c r="G38" s="29" t="s">
        <v>33</v>
      </c>
      <c r="H38" s="29" t="s">
        <v>406</v>
      </c>
      <c r="I38" s="154">
        <v>45951</v>
      </c>
      <c r="J38" s="133">
        <v>0.520833333333333</v>
      </c>
    </row>
    <row r="39" spans="1:10">
      <c r="A39" s="31">
        <f>VLOOKUP($C39,SKU!$A:$I,3,FALSE)</f>
        <v>10044</v>
      </c>
      <c r="B39" s="31" t="str">
        <f>VLOOKUP($C39,SKU!$A:$I,2,FALSE)</f>
        <v>源宇宙原神.空月の歌·周边CD票根邮票组合套装</v>
      </c>
      <c r="C39" s="34" t="s">
        <v>202</v>
      </c>
      <c r="D39" s="29">
        <v>35</v>
      </c>
      <c r="E39" s="31">
        <f>D39*VLOOKUP(A39,Nhập入库!A:N,8,FALSE)</f>
        <v>35</v>
      </c>
      <c r="G39" s="29" t="s">
        <v>426</v>
      </c>
      <c r="H39" s="29" t="s">
        <v>406</v>
      </c>
      <c r="I39" s="154">
        <v>45951</v>
      </c>
      <c r="J39" s="133">
        <v>0.413888888888889</v>
      </c>
    </row>
    <row r="40" spans="1:10">
      <c r="A40" s="31">
        <f>VLOOKUP($C40,SKU!$A:$I,3,FALSE)</f>
        <v>10041</v>
      </c>
      <c r="B40" s="31" t="str">
        <f>VLOOKUP($C40,SKU!$A:$I,2,FALSE)</f>
        <v>小熊工坊「原神」A6色纸</v>
      </c>
      <c r="C40" s="29" t="s">
        <v>192</v>
      </c>
      <c r="D40" s="29">
        <v>100</v>
      </c>
      <c r="E40" s="31">
        <f>D40*VLOOKUP(A40,Nhập入库!A:N,8,FALSE)</f>
        <v>100</v>
      </c>
      <c r="G40" s="29" t="s">
        <v>426</v>
      </c>
      <c r="H40" s="29" t="s">
        <v>406</v>
      </c>
      <c r="I40" s="154">
        <v>45951</v>
      </c>
      <c r="J40" s="133">
        <v>0.488194444444444</v>
      </c>
    </row>
    <row r="41" spans="1:10">
      <c r="A41" s="31">
        <f>VLOOKUP($C41,SKU!$A:$I,3,FALSE)</f>
        <v>10018</v>
      </c>
      <c r="B41" s="31" t="str">
        <f>VLOOKUP($C41,SKU!$A:$I,2,FALSE)</f>
        <v>圣月美少女战士星尘协奏曲长卡</v>
      </c>
      <c r="C41" s="29" t="s">
        <v>99</v>
      </c>
      <c r="D41" s="29">
        <v>5</v>
      </c>
      <c r="E41" s="31">
        <f>D41*VLOOKUP(A41,Nhập入库!A:N,8,FALSE)</f>
        <v>65</v>
      </c>
      <c r="G41" s="29" t="s">
        <v>422</v>
      </c>
      <c r="H41" s="29" t="s">
        <v>406</v>
      </c>
      <c r="I41" s="154">
        <v>45949</v>
      </c>
      <c r="J41" s="133">
        <v>0.701388888888889</v>
      </c>
    </row>
    <row r="42" spans="1:10">
      <c r="A42" s="31">
        <f>VLOOKUP($C42,SKU!$A:$I,3,FALSE)</f>
        <v>10020</v>
      </c>
      <c r="B42" s="31" t="str">
        <f>VLOOKUP($C42,SKU!$A:$I,2,FALSE)</f>
        <v>集卡社小樱</v>
      </c>
      <c r="C42" s="29" t="s">
        <v>107</v>
      </c>
      <c r="D42" s="29">
        <v>5</v>
      </c>
      <c r="E42" s="31">
        <f>D42*VLOOKUP(A42,Nhập入库!A:N,8,FALSE)</f>
        <v>80</v>
      </c>
      <c r="G42" s="29" t="s">
        <v>422</v>
      </c>
      <c r="H42" s="29" t="s">
        <v>406</v>
      </c>
      <c r="I42" s="154">
        <v>45951</v>
      </c>
      <c r="J42" s="133">
        <v>0.743055555555556</v>
      </c>
    </row>
    <row r="43" spans="1:10">
      <c r="A43" s="31">
        <f>VLOOKUP($C43,SKU!$A:$I,3,FALSE)</f>
        <v>10011</v>
      </c>
      <c r="B43" s="31" t="str">
        <f>VLOOKUP($C43,SKU!$A:$I,2,FALSE)</f>
        <v>灿卡文创宫崎骏第二弹《花涧物语》</v>
      </c>
      <c r="C43" s="29" t="s">
        <v>71</v>
      </c>
      <c r="D43" s="29">
        <v>5</v>
      </c>
      <c r="E43" s="31">
        <f>D43*VLOOKUP(A43,Nhập入库!A:N,8,FALSE)</f>
        <v>65</v>
      </c>
      <c r="G43" s="29" t="s">
        <v>427</v>
      </c>
      <c r="H43" s="29" t="s">
        <v>428</v>
      </c>
      <c r="I43" s="154">
        <v>45951</v>
      </c>
      <c r="J43" s="133">
        <v>0.830555555555556</v>
      </c>
    </row>
    <row r="44" spans="1:10">
      <c r="A44" s="31">
        <f>VLOOKUP($C44,SKU!$A:$I,3,FALSE)</f>
        <v>10004</v>
      </c>
      <c r="B44" s="31" t="str">
        <f>VLOOKUP($C44,SKU!$A:$I,2,FALSE)</f>
        <v>初见花海咒术回战第一弹</v>
      </c>
      <c r="C44" s="29" t="s">
        <v>30</v>
      </c>
      <c r="D44" s="29">
        <v>10</v>
      </c>
      <c r="E44" s="31">
        <f>D44*VLOOKUP(A44,Nhập入库!A:N,8,FALSE)</f>
        <v>10</v>
      </c>
      <c r="G44" s="29" t="s">
        <v>429</v>
      </c>
      <c r="H44" s="29" t="s">
        <v>428</v>
      </c>
      <c r="I44" s="154">
        <v>45951</v>
      </c>
      <c r="J44" s="133">
        <v>0.832638888888889</v>
      </c>
    </row>
    <row r="45" spans="1:10">
      <c r="A45" s="31">
        <f>VLOOKUP($C45,SKU!$A:$I,3,FALSE)</f>
        <v>10006</v>
      </c>
      <c r="B45" s="31" t="str">
        <f>VLOOKUP($C45,SKU!$A:$I,2,FALSE)</f>
        <v>云映文化「云之境の夏」第二弹·宫崎骏珍藏卡牌</v>
      </c>
      <c r="C45" s="29" t="s">
        <v>43</v>
      </c>
      <c r="D45" s="29">
        <v>6</v>
      </c>
      <c r="E45" s="31">
        <f>D45*VLOOKUP(A45,Nhập入库!A:N,8,FALSE)</f>
        <v>78</v>
      </c>
      <c r="G45" s="29" t="s">
        <v>69</v>
      </c>
      <c r="H45" s="29" t="s">
        <v>408</v>
      </c>
      <c r="I45" s="154">
        <v>45946</v>
      </c>
      <c r="J45" s="133">
        <v>0.752777777777778</v>
      </c>
    </row>
    <row r="46" spans="1:10">
      <c r="A46" s="31">
        <f>VLOOKUP($C46,SKU!$A:$I,3,FALSE)</f>
        <v>10006</v>
      </c>
      <c r="B46" s="31" t="str">
        <f>VLOOKUP($C46,SKU!$A:$I,2,FALSE)</f>
        <v>云映文化「云之境の夏」第二弹·宫崎骏珍藏卡牌</v>
      </c>
      <c r="C46" s="29" t="s">
        <v>43</v>
      </c>
      <c r="D46" s="29">
        <v>5</v>
      </c>
      <c r="E46" s="31">
        <f>D46*VLOOKUP(A46,Nhập入库!A:N,8,FALSE)</f>
        <v>65</v>
      </c>
      <c r="G46" s="29" t="s">
        <v>69</v>
      </c>
      <c r="H46" s="29" t="s">
        <v>408</v>
      </c>
      <c r="I46" s="154">
        <v>45946</v>
      </c>
      <c r="J46" s="133">
        <v>0.890277777777778</v>
      </c>
    </row>
    <row r="47" spans="1:10">
      <c r="A47" s="31">
        <f>VLOOKUP($C47,SKU!$A:$I,3,FALSE)</f>
        <v>10014</v>
      </c>
      <c r="B47" s="31" t="str">
        <f>VLOOKUP($C47,SKU!$A:$I,2,FALSE)</f>
        <v>星梦文创-Studio Ghibli宫崎骏撕撕乐系列 </v>
      </c>
      <c r="C47" s="29" t="s">
        <v>83</v>
      </c>
      <c r="D47" s="29">
        <v>30</v>
      </c>
      <c r="E47" s="31">
        <f>D47*VLOOKUP(A47,Nhập入库!A:N,8,FALSE)</f>
        <v>90</v>
      </c>
      <c r="G47" s="29" t="s">
        <v>69</v>
      </c>
      <c r="H47" s="29" t="s">
        <v>408</v>
      </c>
      <c r="I47" s="154">
        <v>45946</v>
      </c>
      <c r="J47" s="133">
        <v>0.752777777777778</v>
      </c>
    </row>
    <row r="48" spans="1:10">
      <c r="A48" s="31">
        <f>VLOOKUP($C48,SKU!$A:$I,3,FALSE)</f>
        <v>10005</v>
      </c>
      <c r="B48" s="31" t="str">
        <f>VLOOKUP($C48,SKU!$A:$I,2,FALSE)</f>
        <v>椿柚文创宫崎骏 被风吹散的秘密邮票第一弹</v>
      </c>
      <c r="C48" s="29" t="s">
        <v>36</v>
      </c>
      <c r="D48" s="29">
        <v>20</v>
      </c>
      <c r="E48" s="31">
        <f>D48*VLOOKUP(A48,Nhập入库!A:N,8,FALSE)</f>
        <v>20</v>
      </c>
      <c r="G48" s="29" t="s">
        <v>69</v>
      </c>
      <c r="H48" s="29" t="s">
        <v>408</v>
      </c>
      <c r="I48" s="154">
        <v>45947</v>
      </c>
      <c r="J48" s="133">
        <v>0.795833333333333</v>
      </c>
    </row>
    <row r="49" spans="1:11">
      <c r="A49" s="31">
        <f>VLOOKUP($C49,SKU!$A:$I,3,FALSE)</f>
        <v>10039</v>
      </c>
      <c r="B49" s="31" t="str">
        <f>VLOOKUP($C49,SKU!$A:$I,2,FALSE)</f>
        <v>非凡航海王第五弹</v>
      </c>
      <c r="C49" s="29" t="s">
        <v>184</v>
      </c>
      <c r="D49" s="29">
        <f>48*3</f>
        <v>144</v>
      </c>
      <c r="E49" s="31">
        <f>D49*VLOOKUP(A49,Nhập入库!A:N,8,FALSE)</f>
        <v>2880</v>
      </c>
      <c r="G49" s="29" t="s">
        <v>69</v>
      </c>
      <c r="H49" s="29" t="s">
        <v>408</v>
      </c>
      <c r="I49" s="154">
        <v>45949</v>
      </c>
      <c r="J49" s="133">
        <v>0.888888888888889</v>
      </c>
    </row>
    <row r="50" spans="1:11">
      <c r="A50" s="31">
        <f>VLOOKUP($C50,SKU!$A:$I,3,FALSE)</f>
        <v>10023</v>
      </c>
      <c r="B50" s="31" t="str">
        <f>VLOOKUP($C50,SKU!$A:$I,2,FALSE)</f>
        <v>风信文创尘世相逢之约星光来信原神邮票第一弹</v>
      </c>
      <c r="C50" s="29" t="s">
        <v>119</v>
      </c>
      <c r="D50" s="29">
        <v>20</v>
      </c>
      <c r="E50" s="31">
        <f>D50*VLOOKUP(A50,Nhập入库!A:N,8,FALSE)</f>
        <v>20</v>
      </c>
      <c r="G50" s="29" t="s">
        <v>69</v>
      </c>
      <c r="H50" s="29" t="s">
        <v>434</v>
      </c>
      <c r="I50" s="154">
        <v>45951</v>
      </c>
      <c r="J50" s="133">
        <v>0.842361111111111</v>
      </c>
    </row>
    <row r="51" spans="1:11">
      <c r="A51" s="31">
        <f>VLOOKUP($C51,SKU!$A:$I,3,FALSE)</f>
        <v>10013</v>
      </c>
      <c r="B51" s="31" t="str">
        <f>VLOOKUP($C51,SKU!$A:$I,2,FALSE)</f>
        <v>皇卡 × 鬼灭《血月之契》篇决战无限城收藏卡</v>
      </c>
      <c r="C51" s="29" t="s">
        <v>79</v>
      </c>
      <c r="D51" s="29">
        <v>5</v>
      </c>
      <c r="E51" s="31">
        <f>D51*VLOOKUP(A51,Nhập入库!A:N,8,FALSE)</f>
        <v>60</v>
      </c>
      <c r="G51" s="29" t="s">
        <v>429</v>
      </c>
      <c r="H51" s="29" t="s">
        <v>428</v>
      </c>
      <c r="I51" s="154">
        <v>45951</v>
      </c>
      <c r="J51" s="133">
        <v>0.879166666666667</v>
      </c>
    </row>
    <row r="52" spans="1:11">
      <c r="A52" s="31">
        <f>VLOOKUP($C52,SKU!$A:$I,3,FALSE)</f>
        <v>10013</v>
      </c>
      <c r="B52" s="31" t="str">
        <f>VLOOKUP($C52,SKU!$A:$I,2,FALSE)</f>
        <v>皇卡 × 鬼灭《血月之契》篇决战无限城收藏卡</v>
      </c>
      <c r="C52" s="29" t="s">
        <v>79</v>
      </c>
      <c r="D52" s="29">
        <v>5</v>
      </c>
      <c r="E52" s="31">
        <f>D52*VLOOKUP(A52,Nhập入库!A:N,8,FALSE)</f>
        <v>60</v>
      </c>
      <c r="G52" s="29" t="s">
        <v>429</v>
      </c>
      <c r="H52" s="29" t="s">
        <v>428</v>
      </c>
      <c r="I52" s="154">
        <v>45951</v>
      </c>
      <c r="J52" s="133">
        <v>0.9</v>
      </c>
    </row>
    <row r="53" spans="1:11">
      <c r="A53" s="31">
        <f>VLOOKUP($C53,SKU!$A:$I,3,FALSE)</f>
        <v>10023</v>
      </c>
      <c r="B53" s="31" t="str">
        <f>VLOOKUP($C53,SKU!$A:$I,2,FALSE)</f>
        <v>风信文创尘世相逢之约星光来信原神邮票第一弹</v>
      </c>
      <c r="C53" s="29" t="s">
        <v>119</v>
      </c>
      <c r="D53" s="29">
        <v>40</v>
      </c>
      <c r="E53" s="31">
        <f>D53*VLOOKUP(A53,Nhập入库!A:N,8,FALSE)</f>
        <v>40</v>
      </c>
      <c r="G53" s="34" t="s">
        <v>426</v>
      </c>
      <c r="H53" s="34" t="s">
        <v>406</v>
      </c>
      <c r="I53" s="141" t="s">
        <v>435</v>
      </c>
      <c r="J53" s="133">
        <v>0.390277777777778</v>
      </c>
    </row>
    <row r="54" spans="1:11">
      <c r="A54" s="31">
        <f>VLOOKUP($C54,SKU!$A:$I,3,FALSE)</f>
        <v>10017</v>
      </c>
      <c r="B54" s="31" t="str">
        <f>VLOOKUP($C54,SKU!$A:$I,2,FALSE)</f>
        <v>梦境-美少女战士第一弹</v>
      </c>
      <c r="C54" s="29" t="s">
        <v>95</v>
      </c>
      <c r="D54" s="29">
        <v>5</v>
      </c>
      <c r="E54" s="31">
        <f>D54*VLOOKUP(A54,Nhập入库!A:N,8,FALSE)</f>
        <v>65</v>
      </c>
      <c r="G54" s="29" t="s">
        <v>422</v>
      </c>
      <c r="H54" s="29" t="s">
        <v>406</v>
      </c>
      <c r="I54" s="141" t="s">
        <v>421</v>
      </c>
      <c r="J54" s="133">
        <v>0.688888888888889</v>
      </c>
    </row>
    <row r="55" spans="1:11">
      <c r="A55" s="31">
        <f>VLOOKUP($C55,SKU!$A:$I,3,FALSE)</f>
        <v>10017</v>
      </c>
      <c r="B55" s="31" t="str">
        <f>VLOOKUP($C55,SKU!$A:$I,2,FALSE)</f>
        <v>梦境-美少女战士第一弹</v>
      </c>
      <c r="C55" s="29" t="s">
        <v>95</v>
      </c>
      <c r="D55" s="29">
        <v>5</v>
      </c>
      <c r="E55" s="31">
        <f>D55*VLOOKUP(A55,Nhập入库!A:N,8,FALSE)</f>
        <v>65</v>
      </c>
      <c r="G55" s="29" t="s">
        <v>422</v>
      </c>
      <c r="H55" s="29" t="s">
        <v>406</v>
      </c>
      <c r="I55" s="154">
        <v>45947</v>
      </c>
      <c r="J55" s="133">
        <v>0.438888888888889</v>
      </c>
    </row>
    <row r="56" spans="1:11">
      <c r="A56" s="31">
        <f>VLOOKUP($C56,SKU!$A:$I,3,FALSE)</f>
        <v>10035</v>
      </c>
      <c r="B56" s="31" t="str">
        <f>VLOOKUP($C56,SKU!$A:$I,2,FALSE)</f>
        <v>KK CARD × 新海诚系列第一弹</v>
      </c>
      <c r="C56" s="29" t="s">
        <v>167</v>
      </c>
      <c r="D56" s="29">
        <v>5</v>
      </c>
      <c r="E56" s="31">
        <f>D56*VLOOKUP(A56,Nhập入库!A:N,8,FALSE)</f>
        <v>70</v>
      </c>
      <c r="G56" s="34" t="s">
        <v>422</v>
      </c>
      <c r="H56" s="29" t="s">
        <v>406</v>
      </c>
      <c r="I56" s="154">
        <v>45947</v>
      </c>
      <c r="J56" s="155">
        <v>0.855555555555556</v>
      </c>
    </row>
    <row r="57" customFormat="1" spans="1:11">
      <c r="A57" s="31">
        <f>VLOOKUP($C57,SKU!$A:$I,3,FALSE)</f>
        <v>10026</v>
      </c>
      <c r="B57" s="31" t="str">
        <f>VLOOKUP($C57,SKU!$A:$I,2,FALSE)</f>
        <v>星恋文创·恋与深空《晦明交错之间》亚克力相框卡</v>
      </c>
      <c r="C57" s="29" t="s">
        <v>131</v>
      </c>
      <c r="D57" s="29">
        <v>100</v>
      </c>
      <c r="E57" s="31">
        <f>D57*VLOOKUP(A57,Nhập入库!A:N,8,FALSE)</f>
        <v>100</v>
      </c>
      <c r="F57" s="29"/>
      <c r="G57" s="29" t="s">
        <v>432</v>
      </c>
      <c r="H57" s="29" t="s">
        <v>406</v>
      </c>
      <c r="I57" s="154">
        <v>45947</v>
      </c>
      <c r="J57" s="155">
        <v>0.897222222222222</v>
      </c>
      <c r="K57" s="1"/>
    </row>
    <row r="58" spans="1:11">
      <c r="A58" s="31">
        <f>VLOOKUP($C58,SKU!$A:$I,3,FALSE)</f>
        <v>10011</v>
      </c>
      <c r="B58" s="31" t="str">
        <f>VLOOKUP($C58,SKU!$A:$I,2,FALSE)</f>
        <v>灿卡文创宫崎骏第二弹《花涧物语》</v>
      </c>
      <c r="C58" s="29" t="s">
        <v>71</v>
      </c>
      <c r="D58" s="29">
        <v>15</v>
      </c>
      <c r="E58" s="31">
        <f>D58*VLOOKUP(A58,Nhập入库!A:N,8,FALSE)</f>
        <v>195</v>
      </c>
      <c r="G58" s="29" t="s">
        <v>433</v>
      </c>
      <c r="H58" s="29" t="s">
        <v>431</v>
      </c>
      <c r="I58" s="141" t="s">
        <v>421</v>
      </c>
      <c r="J58" s="155">
        <v>0.831944444444444</v>
      </c>
    </row>
    <row r="59" spans="1:11">
      <c r="A59" s="31">
        <f>VLOOKUP($C59,SKU!$A:$I,3,FALSE)</f>
        <v>10044</v>
      </c>
      <c r="B59" s="31" t="str">
        <f>VLOOKUP($C59,SKU!$A:$I,2,FALSE)</f>
        <v>源宇宙原神.空月の歌·周边CD票根邮票组合套装</v>
      </c>
      <c r="C59" s="34" t="s">
        <v>202</v>
      </c>
      <c r="D59" s="29">
        <v>20</v>
      </c>
      <c r="E59" s="31">
        <f>D59*VLOOKUP(A59,Nhập入库!A:N,8,FALSE)</f>
        <v>20</v>
      </c>
      <c r="G59" s="34" t="s">
        <v>426</v>
      </c>
      <c r="H59" s="34" t="s">
        <v>406</v>
      </c>
      <c r="I59" s="141" t="s">
        <v>435</v>
      </c>
      <c r="J59" s="155">
        <v>0.547222222222222</v>
      </c>
    </row>
    <row r="60" spans="1:11">
      <c r="A60" s="31">
        <f>VLOOKUP($C60,SKU!$A:$I,3,FALSE)</f>
        <v>10011</v>
      </c>
      <c r="B60" s="31" t="str">
        <f>VLOOKUP($C60,SKU!$A:$I,2,FALSE)</f>
        <v>灿卡文创宫崎骏第二弹《花涧物语》</v>
      </c>
      <c r="C60" s="34" t="s">
        <v>71</v>
      </c>
      <c r="D60" s="29">
        <v>5</v>
      </c>
      <c r="E60" s="31">
        <f>D60*VLOOKUP(A60,Nhập入库!A:N,8,FALSE)</f>
        <v>65</v>
      </c>
      <c r="G60" s="34" t="s">
        <v>432</v>
      </c>
      <c r="H60" s="34" t="s">
        <v>406</v>
      </c>
      <c r="I60" s="156" t="s">
        <v>435</v>
      </c>
      <c r="J60" s="155">
        <v>0.476388888888889</v>
      </c>
    </row>
    <row r="61" spans="1:11">
      <c r="A61" s="31">
        <f>VLOOKUP($C61,SKU!$A:$I,3,FALSE)</f>
        <v>10031</v>
      </c>
      <c r="B61" s="31" t="str">
        <f>VLOOKUP($C61,SKU!$A:$I,2,FALSE)</f>
        <v>胜卡文创x魔道祖师云深不忘邮票评级卡砖</v>
      </c>
      <c r="C61" s="34" t="s">
        <v>151</v>
      </c>
      <c r="D61" s="29">
        <v>5</v>
      </c>
      <c r="E61" s="31">
        <f>D61*VLOOKUP(A61,Nhập入库!A:N,8,FALSE)</f>
        <v>50</v>
      </c>
      <c r="G61" s="34" t="s">
        <v>422</v>
      </c>
      <c r="H61" s="34" t="s">
        <v>406</v>
      </c>
      <c r="I61" s="156" t="s">
        <v>435</v>
      </c>
      <c r="J61" s="155">
        <v>0.481944444444444</v>
      </c>
    </row>
    <row r="62" spans="1:11">
      <c r="A62" s="31">
        <f>VLOOKUP($C62,SKU!$A:$I,3,FALSE)</f>
        <v>10031</v>
      </c>
      <c r="B62" s="31" t="str">
        <f>VLOOKUP($C62,SKU!$A:$I,2,FALSE)</f>
        <v>胜卡文创x魔道祖师云深不忘邮票评级卡砖</v>
      </c>
      <c r="C62" s="34" t="s">
        <v>151</v>
      </c>
      <c r="D62" s="29">
        <v>2</v>
      </c>
      <c r="E62" s="31">
        <f>D62*VLOOKUP(A62,Nhập入库!A:N,8,FALSE)</f>
        <v>20</v>
      </c>
      <c r="G62" s="34" t="s">
        <v>422</v>
      </c>
      <c r="H62" s="34" t="s">
        <v>406</v>
      </c>
      <c r="I62" s="156" t="s">
        <v>435</v>
      </c>
      <c r="J62" s="155">
        <v>0.565277777777778</v>
      </c>
    </row>
    <row r="63" spans="1:11">
      <c r="A63" s="31">
        <f>VLOOKUP($C63,SKU!$A:$I,3,FALSE)</f>
        <v>10031</v>
      </c>
      <c r="B63" s="31" t="str">
        <f>VLOOKUP($C63,SKU!$A:$I,2,FALSE)</f>
        <v>胜卡文创x魔道祖师云深不忘邮票评级卡砖</v>
      </c>
      <c r="C63" s="34" t="s">
        <v>151</v>
      </c>
      <c r="D63" s="29">
        <v>12</v>
      </c>
      <c r="E63" s="31">
        <f>D63*VLOOKUP(A63,Nhập入库!A:N,8,FALSE)</f>
        <v>120</v>
      </c>
      <c r="G63" s="34" t="s">
        <v>422</v>
      </c>
      <c r="H63" s="34" t="s">
        <v>406</v>
      </c>
      <c r="I63" s="156" t="s">
        <v>435</v>
      </c>
      <c r="J63" s="155">
        <v>0.601388888888889</v>
      </c>
    </row>
    <row r="64" spans="1:11">
      <c r="A64" s="31">
        <f>VLOOKUP($C64,SKU!$A:$I,3,FALSE)</f>
        <v>10006</v>
      </c>
      <c r="B64" s="31" t="str">
        <f>VLOOKUP($C64,SKU!$A:$I,2,FALSE)</f>
        <v>云映文化「云之境の夏」第二弹·宫崎骏珍藏卡牌</v>
      </c>
      <c r="C64" s="29" t="s">
        <v>43</v>
      </c>
      <c r="D64" s="29">
        <v>5</v>
      </c>
      <c r="E64" s="31">
        <f>D64*VLOOKUP(A64,Nhập入库!A:N,8,FALSE)</f>
        <v>65</v>
      </c>
      <c r="G64" s="29" t="s">
        <v>425</v>
      </c>
      <c r="H64" s="29" t="s">
        <v>424</v>
      </c>
      <c r="I64" s="156" t="s">
        <v>435</v>
      </c>
      <c r="J64" s="133">
        <v>0.579861111111111</v>
      </c>
    </row>
    <row r="65" spans="1:10">
      <c r="A65" s="31">
        <f>VLOOKUP($C65,SKU!$A:$I,3,FALSE)</f>
        <v>10007</v>
      </c>
      <c r="B65" s="31" t="str">
        <f>VLOOKUP($C65,SKU!$A:$I,2,FALSE)</f>
        <v>kawaii宫崎骏梦幻之国</v>
      </c>
      <c r="C65" s="29" t="s">
        <v>49</v>
      </c>
      <c r="D65" s="29">
        <v>10</v>
      </c>
      <c r="E65" s="31">
        <f>D65*VLOOKUP(A65,Nhập入库!A:N,8,FALSE)</f>
        <v>130</v>
      </c>
      <c r="G65" s="29" t="s">
        <v>33</v>
      </c>
      <c r="H65" s="29" t="s">
        <v>424</v>
      </c>
      <c r="I65" s="156" t="s">
        <v>435</v>
      </c>
      <c r="J65" s="133">
        <v>0.601388888888889</v>
      </c>
    </row>
    <row r="66" spans="1:10">
      <c r="A66" s="31">
        <f>VLOOKUP($C66,SKU!$A:$I,3,FALSE)</f>
        <v>10017</v>
      </c>
      <c r="B66" s="31" t="str">
        <f>VLOOKUP($C66,SKU!$A:$I,2,FALSE)</f>
        <v>梦境-美少女战士第一弹</v>
      </c>
      <c r="C66" s="29" t="s">
        <v>95</v>
      </c>
      <c r="D66" s="29">
        <v>5</v>
      </c>
      <c r="E66" s="31">
        <f>D66*VLOOKUP(A66,Nhập入库!A:N,8,FALSE)</f>
        <v>65</v>
      </c>
      <c r="G66" s="29" t="s">
        <v>430</v>
      </c>
      <c r="H66" s="29" t="s">
        <v>431</v>
      </c>
      <c r="I66" s="154">
        <v>45949</v>
      </c>
      <c r="J66" s="133">
        <v>0.91875</v>
      </c>
    </row>
    <row r="67" spans="1:10">
      <c r="A67" s="31">
        <f>VLOOKUP($C67,SKU!$A:$I,3,FALSE)</f>
        <v>10012</v>
      </c>
      <c r="B67" s="31" t="str">
        <f>VLOOKUP($C67,SKU!$A:$I,2,FALSE)</f>
        <v>卡文化进击的巨人</v>
      </c>
      <c r="C67" s="29" t="s">
        <v>75</v>
      </c>
      <c r="D67" s="29">
        <v>5</v>
      </c>
      <c r="E67" s="31">
        <f>D67*VLOOKUP(A67,Nhập入库!A:N,8,FALSE)</f>
        <v>150</v>
      </c>
      <c r="G67" s="29" t="s">
        <v>429</v>
      </c>
      <c r="H67" s="29" t="s">
        <v>428</v>
      </c>
      <c r="I67" s="141" t="s">
        <v>435</v>
      </c>
      <c r="J67" s="133">
        <v>0.814583333333333</v>
      </c>
    </row>
    <row r="68" spans="1:10">
      <c r="A68" s="31">
        <f>VLOOKUP($C68,SKU!$A:$I,3,FALSE)</f>
        <v>10003</v>
      </c>
      <c r="B68" s="31" t="str">
        <f>VLOOKUP($C68,SKU!$A:$I,2,FALSE)</f>
        <v>DUO米全新出品鬼灭之刃-柱合会议篇第二弹</v>
      </c>
      <c r="C68" s="29" t="s">
        <v>24</v>
      </c>
      <c r="D68" s="29">
        <v>5</v>
      </c>
      <c r="E68" s="31">
        <f>D68*VLOOKUP(A68,Nhập入库!A:N,8,FALSE)</f>
        <v>65</v>
      </c>
      <c r="G68" s="29" t="s">
        <v>429</v>
      </c>
      <c r="H68" s="29" t="s">
        <v>428</v>
      </c>
      <c r="I68" s="141" t="s">
        <v>435</v>
      </c>
      <c r="J68" s="133">
        <v>0.815972222222222</v>
      </c>
    </row>
    <row r="69" spans="1:10">
      <c r="A69" s="31">
        <f>VLOOKUP($C69,SKU!$A:$I,3,FALSE)</f>
        <v>10006</v>
      </c>
      <c r="B69" s="31" t="str">
        <f>VLOOKUP($C69,SKU!$A:$I,2,FALSE)</f>
        <v>云映文化「云之境の夏」第二弹·宫崎骏珍藏卡牌</v>
      </c>
      <c r="C69" s="29" t="s">
        <v>43</v>
      </c>
      <c r="D69" s="29">
        <v>5</v>
      </c>
      <c r="E69" s="31">
        <f>D69*VLOOKUP(A69,Nhập入库!A:N,8,FALSE)</f>
        <v>65</v>
      </c>
      <c r="G69" s="29" t="s">
        <v>427</v>
      </c>
      <c r="H69" s="29" t="s">
        <v>428</v>
      </c>
      <c r="I69" s="141" t="s">
        <v>435</v>
      </c>
      <c r="J69" s="133">
        <v>0.961805555555556</v>
      </c>
    </row>
    <row r="70" spans="1:10">
      <c r="A70" s="31">
        <f>VLOOKUP($C70,SKU!$A:$I,3,FALSE)</f>
        <v>10006</v>
      </c>
      <c r="B70" s="31" t="str">
        <f>VLOOKUP($C70,SKU!$A:$I,2,FALSE)</f>
        <v>云映文化「云之境の夏」第二弹·宫崎骏珍藏卡牌</v>
      </c>
      <c r="C70" s="29" t="s">
        <v>43</v>
      </c>
      <c r="D70" s="29">
        <v>5</v>
      </c>
      <c r="E70" s="31">
        <f>D70*VLOOKUP(A70,Nhập入库!A:N,8,FALSE)</f>
        <v>65</v>
      </c>
      <c r="G70" s="29" t="s">
        <v>430</v>
      </c>
      <c r="H70" s="29" t="s">
        <v>431</v>
      </c>
      <c r="I70" s="141" t="s">
        <v>435</v>
      </c>
      <c r="J70" s="133">
        <v>0.975694444444444</v>
      </c>
    </row>
    <row r="71" spans="1:10">
      <c r="A71" s="31">
        <f>VLOOKUP($C71,SKU!$A:$I,3,FALSE)</f>
        <v>10025</v>
      </c>
      <c r="B71" s="31" t="str">
        <f>VLOOKUP($C71,SKU!$A:$I,2,FALSE)</f>
        <v>君屹文化耽美古风收藏新纪元《言辞忆梦》撕撕乐</v>
      </c>
      <c r="C71" s="34" t="s">
        <v>127</v>
      </c>
      <c r="D71" s="29">
        <v>150</v>
      </c>
      <c r="E71" s="31">
        <f>D71*VLOOKUP(A71,Nhập入库!A:N,8,FALSE)</f>
        <v>150</v>
      </c>
      <c r="G71" s="34" t="s">
        <v>422</v>
      </c>
      <c r="H71" s="34" t="s">
        <v>406</v>
      </c>
      <c r="I71" s="141" t="s">
        <v>436</v>
      </c>
      <c r="J71" s="133">
        <v>0.370138888888889</v>
      </c>
    </row>
    <row r="72" spans="1:10">
      <c r="A72" s="31">
        <f>VLOOKUP($C72,SKU!$A:$I,3,FALSE)</f>
        <v>10045</v>
      </c>
      <c r="B72" s="31" t="str">
        <f>VLOOKUP($C72,SKU!$A:$I,2,FALSE)</f>
        <v>名侦探柯南谜层交错</v>
      </c>
      <c r="C72" s="34" t="s">
        <v>205</v>
      </c>
      <c r="D72" s="29">
        <v>20</v>
      </c>
      <c r="E72" s="31">
        <f>D72*VLOOKUP(A72,Nhập入库!A:N,8,FALSE)</f>
        <v>20</v>
      </c>
      <c r="G72" s="34" t="s">
        <v>426</v>
      </c>
      <c r="H72" s="34" t="s">
        <v>406</v>
      </c>
      <c r="I72" s="141" t="s">
        <v>436</v>
      </c>
      <c r="J72" s="133">
        <v>0.370138888888889</v>
      </c>
    </row>
    <row r="73" spans="1:10">
      <c r="A73" s="31">
        <f>VLOOKUP($C73,SKU!$A:$I,3,FALSE)</f>
        <v>10039</v>
      </c>
      <c r="B73" s="31" t="str">
        <f>VLOOKUP($C73,SKU!$A:$I,2,FALSE)</f>
        <v>非凡航海王第五弹</v>
      </c>
      <c r="C73" s="29" t="s">
        <v>184</v>
      </c>
      <c r="D73" s="29">
        <v>5</v>
      </c>
      <c r="E73" s="31">
        <f>D73*VLOOKUP(A73,Nhập入库!A:N,8,FALSE)</f>
        <v>100</v>
      </c>
      <c r="G73" s="29" t="s">
        <v>33</v>
      </c>
      <c r="H73" s="29" t="s">
        <v>424</v>
      </c>
      <c r="I73" s="141" t="s">
        <v>436</v>
      </c>
      <c r="J73" s="133">
        <v>0.377083333333333</v>
      </c>
    </row>
    <row r="74" spans="1:10">
      <c r="A74" s="31">
        <f>VLOOKUP($C74,SKU!$A:$I,3,FALSE)</f>
        <v>10045</v>
      </c>
      <c r="B74" s="31" t="str">
        <f>VLOOKUP($C74,SKU!$A:$I,2,FALSE)</f>
        <v>名侦探柯南谜层交错</v>
      </c>
      <c r="C74" s="34" t="s">
        <v>205</v>
      </c>
      <c r="D74" s="29">
        <v>20</v>
      </c>
      <c r="E74" s="31">
        <f>D74*VLOOKUP(A74,Nhập入库!A:N,8,FALSE)</f>
        <v>20</v>
      </c>
      <c r="G74" s="34" t="s">
        <v>426</v>
      </c>
      <c r="H74" s="34" t="s">
        <v>406</v>
      </c>
      <c r="I74" s="141" t="s">
        <v>436</v>
      </c>
      <c r="J74" s="133">
        <v>0.400694444444444</v>
      </c>
    </row>
    <row r="75" spans="1:10">
      <c r="A75" s="31">
        <f>VLOOKUP($C75,SKU!$A:$I,3,FALSE)</f>
        <v>10016</v>
      </c>
      <c r="B75" s="31" t="str">
        <f>VLOOKUP($C75,SKU!$A:$I,2,FALSE)</f>
        <v>思梨普文创《hey!国王陛下》集换式艺术家典藏卡</v>
      </c>
      <c r="C75" s="34" t="s">
        <v>91</v>
      </c>
      <c r="D75" s="29">
        <v>5</v>
      </c>
      <c r="E75" s="31">
        <f>D75*VLOOKUP(A75,Nhập入库!A:N,8,FALSE)</f>
        <v>50</v>
      </c>
      <c r="G75" s="34" t="s">
        <v>422</v>
      </c>
      <c r="H75" s="34" t="s">
        <v>406</v>
      </c>
      <c r="I75" s="141" t="s">
        <v>436</v>
      </c>
      <c r="J75" s="133"/>
    </row>
    <row r="76" spans="1:10">
      <c r="A76" s="31">
        <f>VLOOKUP($C76,SKU!$A:$I,3,FALSE)</f>
        <v>10003</v>
      </c>
      <c r="B76" s="31" t="str">
        <f>VLOOKUP($C76,SKU!$A:$I,2,FALSE)</f>
        <v>DUO米全新出品鬼灭之刃-柱合会议篇第二弹</v>
      </c>
      <c r="C76" s="29" t="s">
        <v>24</v>
      </c>
      <c r="D76" s="29">
        <v>5</v>
      </c>
      <c r="E76" s="31">
        <f>D76*VLOOKUP(A76,Nhập入库!A:N,8,FALSE)</f>
        <v>65</v>
      </c>
      <c r="G76" s="29" t="s">
        <v>33</v>
      </c>
      <c r="H76" s="29" t="s">
        <v>424</v>
      </c>
      <c r="I76" s="141" t="s">
        <v>436</v>
      </c>
      <c r="J76" s="133">
        <v>0.438194444444444</v>
      </c>
    </row>
    <row r="77" spans="1:10">
      <c r="A77" s="31">
        <f>VLOOKUP($C77,SKU!$A:$I,3,FALSE)</f>
        <v>10003</v>
      </c>
      <c r="B77" s="31" t="str">
        <f>VLOOKUP($C77,SKU!$A:$I,2,FALSE)</f>
        <v>DUO米全新出品鬼灭之刃-柱合会议篇第二弹</v>
      </c>
      <c r="C77" s="29" t="s">
        <v>24</v>
      </c>
      <c r="D77" s="29">
        <v>5</v>
      </c>
      <c r="E77" s="31">
        <f>D77*VLOOKUP(A77,Nhập入库!A:N,8,FALSE)</f>
        <v>65</v>
      </c>
      <c r="G77" s="29" t="s">
        <v>425</v>
      </c>
      <c r="H77" s="29" t="s">
        <v>424</v>
      </c>
      <c r="I77" s="141" t="s">
        <v>436</v>
      </c>
      <c r="J77" s="133">
        <v>0.459027777777778</v>
      </c>
    </row>
    <row r="78" spans="1:10">
      <c r="A78" s="31">
        <f>VLOOKUP($C78,SKU!$A:$I,3,FALSE)</f>
        <v>10021</v>
      </c>
      <c r="B78" s="31" t="str">
        <f>VLOOKUP($C78,SKU!$A:$I,2,FALSE)</f>
        <v>新谷动漫名侦探柯南·仲夏夜之恋邮票集</v>
      </c>
      <c r="C78" s="29" t="s">
        <v>111</v>
      </c>
      <c r="D78" s="29">
        <v>5</v>
      </c>
      <c r="E78" s="31">
        <f>D78*VLOOKUP(A78,Nhập入库!A:N,8,FALSE)</f>
        <v>25</v>
      </c>
      <c r="G78" s="29" t="s">
        <v>33</v>
      </c>
      <c r="H78" s="29" t="s">
        <v>424</v>
      </c>
      <c r="I78" s="141" t="s">
        <v>436</v>
      </c>
      <c r="J78" s="133">
        <v>0.547222222222222</v>
      </c>
    </row>
    <row r="79" spans="1:10">
      <c r="A79" s="31">
        <f>VLOOKUP($C79,SKU!$A:$I,3,FALSE)</f>
        <v>10034</v>
      </c>
      <c r="B79" s="31" t="str">
        <f>VLOOKUP($C79,SKU!$A:$I,2,FALSE)</f>
        <v>兰亭文创x墨家三宝典藏色纸砚池春深系列</v>
      </c>
      <c r="C79" s="29" t="s">
        <v>163</v>
      </c>
      <c r="D79" s="29">
        <v>40</v>
      </c>
      <c r="E79" s="31">
        <f>D79*VLOOKUP(A79,Nhập入库!A:N,8,FALSE)</f>
        <v>40</v>
      </c>
      <c r="G79" s="29" t="s">
        <v>433</v>
      </c>
      <c r="H79" s="29" t="s">
        <v>431</v>
      </c>
      <c r="I79" s="141" t="s">
        <v>436</v>
      </c>
      <c r="J79" s="133">
        <v>0.752083333333333</v>
      </c>
    </row>
    <row r="80" spans="1:10">
      <c r="A80" s="31">
        <f>VLOOKUP($C80,SKU!$A:$I,3,FALSE)</f>
        <v>10013</v>
      </c>
      <c r="B80" s="31" t="str">
        <f>VLOOKUP($C80,SKU!$A:$I,2,FALSE)</f>
        <v>皇卡 × 鬼灭《血月之契》篇决战无限城收藏卡</v>
      </c>
      <c r="C80" s="29" t="s">
        <v>79</v>
      </c>
      <c r="D80" s="29">
        <v>3</v>
      </c>
      <c r="E80" s="31">
        <f>D80*VLOOKUP(A80,Nhập入库!A:N,8,FALSE)</f>
        <v>36</v>
      </c>
      <c r="G80" s="29" t="s">
        <v>429</v>
      </c>
      <c r="H80" s="29" t="s">
        <v>428</v>
      </c>
      <c r="I80" s="141" t="s">
        <v>436</v>
      </c>
      <c r="J80" s="133">
        <v>0.783333333333333</v>
      </c>
    </row>
    <row r="81" spans="1:10">
      <c r="A81" s="31">
        <f>VLOOKUP($C81,SKU!$A:$I,3,FALSE)</f>
        <v>10021</v>
      </c>
      <c r="B81" s="31" t="str">
        <f>VLOOKUP($C81,SKU!$A:$I,2,FALSE)</f>
        <v>新谷动漫名侦探柯南·仲夏夜之恋邮票集</v>
      </c>
      <c r="C81" s="29" t="s">
        <v>111</v>
      </c>
      <c r="D81" s="29">
        <v>5</v>
      </c>
      <c r="E81" s="31">
        <f>D81*VLOOKUP(A81,Nhập入库!A:N,8,FALSE)</f>
        <v>25</v>
      </c>
      <c r="G81" s="29" t="s">
        <v>427</v>
      </c>
      <c r="H81" s="29" t="s">
        <v>428</v>
      </c>
      <c r="I81" s="141" t="s">
        <v>436</v>
      </c>
      <c r="J81" s="133">
        <v>0.955555555555556</v>
      </c>
    </row>
    <row r="82" spans="1:10">
      <c r="A82" s="31">
        <f>VLOOKUP($C82,SKU!$A:$I,3,FALSE)</f>
        <v>10033</v>
      </c>
      <c r="B82" s="31" t="str">
        <f>VLOOKUP($C82,SKU!$A:$I,2,FALSE)</f>
        <v>慕光文创「一千次心动」系列撕撕乐</v>
      </c>
      <c r="C82" s="34" t="s">
        <v>159</v>
      </c>
      <c r="D82" s="29">
        <v>20</v>
      </c>
      <c r="E82" s="31">
        <f>D82*VLOOKUP(A82,Nhập入库!A:N,8,FALSE)</f>
        <v>20</v>
      </c>
      <c r="G82" s="34" t="s">
        <v>432</v>
      </c>
      <c r="H82" s="34" t="s">
        <v>406</v>
      </c>
      <c r="I82" s="141" t="s">
        <v>437</v>
      </c>
      <c r="J82" s="133">
        <v>0.399305555555556</v>
      </c>
    </row>
    <row r="83" spans="1:10">
      <c r="A83" s="31">
        <f>VLOOKUP($C83,SKU!$A:$I,3,FALSE)</f>
        <v>10013</v>
      </c>
      <c r="B83" s="31" t="str">
        <f>VLOOKUP($C83,SKU!$A:$I,2,FALSE)</f>
        <v>皇卡 × 鬼灭《血月之契》篇决战无限城收藏卡</v>
      </c>
      <c r="C83" s="34" t="s">
        <v>79</v>
      </c>
      <c r="E83" s="31">
        <f>D83*VLOOKUP(A83,Nhập入库!A:N,8,FALSE)</f>
        <v>0</v>
      </c>
      <c r="F83" s="29">
        <v>44</v>
      </c>
      <c r="G83" s="34" t="s">
        <v>114</v>
      </c>
      <c r="H83" s="34" t="s">
        <v>423</v>
      </c>
      <c r="I83" s="141" t="s">
        <v>437</v>
      </c>
      <c r="J83" s="133">
        <v>0.399305555555556</v>
      </c>
    </row>
    <row r="84" spans="1:10">
      <c r="A84" s="31">
        <f>VLOOKUP($C84,SKU!$A:$I,3,FALSE)</f>
        <v>10003</v>
      </c>
      <c r="B84" s="31" t="str">
        <f>VLOOKUP($C84,SKU!$A:$I,2,FALSE)</f>
        <v>DUO米全新出品鬼灭之刃-柱合会议篇第二弹</v>
      </c>
      <c r="C84" s="34" t="s">
        <v>24</v>
      </c>
      <c r="D84" s="29">
        <v>5</v>
      </c>
      <c r="E84" s="31">
        <f>D84*VLOOKUP(A84,Nhập入库!A:N,8,FALSE)</f>
        <v>65</v>
      </c>
      <c r="G84" s="34" t="s">
        <v>114</v>
      </c>
      <c r="H84" s="34" t="s">
        <v>423</v>
      </c>
      <c r="I84" s="141" t="s">
        <v>437</v>
      </c>
      <c r="J84" s="133">
        <v>0.399305555555556</v>
      </c>
    </row>
    <row r="85" spans="1:10">
      <c r="A85" s="31">
        <f>VLOOKUP($C85,SKU!$A:$I,3,FALSE)</f>
        <v>10026</v>
      </c>
      <c r="B85" s="31" t="str">
        <f>VLOOKUP($C85,SKU!$A:$I,2,FALSE)</f>
        <v>星恋文创·恋与深空《晦明交错之间》亚克力相框卡</v>
      </c>
      <c r="C85" s="34" t="s">
        <v>131</v>
      </c>
      <c r="D85" s="29">
        <v>20</v>
      </c>
      <c r="E85" s="31">
        <f>D85*VLOOKUP(A85,Nhập入库!A:N,8,FALSE)</f>
        <v>20</v>
      </c>
      <c r="G85" s="34" t="s">
        <v>114</v>
      </c>
      <c r="H85" s="34" t="s">
        <v>423</v>
      </c>
      <c r="I85" s="141" t="s">
        <v>437</v>
      </c>
      <c r="J85" s="133">
        <v>0.416666666666667</v>
      </c>
    </row>
    <row r="86" spans="1:10">
      <c r="A86" s="31">
        <f>VLOOKUP($C86,SKU!$A:$I,3,FALSE)</f>
        <v>10033</v>
      </c>
      <c r="B86" s="31" t="str">
        <f>VLOOKUP($C86,SKU!$A:$I,2,FALSE)</f>
        <v>慕光文创「一千次心动」系列撕撕乐</v>
      </c>
      <c r="C86" s="29" t="s">
        <v>159</v>
      </c>
      <c r="D86" s="29">
        <v>21</v>
      </c>
      <c r="E86" s="31">
        <f>D86*VLOOKUP(A86,Nhập入库!A:N,8,FALSE)</f>
        <v>21</v>
      </c>
      <c r="G86" s="29" t="s">
        <v>432</v>
      </c>
      <c r="H86" s="29" t="s">
        <v>408</v>
      </c>
      <c r="I86" s="141" t="s">
        <v>437</v>
      </c>
      <c r="J86" s="133">
        <v>0.428472222222222</v>
      </c>
    </row>
    <row r="87" spans="1:10">
      <c r="A87" s="31">
        <f>VLOOKUP($C87,SKU!$A:$I,3,FALSE)</f>
        <v>10040</v>
      </c>
      <c r="B87" s="31" t="str">
        <f>VLOOKUP($C87,SKU!$A:$I,2,FALSE)</f>
        <v>酷卡文化-线条小狗3弹</v>
      </c>
      <c r="C87" s="29" t="s">
        <v>188</v>
      </c>
      <c r="D87" s="29">
        <v>5</v>
      </c>
      <c r="E87" s="31">
        <f>D87*VLOOKUP(A87,Nhập入库!A:N,8,FALSE)</f>
        <v>55</v>
      </c>
      <c r="G87" s="29" t="s">
        <v>69</v>
      </c>
      <c r="H87" s="29" t="s">
        <v>434</v>
      </c>
      <c r="I87" s="141" t="s">
        <v>435</v>
      </c>
      <c r="J87" s="133">
        <v>0.824305555555556</v>
      </c>
    </row>
    <row r="88" spans="1:10">
      <c r="A88" s="31">
        <f>VLOOKUP($C88,SKU!$A:$I,3,FALSE)</f>
        <v>10043</v>
      </c>
      <c r="B88" s="31" t="str">
        <f>VLOOKUP($C88,SKU!$A:$I,2,FALSE)</f>
        <v>光恋XR-披荆斩棘-美少女战士</v>
      </c>
      <c r="C88" s="34" t="s">
        <v>199</v>
      </c>
      <c r="D88" s="29">
        <v>10</v>
      </c>
      <c r="E88" s="31">
        <f>D88*VLOOKUP(A88,Nhập入库!A:N,8,FALSE)</f>
        <v>130</v>
      </c>
      <c r="G88" s="34" t="s">
        <v>422</v>
      </c>
      <c r="H88" s="34" t="s">
        <v>406</v>
      </c>
      <c r="I88" s="141" t="s">
        <v>437</v>
      </c>
      <c r="J88" s="133">
        <v>0.553472222222222</v>
      </c>
    </row>
    <row r="89" spans="1:10">
      <c r="A89" s="31">
        <f>VLOOKUP($C89,SKU!$A:$I,3,FALSE)</f>
        <v>10024</v>
      </c>
      <c r="B89" s="31" t="str">
        <f>VLOOKUP($C89,SKU!$A:$I,2,FALSE)</f>
        <v>漫影工作室-柯南-A5 大卡第一弹</v>
      </c>
      <c r="C89" s="29" t="s">
        <v>123</v>
      </c>
      <c r="D89" s="29">
        <v>10</v>
      </c>
      <c r="E89" s="31">
        <f>D89*VLOOKUP(A89,Nhập入库!A:N,8,FALSE)</f>
        <v>10</v>
      </c>
      <c r="G89" s="29" t="s">
        <v>33</v>
      </c>
      <c r="H89" s="29" t="s">
        <v>424</v>
      </c>
      <c r="I89" s="141" t="s">
        <v>437</v>
      </c>
      <c r="J89" s="133">
        <v>0.428472222222222</v>
      </c>
    </row>
    <row r="90" spans="1:10">
      <c r="A90" s="31">
        <f>VLOOKUP($C90,SKU!$A:$I,3,FALSE)</f>
        <v>10034</v>
      </c>
      <c r="B90" s="31" t="str">
        <f>VLOOKUP($C90,SKU!$A:$I,2,FALSE)</f>
        <v>兰亭文创x墨家三宝典藏色纸砚池春深系列</v>
      </c>
      <c r="C90" s="29" t="s">
        <v>163</v>
      </c>
      <c r="D90" s="29">
        <v>60</v>
      </c>
      <c r="E90" s="31">
        <f>D90*VLOOKUP(A90,Nhập入库!A:N,8,FALSE)</f>
        <v>60</v>
      </c>
      <c r="G90" s="29" t="s">
        <v>433</v>
      </c>
      <c r="H90" s="29" t="s">
        <v>431</v>
      </c>
      <c r="I90" s="141" t="s">
        <v>437</v>
      </c>
      <c r="J90" s="133">
        <v>0.818055555555556</v>
      </c>
    </row>
    <row r="91" spans="1:10">
      <c r="A91" s="31">
        <f>VLOOKUP($C91,SKU!$A:$I,3,FALSE)</f>
        <v>10007</v>
      </c>
      <c r="B91" s="31" t="str">
        <f>VLOOKUP($C91,SKU!$A:$I,2,FALSE)</f>
        <v>kawaii宫崎骏梦幻之国</v>
      </c>
      <c r="C91" s="29" t="s">
        <v>49</v>
      </c>
      <c r="D91" s="29">
        <v>5</v>
      </c>
      <c r="E91" s="31">
        <f>D91*VLOOKUP(A91,Nhập入库!A:N,8,FALSE)</f>
        <v>65</v>
      </c>
      <c r="G91" s="29" t="s">
        <v>427</v>
      </c>
      <c r="H91" s="29" t="s">
        <v>428</v>
      </c>
      <c r="I91" s="141" t="s">
        <v>437</v>
      </c>
      <c r="J91" s="133">
        <v>0.886805555555556</v>
      </c>
    </row>
    <row r="92" spans="1:10">
      <c r="A92" s="31">
        <f>VLOOKUP($C92,SKU!$A:$I,3,FALSE)</f>
        <v>10003</v>
      </c>
      <c r="B92" s="31" t="str">
        <f>VLOOKUP($C92,SKU!$A:$I,2,FALSE)</f>
        <v>DUO米全新出品鬼灭之刃-柱合会议篇第二弹</v>
      </c>
      <c r="C92" s="29" t="s">
        <v>24</v>
      </c>
      <c r="D92" s="29">
        <v>5</v>
      </c>
      <c r="E92" s="31">
        <f>D92*VLOOKUP(A92,Nhập入库!A:N,8,FALSE)</f>
        <v>65</v>
      </c>
      <c r="G92" s="29" t="s">
        <v>430</v>
      </c>
      <c r="H92" s="29" t="s">
        <v>431</v>
      </c>
      <c r="I92" s="141" t="s">
        <v>437</v>
      </c>
      <c r="J92" s="133">
        <v>0.888888888888889</v>
      </c>
    </row>
    <row r="93" spans="1:10">
      <c r="A93" s="31">
        <f>VLOOKUP($C93,SKU!$A:$I,3,FALSE)</f>
        <v>10006</v>
      </c>
      <c r="B93" s="31" t="str">
        <f>VLOOKUP($C93,SKU!$A:$I,2,FALSE)</f>
        <v>云映文化「云之境の夏」第二弹·宫崎骏珍藏卡牌</v>
      </c>
      <c r="C93" s="29" t="s">
        <v>43</v>
      </c>
      <c r="D93" s="29">
        <v>5</v>
      </c>
      <c r="E93" s="31">
        <f>D93*VLOOKUP(A93,Nhập入库!A:N,8,FALSE)</f>
        <v>65</v>
      </c>
      <c r="G93" s="29" t="s">
        <v>429</v>
      </c>
      <c r="H93" s="29" t="s">
        <v>428</v>
      </c>
      <c r="I93" s="141" t="s">
        <v>437</v>
      </c>
      <c r="J93" s="133">
        <v>0.00902777777777778</v>
      </c>
    </row>
    <row r="94" spans="1:10">
      <c r="A94" s="31">
        <f>VLOOKUP($C94,SKU!$A:$I,3,FALSE)</f>
        <v>10015</v>
      </c>
      <c r="B94" s="31" t="str">
        <f>VLOOKUP($C94,SKU!$A:$I,2,FALSE)</f>
        <v>梦绘文创-宫崎骏第二弹</v>
      </c>
      <c r="C94" s="29" t="s">
        <v>87</v>
      </c>
      <c r="D94" s="29">
        <v>5</v>
      </c>
      <c r="E94" s="31">
        <f>D94*VLOOKUP(A94,Nhập入库!A:N,8,FALSE)</f>
        <v>60</v>
      </c>
      <c r="G94" s="29" t="s">
        <v>74</v>
      </c>
      <c r="H94" s="29" t="s">
        <v>434</v>
      </c>
      <c r="I94" s="141" t="s">
        <v>438</v>
      </c>
      <c r="J94" s="133">
        <v>0.748611111111111</v>
      </c>
    </row>
    <row r="95" spans="1:10">
      <c r="A95" s="31">
        <f>VLOOKUP($C95,SKU!$A:$I,3,FALSE)</f>
        <v>10039</v>
      </c>
      <c r="B95" s="31" t="str">
        <f>VLOOKUP($C95,SKU!$A:$I,2,FALSE)</f>
        <v>非凡航海王第五弹</v>
      </c>
      <c r="C95" s="29" t="s">
        <v>184</v>
      </c>
      <c r="D95" s="29">
        <v>5</v>
      </c>
      <c r="E95" s="31">
        <f>D95*VLOOKUP(A95,Nhập入库!A:N,8,FALSE)</f>
        <v>100</v>
      </c>
      <c r="G95" s="29" t="s">
        <v>74</v>
      </c>
      <c r="H95" s="29" t="s">
        <v>434</v>
      </c>
      <c r="I95" s="141" t="s">
        <v>438</v>
      </c>
      <c r="J95" s="133">
        <v>0.748611111111111</v>
      </c>
    </row>
    <row r="96" spans="1:10">
      <c r="A96" s="31">
        <f>VLOOKUP($C96,SKU!$A:$I,3,FALSE)</f>
        <v>10017</v>
      </c>
      <c r="B96" s="31" t="str">
        <f>VLOOKUP($C96,SKU!$A:$I,2,FALSE)</f>
        <v>梦境-美少女战士第一弹</v>
      </c>
      <c r="C96" s="29" t="s">
        <v>95</v>
      </c>
      <c r="D96" s="29">
        <v>5</v>
      </c>
      <c r="E96" s="31">
        <f>D96*VLOOKUP(A96,Nhập入库!A:N,8,FALSE)</f>
        <v>65</v>
      </c>
      <c r="G96" s="29" t="s">
        <v>74</v>
      </c>
      <c r="H96" s="29" t="s">
        <v>434</v>
      </c>
      <c r="I96" s="141" t="s">
        <v>438</v>
      </c>
      <c r="J96" s="133">
        <v>0.748611111111111</v>
      </c>
    </row>
    <row r="97" spans="1:10">
      <c r="A97" s="31">
        <f>VLOOKUP($C97,SKU!$A:$I,3,FALSE)</f>
        <v>10003</v>
      </c>
      <c r="B97" s="31" t="str">
        <f>VLOOKUP($C97,SKU!$A:$I,2,FALSE)</f>
        <v>DUO米全新出品鬼灭之刃-柱合会议篇第二弹</v>
      </c>
      <c r="C97" s="29" t="s">
        <v>24</v>
      </c>
      <c r="D97" s="29">
        <v>1</v>
      </c>
      <c r="E97" s="31">
        <f>D97*VLOOKUP(A97,Nhập入库!A:N,8,FALSE)</f>
        <v>13</v>
      </c>
      <c r="G97" s="29" t="s">
        <v>429</v>
      </c>
      <c r="H97" s="29" t="s">
        <v>428</v>
      </c>
      <c r="I97" s="141" t="s">
        <v>438</v>
      </c>
      <c r="J97" s="133">
        <v>0.777777777777778</v>
      </c>
    </row>
    <row r="98" spans="1:10">
      <c r="A98" s="31">
        <f>VLOOKUP($C98,SKU!$A:$I,3,FALSE)</f>
        <v>10035</v>
      </c>
      <c r="B98" s="31" t="str">
        <f>VLOOKUP($C98,SKU!$A:$I,2,FALSE)</f>
        <v>KK CARD × 新海诚系列第一弹</v>
      </c>
      <c r="C98" s="29" t="s">
        <v>167</v>
      </c>
      <c r="D98" s="29">
        <v>5</v>
      </c>
      <c r="E98" s="31">
        <f>D98*VLOOKUP(A98,Nhập入库!A:N,8,FALSE)</f>
        <v>70</v>
      </c>
      <c r="G98" s="29" t="s">
        <v>429</v>
      </c>
      <c r="H98" s="29" t="s">
        <v>428</v>
      </c>
      <c r="I98" s="141" t="s">
        <v>438</v>
      </c>
      <c r="J98" s="133">
        <v>0.838888888888889</v>
      </c>
    </row>
    <row r="99" spans="1:10">
      <c r="A99" s="31">
        <f>VLOOKUP($C99,SKU!$A:$I,3,FALSE)</f>
        <v>10034</v>
      </c>
      <c r="B99" s="31" t="str">
        <f>VLOOKUP($C99,SKU!$A:$I,2,FALSE)</f>
        <v>兰亭文创x墨家三宝典藏色纸砚池春深系列</v>
      </c>
      <c r="C99" s="29" t="s">
        <v>163</v>
      </c>
      <c r="D99" s="29">
        <v>60</v>
      </c>
      <c r="E99" s="31">
        <f>D99*VLOOKUP(A99,Nhập入库!A:N,8,FALSE)</f>
        <v>60</v>
      </c>
      <c r="G99" s="29" t="s">
        <v>433</v>
      </c>
      <c r="H99" s="29" t="s">
        <v>431</v>
      </c>
      <c r="I99" s="141" t="s">
        <v>438</v>
      </c>
      <c r="J99" s="133">
        <v>0.892361111111111</v>
      </c>
    </row>
    <row r="100" spans="1:10">
      <c r="A100" s="31">
        <f>VLOOKUP($C100,SKU!$A:$I,3,FALSE)</f>
        <v>10003</v>
      </c>
      <c r="B100" s="31" t="str">
        <f>VLOOKUP($C100,SKU!$A:$I,2,FALSE)</f>
        <v>DUO米全新出品鬼灭之刃-柱合会议篇第二弹</v>
      </c>
      <c r="C100" s="29" t="s">
        <v>24</v>
      </c>
      <c r="D100" s="29">
        <v>5</v>
      </c>
      <c r="E100" s="31">
        <f>D100*VLOOKUP(A100,Nhập入库!A:N,8,FALSE)</f>
        <v>65</v>
      </c>
      <c r="G100" s="29" t="s">
        <v>429</v>
      </c>
      <c r="H100" s="29" t="s">
        <v>428</v>
      </c>
      <c r="I100" s="141" t="s">
        <v>438</v>
      </c>
      <c r="J100" s="133">
        <v>0.954861111111111</v>
      </c>
    </row>
    <row r="101" spans="1:10">
      <c r="A101" s="31">
        <f>VLOOKUP($C101,SKU!$A:$I,3,FALSE)</f>
        <v>10042</v>
      </c>
      <c r="B101" s="31" t="str">
        <f>VLOOKUP($C101,SKU!$A:$I,2,FALSE)</f>
        <v>黄油小熊系列收藏卡第二弹 小熊的观察日记</v>
      </c>
      <c r="C101" s="34" t="s">
        <v>196</v>
      </c>
      <c r="D101" s="29">
        <v>5</v>
      </c>
      <c r="E101" s="31">
        <f>D101*VLOOKUP(A101,Nhập入库!A:N,8,FALSE)</f>
        <v>80</v>
      </c>
      <c r="G101" s="34" t="s">
        <v>422</v>
      </c>
      <c r="H101" s="34" t="s">
        <v>406</v>
      </c>
      <c r="I101" s="141" t="s">
        <v>438</v>
      </c>
      <c r="J101" s="133">
        <v>0.371527777777778</v>
      </c>
    </row>
    <row r="102" spans="1:10">
      <c r="A102" s="31">
        <f>VLOOKUP($C102,SKU!$A:$I,3,FALSE)</f>
        <v>10003</v>
      </c>
      <c r="B102" s="31" t="str">
        <f>VLOOKUP($C102,SKU!$A:$I,2,FALSE)</f>
        <v>DUO米全新出品鬼灭之刃-柱合会议篇第二弹</v>
      </c>
      <c r="C102" s="29" t="s">
        <v>24</v>
      </c>
      <c r="D102" s="29">
        <v>5</v>
      </c>
      <c r="E102" s="31">
        <f>D102*VLOOKUP(A102,Nhập入库!A:N,8,FALSE)</f>
        <v>65</v>
      </c>
      <c r="G102" s="29" t="s">
        <v>33</v>
      </c>
      <c r="H102" s="29" t="s">
        <v>424</v>
      </c>
      <c r="I102" s="141" t="s">
        <v>438</v>
      </c>
      <c r="J102" s="133">
        <v>0.528472222222222</v>
      </c>
    </row>
    <row r="103" spans="1:10">
      <c r="A103" s="31">
        <f>VLOOKUP($C103,SKU!$A:$I,3,FALSE)</f>
        <v>10003</v>
      </c>
      <c r="B103" s="31" t="str">
        <f>VLOOKUP($C103,SKU!$A:$I,2,FALSE)</f>
        <v>DUO米全新出品鬼灭之刃-柱合会议篇第二弹</v>
      </c>
      <c r="C103" s="29" t="s">
        <v>24</v>
      </c>
      <c r="D103" s="29">
        <v>1</v>
      </c>
      <c r="E103" s="31">
        <f>D103*VLOOKUP(A103,Nhập入库!A:N,8,FALSE)</f>
        <v>13</v>
      </c>
      <c r="G103" s="29" t="s">
        <v>33</v>
      </c>
      <c r="H103" s="29" t="s">
        <v>424</v>
      </c>
      <c r="I103" s="141" t="s">
        <v>439</v>
      </c>
      <c r="J103" s="133">
        <v>0.6375</v>
      </c>
    </row>
    <row r="104" spans="1:10">
      <c r="A104" s="31">
        <f>VLOOKUP($C104,SKU!$A:$I,3,FALSE)</f>
        <v>10006</v>
      </c>
      <c r="B104" s="31" t="str">
        <f>VLOOKUP($C104,SKU!$A:$I,2,FALSE)</f>
        <v>云映文化「云之境の夏」第二弹·宫崎骏珍藏卡牌</v>
      </c>
      <c r="C104" s="34" t="s">
        <v>43</v>
      </c>
      <c r="D104" s="29">
        <v>5</v>
      </c>
      <c r="E104" s="31">
        <f>D104*VLOOKUP(A104,Nhập入库!A:N,8,FALSE)</f>
        <v>65</v>
      </c>
      <c r="G104" s="34" t="s">
        <v>432</v>
      </c>
      <c r="H104" s="34" t="s">
        <v>423</v>
      </c>
      <c r="I104" s="141" t="s">
        <v>439</v>
      </c>
      <c r="J104" s="133">
        <v>0.497222222222222</v>
      </c>
    </row>
    <row r="105" spans="1:10">
      <c r="A105" s="31">
        <f>VLOOKUP($C105,SKU!$A:$I,3,FALSE)</f>
        <v>10006</v>
      </c>
      <c r="B105" s="31" t="str">
        <f>VLOOKUP($C105,SKU!$A:$I,2,FALSE)</f>
        <v>云映文化「云之境の夏」第二弹·宫崎骏珍藏卡牌</v>
      </c>
      <c r="C105" s="34" t="s">
        <v>43</v>
      </c>
      <c r="D105" s="29">
        <v>5</v>
      </c>
      <c r="E105" s="31">
        <f>D105*VLOOKUP(A105,Nhập入库!A:N,8,FALSE)</f>
        <v>65</v>
      </c>
      <c r="G105" s="34" t="s">
        <v>432</v>
      </c>
      <c r="H105" s="34" t="s">
        <v>406</v>
      </c>
      <c r="I105" s="141" t="s">
        <v>439</v>
      </c>
      <c r="J105" s="133">
        <v>0.579861111111111</v>
      </c>
    </row>
    <row r="106" spans="1:10">
      <c r="A106" s="31">
        <f>VLOOKUP($C106,SKU!$A:$I,3,FALSE)</f>
        <v>10021</v>
      </c>
      <c r="B106" s="31" t="str">
        <f>VLOOKUP($C106,SKU!$A:$I,2,FALSE)</f>
        <v>新谷动漫名侦探柯南·仲夏夜之恋邮票集</v>
      </c>
      <c r="C106" s="29" t="s">
        <v>111</v>
      </c>
      <c r="D106" s="29">
        <v>4</v>
      </c>
      <c r="E106" s="31">
        <f>D106*VLOOKUP(A106,Nhập入库!A:N,8,FALSE)</f>
        <v>20</v>
      </c>
      <c r="G106" s="29" t="s">
        <v>427</v>
      </c>
      <c r="H106" s="29" t="s">
        <v>428</v>
      </c>
      <c r="I106" s="141" t="s">
        <v>439</v>
      </c>
      <c r="J106" s="133">
        <v>0.730555555555556</v>
      </c>
    </row>
    <row r="107" spans="1:10">
      <c r="A107" s="31">
        <f>VLOOKUP($C107,SKU!$A:$I,3,FALSE)</f>
        <v>10003</v>
      </c>
      <c r="B107" s="31" t="str">
        <f>VLOOKUP($C107,SKU!$A:$I,2,FALSE)</f>
        <v>DUO米全新出品鬼灭之刃-柱合会议篇第二弹</v>
      </c>
      <c r="C107" s="29" t="s">
        <v>24</v>
      </c>
      <c r="D107" s="29">
        <v>4</v>
      </c>
      <c r="E107" s="31">
        <f>D107*VLOOKUP(A107,Nhập入库!A:N,8,FALSE)</f>
        <v>52</v>
      </c>
      <c r="G107" s="29" t="s">
        <v>430</v>
      </c>
      <c r="H107" s="29" t="s">
        <v>431</v>
      </c>
      <c r="I107" s="141" t="s">
        <v>439</v>
      </c>
      <c r="J107" s="133">
        <v>0.81875</v>
      </c>
    </row>
    <row r="108" spans="1:10">
      <c r="A108" s="31">
        <f>VLOOKUP($C108,SKU!$A:$I,3,FALSE)</f>
        <v>10044</v>
      </c>
      <c r="B108" s="31" t="str">
        <f>VLOOKUP($C108,SKU!$A:$I,2,FALSE)</f>
        <v>源宇宙原神.空月の歌·周边CD票根邮票组合套装</v>
      </c>
      <c r="C108" s="29" t="s">
        <v>202</v>
      </c>
      <c r="D108" s="29">
        <v>10</v>
      </c>
      <c r="E108" s="31">
        <f>D108*VLOOKUP(A108,Nhập入库!A:N,8,FALSE)</f>
        <v>10</v>
      </c>
      <c r="G108" s="29" t="s">
        <v>429</v>
      </c>
      <c r="H108" s="29" t="s">
        <v>428</v>
      </c>
      <c r="I108" s="141" t="s">
        <v>439</v>
      </c>
      <c r="J108" s="133">
        <v>0.720138888888889</v>
      </c>
    </row>
    <row r="109" spans="1:10">
      <c r="A109" s="31">
        <f>VLOOKUP($C109,SKU!$A:$I,3,FALSE)</f>
        <v>10044</v>
      </c>
      <c r="B109" s="31" t="str">
        <f>VLOOKUP($C109,SKU!$A:$I,2,FALSE)</f>
        <v>源宇宙原神.空月の歌·周边CD票根邮票组合套装</v>
      </c>
      <c r="C109" s="29" t="s">
        <v>202</v>
      </c>
      <c r="D109" s="29">
        <v>10</v>
      </c>
      <c r="E109" s="31">
        <f>D109*VLOOKUP(A109,Nhập入库!A:N,8,FALSE)</f>
        <v>10</v>
      </c>
      <c r="G109" s="29" t="s">
        <v>429</v>
      </c>
      <c r="H109" s="29" t="s">
        <v>428</v>
      </c>
      <c r="I109" s="141" t="s">
        <v>439</v>
      </c>
      <c r="J109" s="133">
        <v>0.750694444444444</v>
      </c>
    </row>
    <row r="110" spans="1:10">
      <c r="A110" s="31">
        <f>VLOOKUP($C110,SKU!$A:$I,3,FALSE)</f>
        <v>10003</v>
      </c>
      <c r="B110" s="31" t="str">
        <f>VLOOKUP($C110,SKU!$A:$I,2,FALSE)</f>
        <v>DUO米全新出品鬼灭之刃-柱合会议篇第二弹</v>
      </c>
      <c r="C110" s="29" t="s">
        <v>24</v>
      </c>
      <c r="D110" s="29">
        <v>4</v>
      </c>
      <c r="E110" s="31">
        <f>D110*VLOOKUP(A110,Nhập入库!A:N,8,FALSE)</f>
        <v>52</v>
      </c>
      <c r="F110" s="29">
        <v>33</v>
      </c>
      <c r="G110" s="29" t="s">
        <v>429</v>
      </c>
      <c r="H110" s="29" t="s">
        <v>428</v>
      </c>
      <c r="I110" s="141" t="s">
        <v>439</v>
      </c>
      <c r="J110" s="133">
        <v>0.782638888888889</v>
      </c>
    </row>
    <row r="111" spans="1:10">
      <c r="A111" s="31">
        <f>VLOOKUP($C111,SKU!$A:$I,3,FALSE)</f>
        <v>10044</v>
      </c>
      <c r="B111" s="31" t="str">
        <f>VLOOKUP($C111,SKU!$A:$I,2,FALSE)</f>
        <v>源宇宙原神.空月の歌·周边CD票根邮票组合套装</v>
      </c>
      <c r="C111" s="29" t="s">
        <v>202</v>
      </c>
      <c r="D111" s="29">
        <v>10</v>
      </c>
      <c r="E111" s="31">
        <f>D111*VLOOKUP(A111,Nhập入库!A:N,8,FALSE)</f>
        <v>10</v>
      </c>
      <c r="G111" s="29" t="s">
        <v>429</v>
      </c>
      <c r="H111" s="29" t="s">
        <v>428</v>
      </c>
      <c r="I111" s="141" t="s">
        <v>439</v>
      </c>
      <c r="J111" s="133">
        <v>0.876388888888889</v>
      </c>
    </row>
    <row r="112" spans="1:10">
      <c r="A112" s="31">
        <f>VLOOKUP($C112,SKU!$A:$I,3,FALSE)</f>
        <v>10044</v>
      </c>
      <c r="B112" s="31" t="str">
        <f>VLOOKUP($C112,SKU!$A:$I,2,FALSE)</f>
        <v>源宇宙原神.空月の歌·周边CD票根邮票组合套装</v>
      </c>
      <c r="C112" s="29" t="s">
        <v>202</v>
      </c>
      <c r="D112" s="29">
        <v>13</v>
      </c>
      <c r="E112" s="31">
        <f>D112*VLOOKUP(A112,Nhập入库!A:N,8,FALSE)</f>
        <v>13</v>
      </c>
      <c r="G112" s="29" t="s">
        <v>429</v>
      </c>
      <c r="H112" s="29" t="s">
        <v>428</v>
      </c>
      <c r="I112" s="141" t="s">
        <v>439</v>
      </c>
      <c r="J112" s="133">
        <v>0.911805555555556</v>
      </c>
    </row>
    <row r="113" spans="1:10">
      <c r="A113" s="31">
        <f>VLOOKUP($C113,SKU!$A:$I,3,FALSE)</f>
        <v>10010</v>
      </c>
      <c r="B113" s="31" t="str">
        <f>VLOOKUP($C113,SKU!$A:$I,2,FALSE)</f>
        <v>玩的入迷-魔卡少女樱第一弹—樱之绮遇</v>
      </c>
      <c r="C113" s="29" t="s">
        <v>66</v>
      </c>
      <c r="D113" s="29">
        <v>5</v>
      </c>
      <c r="E113" s="31">
        <f>D113*VLOOKUP(A113,Nhập入库!A:N,8,FALSE)</f>
        <v>65</v>
      </c>
      <c r="F113" s="29">
        <v>24</v>
      </c>
      <c r="G113" s="29" t="s">
        <v>433</v>
      </c>
      <c r="H113" s="29" t="s">
        <v>431</v>
      </c>
      <c r="I113" s="141" t="s">
        <v>439</v>
      </c>
      <c r="J113" s="133">
        <v>0.974305555555556</v>
      </c>
    </row>
    <row r="114" spans="1:10">
      <c r="A114" s="31">
        <f>VLOOKUP($C114,SKU!$A:$I,3,FALSE)</f>
        <v>10020</v>
      </c>
      <c r="B114" s="31" t="str">
        <f>VLOOKUP($C114,SKU!$A:$I,2,FALSE)</f>
        <v>集卡社小樱</v>
      </c>
      <c r="C114" s="29" t="s">
        <v>107</v>
      </c>
      <c r="D114" s="29">
        <v>5</v>
      </c>
      <c r="E114" s="31">
        <f>D114*VLOOKUP(A114,Nhập入库!A:N,8,FALSE)</f>
        <v>80</v>
      </c>
      <c r="G114" s="29" t="s">
        <v>425</v>
      </c>
      <c r="H114" s="29" t="s">
        <v>424</v>
      </c>
      <c r="I114" s="141" t="s">
        <v>439</v>
      </c>
      <c r="J114" s="133">
        <v>0.375</v>
      </c>
    </row>
    <row r="115" spans="1:10">
      <c r="A115" s="31">
        <f>VLOOKUP($C115,SKU!$A:$I,3,FALSE)</f>
        <v>10017</v>
      </c>
      <c r="B115" s="31" t="str">
        <f>VLOOKUP($C115,SKU!$A:$I,2,FALSE)</f>
        <v>梦境-美少女战士第一弹</v>
      </c>
      <c r="C115" s="29" t="s">
        <v>95</v>
      </c>
      <c r="D115" s="29">
        <v>5</v>
      </c>
      <c r="E115" s="31">
        <f>D115*VLOOKUP(A115,Nhập入库!A:N,8,FALSE)</f>
        <v>65</v>
      </c>
      <c r="G115" s="29" t="s">
        <v>425</v>
      </c>
      <c r="H115" s="29" t="s">
        <v>424</v>
      </c>
      <c r="I115" s="141" t="s">
        <v>439</v>
      </c>
      <c r="J115" s="133">
        <v>0.375</v>
      </c>
    </row>
    <row r="116" spans="1:10">
      <c r="A116" s="31">
        <f>VLOOKUP($C116,SKU!$A:$I,3,FALSE)</f>
        <v>10008</v>
      </c>
      <c r="B116" s="31" t="str">
        <f>VLOOKUP($C116,SKU!$A:$I,2,FALSE)</f>
        <v>XWork美少女战士-璀璨之梦</v>
      </c>
      <c r="C116" s="34" t="s">
        <v>55</v>
      </c>
      <c r="D116" s="29">
        <v>5</v>
      </c>
      <c r="E116" s="31">
        <f>D116*VLOOKUP(A116,Nhập入库!A:N,8,FALSE)</f>
        <v>50</v>
      </c>
      <c r="G116" s="34" t="s">
        <v>422</v>
      </c>
      <c r="H116" s="34" t="s">
        <v>406</v>
      </c>
      <c r="I116" s="141" t="s">
        <v>440</v>
      </c>
      <c r="J116" s="133">
        <v>0.390277777777778</v>
      </c>
    </row>
    <row r="117" spans="1:10">
      <c r="A117" s="31">
        <f>VLOOKUP($C117,SKU!$A:$I,3,FALSE)</f>
        <v>10003</v>
      </c>
      <c r="B117" s="31" t="str">
        <f>VLOOKUP($C117,SKU!$A:$I,2,FALSE)</f>
        <v>DUO米全新出品鬼灭之刃-柱合会议篇第二弹</v>
      </c>
      <c r="C117" s="29" t="s">
        <v>24</v>
      </c>
      <c r="D117" s="29">
        <v>2</v>
      </c>
      <c r="E117" s="31">
        <f>D117*VLOOKUP(A117,Nhập入库!A:N,8,FALSE)</f>
        <v>26</v>
      </c>
      <c r="G117" s="29" t="s">
        <v>33</v>
      </c>
      <c r="H117" s="29" t="s">
        <v>424</v>
      </c>
      <c r="I117" s="141" t="s">
        <v>438</v>
      </c>
      <c r="J117" s="133">
        <v>0.375</v>
      </c>
    </row>
    <row r="118" spans="1:10">
      <c r="A118" s="31">
        <f>VLOOKUP($C118,SKU!$A:$I,3,FALSE)</f>
        <v>10044</v>
      </c>
      <c r="B118" s="31" t="str">
        <f>VLOOKUP($C118,SKU!$A:$I,2,FALSE)</f>
        <v>源宇宙原神.空月の歌·周边CD票根邮票组合套装</v>
      </c>
      <c r="C118" s="29" t="s">
        <v>202</v>
      </c>
      <c r="D118" s="29">
        <v>1</v>
      </c>
      <c r="E118" s="31">
        <f>D118*VLOOKUP(A118,Nhập入库!A:N,8,FALSE)</f>
        <v>1</v>
      </c>
      <c r="G118" s="29" t="s">
        <v>33</v>
      </c>
      <c r="H118" s="29" t="s">
        <v>424</v>
      </c>
      <c r="I118" s="141" t="s">
        <v>441</v>
      </c>
      <c r="J118" s="133">
        <v>0.416666666666667</v>
      </c>
    </row>
    <row r="119" spans="1:10">
      <c r="A119" s="31">
        <f>VLOOKUP($C119,SKU!$A:$I,3,FALSE)</f>
        <v>10045</v>
      </c>
      <c r="B119" s="31" t="str">
        <f>VLOOKUP($C119,SKU!$A:$I,2,FALSE)</f>
        <v>名侦探柯南谜层交错</v>
      </c>
      <c r="C119" s="29" t="s">
        <v>205</v>
      </c>
      <c r="D119" s="29">
        <v>10</v>
      </c>
      <c r="E119" s="31">
        <f>D119*VLOOKUP(A119,Nhập入库!A:N,8,FALSE)</f>
        <v>10</v>
      </c>
      <c r="G119" s="29" t="s">
        <v>33</v>
      </c>
      <c r="H119" s="29" t="s">
        <v>424</v>
      </c>
      <c r="I119" s="141" t="s">
        <v>441</v>
      </c>
      <c r="J119" s="133">
        <v>0.416666666666667</v>
      </c>
    </row>
    <row r="120" spans="1:10">
      <c r="A120" s="31">
        <f>VLOOKUP($C120,SKU!$A:$I,3,FALSE)</f>
        <v>10045</v>
      </c>
      <c r="B120" s="31" t="str">
        <f>VLOOKUP($C120,SKU!$A:$I,2,FALSE)</f>
        <v>名侦探柯南谜层交错</v>
      </c>
      <c r="C120" s="34" t="s">
        <v>205</v>
      </c>
      <c r="D120" s="29">
        <v>20</v>
      </c>
      <c r="E120" s="31">
        <f>D120*VLOOKUP(A120,Nhập入库!A:N,8,FALSE)</f>
        <v>20</v>
      </c>
      <c r="G120" s="34" t="s">
        <v>426</v>
      </c>
      <c r="H120" s="34" t="s">
        <v>406</v>
      </c>
      <c r="I120" s="141" t="s">
        <v>440</v>
      </c>
      <c r="J120" s="133">
        <v>0.589583333333333</v>
      </c>
    </row>
    <row r="121" spans="1:10">
      <c r="A121" s="31">
        <f>VLOOKUP($C121,SKU!$A:$I,3,FALSE)</f>
        <v>10003</v>
      </c>
      <c r="B121" s="31" t="str">
        <f>VLOOKUP($C121,SKU!$A:$I,2,FALSE)</f>
        <v>DUO米全新出品鬼灭之刃-柱合会议篇第二弹</v>
      </c>
      <c r="C121" s="29" t="s">
        <v>24</v>
      </c>
      <c r="E121" s="31">
        <f>D121*VLOOKUP(A121,Nhập入库!A:N,8,FALSE)</f>
        <v>0</v>
      </c>
      <c r="F121" s="29">
        <v>15</v>
      </c>
      <c r="G121" s="29" t="s">
        <v>425</v>
      </c>
      <c r="H121" s="29" t="s">
        <v>424</v>
      </c>
      <c r="I121" s="141" t="s">
        <v>440</v>
      </c>
      <c r="J121" s="133">
        <v>0.583333333333333</v>
      </c>
    </row>
    <row r="122" spans="1:10">
      <c r="A122" s="31">
        <f>VLOOKUP($C122,SKU!$A:$I,3,FALSE)</f>
        <v>10021</v>
      </c>
      <c r="B122" s="31" t="str">
        <f>VLOOKUP($C122,SKU!$A:$I,2,FALSE)</f>
        <v>新谷动漫名侦探柯南·仲夏夜之恋邮票集</v>
      </c>
      <c r="C122" s="29" t="s">
        <v>111</v>
      </c>
      <c r="E122" s="31">
        <f>D122*VLOOKUP(A122,Nhập入库!A:N,8,FALSE)</f>
        <v>0</v>
      </c>
      <c r="F122" s="29">
        <v>1</v>
      </c>
      <c r="G122" s="29" t="s">
        <v>430</v>
      </c>
      <c r="H122" s="29" t="s">
        <v>431</v>
      </c>
      <c r="I122" s="141" t="s">
        <v>440</v>
      </c>
      <c r="J122" s="133">
        <v>0.990972222222222</v>
      </c>
    </row>
    <row r="123" spans="1:10">
      <c r="A123" s="31">
        <f>VLOOKUP($C123,SKU!$A:$I,3,FALSE)</f>
        <v>10003</v>
      </c>
      <c r="B123" s="31" t="str">
        <f>VLOOKUP($C123,SKU!$A:$I,2,FALSE)</f>
        <v>DUO米全新出品鬼灭之刃-柱合会议篇第二弹</v>
      </c>
      <c r="C123" s="29" t="s">
        <v>24</v>
      </c>
      <c r="D123" s="29">
        <v>1</v>
      </c>
      <c r="E123" s="31">
        <f>D123*VLOOKUP(A123,Nhập入库!A:N,8,FALSE)</f>
        <v>13</v>
      </c>
      <c r="G123" s="29" t="s">
        <v>430</v>
      </c>
      <c r="H123" s="29" t="s">
        <v>431</v>
      </c>
      <c r="I123" s="141" t="s">
        <v>440</v>
      </c>
      <c r="J123" s="133">
        <v>0.990972222222222</v>
      </c>
    </row>
    <row r="124" spans="1:10">
      <c r="A124" s="31">
        <f>VLOOKUP($C124,SKU!$A:$I,3,FALSE)</f>
        <v>10009</v>
      </c>
      <c r="B124" s="31" t="str">
        <f>VLOOKUP($C124,SKU!$A:$I,2,FALSE)</f>
        <v>万画云游三丽鸥家族百变cos收藏卡</v>
      </c>
      <c r="C124" s="34" t="s">
        <v>61</v>
      </c>
      <c r="D124" s="29">
        <v>6</v>
      </c>
      <c r="E124" s="31">
        <f>D124*VLOOKUP(A124,Nhập入库!A:N,8,FALSE)</f>
        <v>60</v>
      </c>
      <c r="G124" s="34" t="s">
        <v>422</v>
      </c>
      <c r="H124" s="34" t="s">
        <v>406</v>
      </c>
      <c r="I124" s="141" t="s">
        <v>442</v>
      </c>
      <c r="J124" s="155">
        <v>0.385416666666667</v>
      </c>
    </row>
    <row r="125" spans="1:10">
      <c r="A125" s="31">
        <f>VLOOKUP($C125,SKU!$A:$I,3,FALSE)</f>
        <v>10039</v>
      </c>
      <c r="B125" s="31" t="str">
        <f>VLOOKUP($C125,SKU!$A:$I,2,FALSE)</f>
        <v>非凡航海王第五弹</v>
      </c>
      <c r="C125" s="29" t="s">
        <v>184</v>
      </c>
      <c r="D125" s="29">
        <v>5</v>
      </c>
      <c r="E125" s="31">
        <f>D125*VLOOKUP(A125,Nhập入库!A:N,8,FALSE)</f>
        <v>100</v>
      </c>
      <c r="G125" s="29" t="s">
        <v>82</v>
      </c>
      <c r="H125" s="29" t="s">
        <v>423</v>
      </c>
      <c r="I125" s="141" t="s">
        <v>442</v>
      </c>
      <c r="J125" s="155">
        <v>0.385416666666667</v>
      </c>
    </row>
    <row r="126" spans="1:10">
      <c r="A126" s="31">
        <f>VLOOKUP($C126,SKU!$A:$I,3,FALSE)</f>
        <v>10040</v>
      </c>
      <c r="B126" s="31" t="str">
        <f>VLOOKUP($C126,SKU!$A:$I,2,FALSE)</f>
        <v>酷卡文化-线条小狗3弹</v>
      </c>
      <c r="C126" s="34" t="s">
        <v>188</v>
      </c>
      <c r="D126" s="29">
        <v>5</v>
      </c>
      <c r="E126" s="31">
        <f>D126*VLOOKUP(A126,Nhập入库!A:N,8,FALSE)</f>
        <v>55</v>
      </c>
      <c r="G126" s="34" t="s">
        <v>422</v>
      </c>
      <c r="H126" s="34" t="s">
        <v>406</v>
      </c>
      <c r="I126" s="141" t="s">
        <v>442</v>
      </c>
      <c r="J126" s="133">
        <v>0.409722222222222</v>
      </c>
    </row>
    <row r="127" spans="1:10">
      <c r="A127" s="31">
        <f>VLOOKUP($C127,SKU!$A:$I,3,FALSE)</f>
        <v>10014</v>
      </c>
      <c r="B127" s="31" t="str">
        <f>VLOOKUP($C127,SKU!$A:$I,2,FALSE)</f>
        <v>星梦文创-Studio Ghibli宫崎骏撕撕乐系列 </v>
      </c>
      <c r="C127" s="29" t="s">
        <v>83</v>
      </c>
      <c r="D127" s="29">
        <v>20</v>
      </c>
      <c r="E127" s="31">
        <f>D127*VLOOKUP(A127,Nhập入库!A:N,8,FALSE)</f>
        <v>60</v>
      </c>
      <c r="G127" s="29" t="s">
        <v>82</v>
      </c>
      <c r="H127" s="29" t="s">
        <v>423</v>
      </c>
      <c r="I127" s="141" t="s">
        <v>442</v>
      </c>
      <c r="J127" s="133">
        <v>0.409722222222222</v>
      </c>
    </row>
    <row r="128" spans="1:10">
      <c r="A128" s="31">
        <f>VLOOKUP($C128,SKU!$A:$I,3,FALSE)</f>
        <v>10004</v>
      </c>
      <c r="B128" s="31" t="str">
        <f>VLOOKUP($C128,SKU!$A:$I,2,FALSE)</f>
        <v>初见花海咒术回战第一弹</v>
      </c>
      <c r="C128" s="29" t="s">
        <v>30</v>
      </c>
      <c r="D128" s="29">
        <v>20</v>
      </c>
      <c r="E128" s="31">
        <f>D128*VLOOKUP(A128,Nhập入库!A:N,8,FALSE)</f>
        <v>20</v>
      </c>
      <c r="G128" s="29" t="s">
        <v>82</v>
      </c>
      <c r="H128" s="29" t="s">
        <v>423</v>
      </c>
      <c r="I128" s="141" t="s">
        <v>442</v>
      </c>
      <c r="J128" s="133">
        <v>0.413194444444444</v>
      </c>
    </row>
    <row r="129" spans="1:10">
      <c r="A129" s="31">
        <f>VLOOKUP($C129,SKU!$A:$I,3,FALSE)</f>
        <v>10014</v>
      </c>
      <c r="B129" s="31" t="str">
        <f>VLOOKUP($C129,SKU!$A:$I,2,FALSE)</f>
        <v>星梦文创-Studio Ghibli宫崎骏撕撕乐系列 </v>
      </c>
      <c r="C129" s="29" t="s">
        <v>83</v>
      </c>
      <c r="D129" s="29">
        <v>20</v>
      </c>
      <c r="E129" s="31">
        <f>D129*VLOOKUP(A129,Nhập入库!A:N,8,FALSE)</f>
        <v>60</v>
      </c>
      <c r="G129" s="29" t="s">
        <v>443</v>
      </c>
      <c r="H129" s="29" t="s">
        <v>423</v>
      </c>
      <c r="I129" s="141" t="s">
        <v>442</v>
      </c>
      <c r="J129" s="133">
        <v>0.413194444444444</v>
      </c>
    </row>
    <row r="130" spans="1:10">
      <c r="A130" s="31">
        <f>VLOOKUP($C130,SKU!$A:$I,3,FALSE)</f>
        <v>10004</v>
      </c>
      <c r="B130" s="31" t="str">
        <f>VLOOKUP($C130,SKU!$A:$I,2,FALSE)</f>
        <v>初见花海咒术回战第一弹</v>
      </c>
      <c r="C130" s="29" t="s">
        <v>30</v>
      </c>
      <c r="D130" s="29">
        <v>20</v>
      </c>
      <c r="E130" s="31">
        <f>D130*VLOOKUP(A130,Nhập入库!A:N,8,FALSE)</f>
        <v>20</v>
      </c>
      <c r="G130" s="29" t="s">
        <v>443</v>
      </c>
      <c r="H130" s="29" t="s">
        <v>423</v>
      </c>
      <c r="I130" s="141" t="s">
        <v>442</v>
      </c>
      <c r="J130" s="133">
        <v>0.413194444444444</v>
      </c>
    </row>
    <row r="131" spans="1:10">
      <c r="A131" s="31">
        <f>VLOOKUP($C131,SKU!$A:$I,3,FALSE)</f>
        <v>10001</v>
      </c>
      <c r="B131" s="31" t="str">
        <f>VLOOKUP($C131,SKU!$A:$I,2,FALSE)</f>
        <v>《东株社》宝可梦水晶砖</v>
      </c>
      <c r="C131" s="29" t="s">
        <v>12</v>
      </c>
      <c r="D131" s="29">
        <v>5</v>
      </c>
      <c r="E131" s="31">
        <f>D131*VLOOKUP(A131,Nhập入库!A:N,8,FALSE)</f>
        <v>5</v>
      </c>
      <c r="G131" s="29" t="s">
        <v>158</v>
      </c>
      <c r="H131" s="29" t="s">
        <v>423</v>
      </c>
      <c r="I131" s="141" t="s">
        <v>442</v>
      </c>
      <c r="J131" s="133">
        <v>0.413194444444444</v>
      </c>
    </row>
    <row r="132" spans="1:10">
      <c r="A132" s="31">
        <f>VLOOKUP($C132,SKU!$A:$I,3,FALSE)</f>
        <v>10015</v>
      </c>
      <c r="B132" s="31" t="str">
        <f>VLOOKUP($C132,SKU!$A:$I,2,FALSE)</f>
        <v>梦绘文创-宫崎骏第二弹</v>
      </c>
      <c r="C132" s="34" t="s">
        <v>87</v>
      </c>
      <c r="D132" s="29">
        <v>5</v>
      </c>
      <c r="E132" s="31">
        <f>D132*VLOOKUP(A132,Nhập入库!A:N,8,FALSE)</f>
        <v>60</v>
      </c>
      <c r="G132" s="34" t="s">
        <v>432</v>
      </c>
      <c r="H132" s="34" t="s">
        <v>406</v>
      </c>
      <c r="I132" s="141" t="s">
        <v>442</v>
      </c>
      <c r="J132" s="133">
        <v>0.443055555555556</v>
      </c>
    </row>
    <row r="133" spans="1:10">
      <c r="A133" s="31">
        <f>VLOOKUP($C133,SKU!$A:$I,3,FALSE)</f>
        <v>10009</v>
      </c>
      <c r="B133" s="31" t="str">
        <f>VLOOKUP($C133,SKU!$A:$I,2,FALSE)</f>
        <v>万画云游三丽鸥家族百变cos收藏卡</v>
      </c>
      <c r="C133" s="34" t="s">
        <v>61</v>
      </c>
      <c r="D133" s="29">
        <v>18</v>
      </c>
      <c r="E133" s="31">
        <f>D133*VLOOKUP(A133,Nhập入库!A:N,8,FALSE)</f>
        <v>180</v>
      </c>
      <c r="G133" s="34" t="s">
        <v>422</v>
      </c>
      <c r="H133" s="34" t="s">
        <v>406</v>
      </c>
      <c r="I133" s="141" t="s">
        <v>442</v>
      </c>
      <c r="J133" s="133">
        <v>0.471527777777778</v>
      </c>
    </row>
    <row r="134" spans="1:10">
      <c r="A134" s="31">
        <f>VLOOKUP($C134,SKU!$A:$I,3,FALSE)</f>
        <v>10045</v>
      </c>
      <c r="B134" s="31" t="str">
        <f>VLOOKUP($C134,SKU!$A:$I,2,FALSE)</f>
        <v>名侦探柯南谜层交错</v>
      </c>
      <c r="C134" s="34" t="s">
        <v>205</v>
      </c>
      <c r="D134" s="29">
        <v>9</v>
      </c>
      <c r="E134" s="31">
        <f>D134*VLOOKUP(A134,Nhập入库!A:N,8,FALSE)</f>
        <v>9</v>
      </c>
      <c r="G134" s="34" t="s">
        <v>426</v>
      </c>
      <c r="H134" s="34" t="s">
        <v>406</v>
      </c>
      <c r="I134" s="141" t="s">
        <v>440</v>
      </c>
      <c r="J134" s="133">
        <v>0.509027777777778</v>
      </c>
    </row>
    <row r="135" spans="1:10">
      <c r="A135" s="31">
        <f>VLOOKUP($C135,SKU!$A:$I,3,FALSE)</f>
        <v>10003</v>
      </c>
      <c r="B135" s="31" t="str">
        <f>VLOOKUP($C135,SKU!$A:$I,2,FALSE)</f>
        <v>DUO米全新出品鬼灭之刃-柱合会议篇第二弹</v>
      </c>
      <c r="C135" s="29" t="s">
        <v>24</v>
      </c>
      <c r="E135" s="31">
        <f>D135*VLOOKUP(A135,Nhập入库!A:N,8,FALSE)</f>
        <v>0</v>
      </c>
      <c r="F135" s="29">
        <v>12</v>
      </c>
      <c r="G135" s="29" t="s">
        <v>425</v>
      </c>
      <c r="H135" s="29" t="s">
        <v>424</v>
      </c>
      <c r="I135" s="141" t="s">
        <v>442</v>
      </c>
      <c r="J135" s="133">
        <v>0.542361111111111</v>
      </c>
    </row>
    <row r="136" spans="1:10">
      <c r="A136" s="31">
        <f>VLOOKUP($C136,SKU!$A:$I,3,FALSE)</f>
        <v>10007</v>
      </c>
      <c r="B136" s="31" t="str">
        <f>VLOOKUP($C136,SKU!$A:$I,2,FALSE)</f>
        <v>kawaii宫崎骏梦幻之国</v>
      </c>
      <c r="C136" s="34" t="s">
        <v>49</v>
      </c>
      <c r="D136" s="29">
        <v>5</v>
      </c>
      <c r="E136" s="31">
        <f>D136*VLOOKUP(A136,Nhập入库!A:N,8,FALSE)</f>
        <v>65</v>
      </c>
      <c r="G136" s="34" t="s">
        <v>86</v>
      </c>
      <c r="H136" s="34" t="s">
        <v>423</v>
      </c>
      <c r="I136" s="141" t="s">
        <v>442</v>
      </c>
      <c r="J136" s="133">
        <v>0.471527777777778</v>
      </c>
    </row>
    <row r="137" spans="1:10">
      <c r="A137" s="31">
        <f>VLOOKUP($C137,SKU!$A:$I,3,FALSE)</f>
        <v>10004</v>
      </c>
      <c r="B137" s="31" t="str">
        <f>VLOOKUP($C137,SKU!$A:$I,2,FALSE)</f>
        <v>初见花海咒术回战第一弹</v>
      </c>
      <c r="C137" s="29" t="s">
        <v>30</v>
      </c>
      <c r="E137" s="31">
        <f>D137*VLOOKUP(A137,Nhập入库!A:N,8,FALSE)</f>
        <v>0</v>
      </c>
      <c r="F137" s="29">
        <v>21</v>
      </c>
      <c r="G137" s="29" t="s">
        <v>33</v>
      </c>
      <c r="H137" s="29" t="s">
        <v>424</v>
      </c>
      <c r="I137" s="141" t="s">
        <v>442</v>
      </c>
      <c r="J137" s="133">
        <v>0.471527777777778</v>
      </c>
    </row>
    <row r="138" spans="1:10">
      <c r="A138" s="31">
        <f>VLOOKUP($C138,SKU!$A:$I,3,FALSE)</f>
        <v>10001</v>
      </c>
      <c r="B138" s="31" t="str">
        <f>VLOOKUP($C138,SKU!$A:$I,2,FALSE)</f>
        <v>《东株社》宝可梦水晶砖</v>
      </c>
      <c r="C138" s="34" t="s">
        <v>12</v>
      </c>
      <c r="D138" s="29">
        <v>10</v>
      </c>
      <c r="E138" s="31">
        <f>D138*VLOOKUP(A138,Nhập入库!A:N,8,FALSE)</f>
        <v>10</v>
      </c>
      <c r="G138" s="34" t="s">
        <v>422</v>
      </c>
      <c r="H138" s="34" t="s">
        <v>406</v>
      </c>
      <c r="I138" s="141" t="s">
        <v>442</v>
      </c>
      <c r="J138" s="133"/>
    </row>
    <row r="139" spans="1:10">
      <c r="A139" s="31">
        <f>VLOOKUP($C139,SKU!$A:$I,3,FALSE)</f>
        <v>10003</v>
      </c>
      <c r="B139" s="31" t="str">
        <f>VLOOKUP($C139,SKU!$A:$I,2,FALSE)</f>
        <v>DUO米全新出品鬼灭之刃-柱合会议篇第二弹</v>
      </c>
      <c r="C139" s="29" t="s">
        <v>24</v>
      </c>
      <c r="D139" s="29">
        <v>5</v>
      </c>
      <c r="E139" s="31">
        <f>D139*VLOOKUP(A139,Nhập入库!A:N,8,FALSE)</f>
        <v>65</v>
      </c>
      <c r="G139" s="29" t="s">
        <v>430</v>
      </c>
      <c r="H139" s="29" t="s">
        <v>431</v>
      </c>
      <c r="I139" s="141" t="s">
        <v>442</v>
      </c>
      <c r="J139" s="133">
        <v>0.791666666666667</v>
      </c>
    </row>
    <row r="140" spans="1:10">
      <c r="A140" s="31">
        <f>VLOOKUP($C140,SKU!$A:$I,3,FALSE)</f>
        <v>10004</v>
      </c>
      <c r="B140" s="31" t="str">
        <f>VLOOKUP($C140,SKU!$A:$I,2,FALSE)</f>
        <v>初见花海咒术回战第一弹</v>
      </c>
      <c r="C140" s="29" t="s">
        <v>30</v>
      </c>
      <c r="E140" s="31">
        <f>D140*VLOOKUP(A140,Nhập入库!A:N,8,FALSE)</f>
        <v>0</v>
      </c>
      <c r="F140" s="29">
        <v>20</v>
      </c>
      <c r="G140" s="29" t="s">
        <v>430</v>
      </c>
      <c r="H140" s="29" t="s">
        <v>431</v>
      </c>
      <c r="I140" s="141" t="s">
        <v>442</v>
      </c>
      <c r="J140" s="133">
        <v>0.791666666666667</v>
      </c>
    </row>
    <row r="141" spans="1:10">
      <c r="A141" s="31">
        <f>VLOOKUP($C141,SKU!$A:$I,3,FALSE)</f>
        <v>10032</v>
      </c>
      <c r="B141" s="31" t="str">
        <f>VLOOKUP($C141,SKU!$A:$I,2,FALSE)</f>
        <v>绘心阁《魔道祖师—殊途同归》色纸卡牌</v>
      </c>
      <c r="C141" s="29" t="s">
        <v>155</v>
      </c>
      <c r="E141" s="31">
        <f>D141*VLOOKUP(A141,Nhập入库!A:N,8,FALSE)</f>
        <v>0</v>
      </c>
      <c r="F141" s="29">
        <v>40</v>
      </c>
      <c r="G141" s="29" t="s">
        <v>433</v>
      </c>
      <c r="H141" s="29" t="s">
        <v>431</v>
      </c>
      <c r="I141" s="141" t="s">
        <v>442</v>
      </c>
      <c r="J141" s="133">
        <v>0.791666666666667</v>
      </c>
    </row>
    <row r="142" spans="1:10">
      <c r="A142" s="31">
        <f>VLOOKUP($C142,SKU!$A:$I,3,FALSE)</f>
        <v>10039</v>
      </c>
      <c r="B142" s="31" t="str">
        <f>VLOOKUP($C142,SKU!$A:$I,2,FALSE)</f>
        <v>非凡航海王第五弹</v>
      </c>
      <c r="C142" s="29" t="s">
        <v>184</v>
      </c>
      <c r="D142" s="29">
        <v>15</v>
      </c>
      <c r="E142" s="31">
        <f>D142*VLOOKUP(A142,Nhập入库!A:N,8,FALSE)</f>
        <v>300</v>
      </c>
      <c r="G142" s="29" t="s">
        <v>429</v>
      </c>
      <c r="H142" s="29" t="s">
        <v>428</v>
      </c>
      <c r="I142" s="141" t="s">
        <v>442</v>
      </c>
      <c r="J142" s="133">
        <v>0.86875</v>
      </c>
    </row>
    <row r="143" spans="1:10">
      <c r="A143" s="31">
        <f>VLOOKUP($C143,SKU!$A:$I,3,FALSE)</f>
        <v>10039</v>
      </c>
      <c r="B143" s="31" t="str">
        <f>VLOOKUP($C143,SKU!$A:$I,2,FALSE)</f>
        <v>非凡航海王第五弹</v>
      </c>
      <c r="C143" s="29" t="s">
        <v>184</v>
      </c>
      <c r="D143" s="29">
        <v>10</v>
      </c>
      <c r="E143" s="31">
        <f>D143*VLOOKUP(A143,Nhập入库!A:N,8,FALSE)</f>
        <v>200</v>
      </c>
      <c r="G143" s="29" t="s">
        <v>430</v>
      </c>
      <c r="H143" s="29" t="s">
        <v>431</v>
      </c>
      <c r="I143" s="141" t="s">
        <v>442</v>
      </c>
      <c r="J143" s="133">
        <v>0.86875</v>
      </c>
    </row>
    <row r="144" spans="1:10">
      <c r="A144" s="31">
        <f>VLOOKUP($C144,SKU!$A:$I,3,FALSE)</f>
        <v>10003</v>
      </c>
      <c r="B144" s="31" t="str">
        <f>VLOOKUP($C144,SKU!$A:$I,2,FALSE)</f>
        <v>DUO米全新出品鬼灭之刃-柱合会议篇第二弹</v>
      </c>
      <c r="C144" s="29" t="s">
        <v>24</v>
      </c>
      <c r="E144" s="31">
        <f>D144*VLOOKUP(A144,Nhập入库!A:N,8,FALSE)</f>
        <v>0</v>
      </c>
      <c r="F144" s="29">
        <v>36</v>
      </c>
      <c r="G144" s="29" t="s">
        <v>114</v>
      </c>
      <c r="H144" s="29" t="s">
        <v>434</v>
      </c>
      <c r="I144" s="141" t="s">
        <v>442</v>
      </c>
      <c r="J144" s="133">
        <v>0.777083333333333</v>
      </c>
    </row>
    <row r="145" spans="1:10">
      <c r="A145" s="31">
        <f>VLOOKUP($C145,SKU!$A:$I,3,FALSE)</f>
        <v>10007</v>
      </c>
      <c r="B145" s="31" t="str">
        <f>VLOOKUP($C145,SKU!$A:$I,2,FALSE)</f>
        <v>kawaii宫崎骏梦幻之国</v>
      </c>
      <c r="C145" s="29" t="s">
        <v>49</v>
      </c>
      <c r="D145" s="29">
        <v>5</v>
      </c>
      <c r="E145" s="31">
        <f>D145*VLOOKUP(A145,Nhập入库!A:N,8,FALSE)</f>
        <v>65</v>
      </c>
      <c r="G145" s="29" t="s">
        <v>429</v>
      </c>
      <c r="H145" s="29" t="s">
        <v>428</v>
      </c>
      <c r="I145" s="141" t="s">
        <v>442</v>
      </c>
      <c r="J145" s="133">
        <v>0.985416666666667</v>
      </c>
    </row>
    <row r="146" spans="1:10">
      <c r="A146" s="31">
        <f>VLOOKUP($C146,SKU!$A:$I,3,FALSE)</f>
        <v>10040</v>
      </c>
      <c r="B146" s="31" t="str">
        <f>VLOOKUP($C146,SKU!$A:$I,2,FALSE)</f>
        <v>酷卡文化-线条小狗3弹</v>
      </c>
      <c r="C146" s="34" t="s">
        <v>188</v>
      </c>
      <c r="D146" s="29">
        <v>5</v>
      </c>
      <c r="E146" s="31">
        <f>D146*VLOOKUP(A146,Nhập入库!A:N,8,FALSE)</f>
        <v>55</v>
      </c>
      <c r="G146" s="34" t="s">
        <v>426</v>
      </c>
      <c r="H146" s="34" t="s">
        <v>406</v>
      </c>
      <c r="I146" s="141" t="s">
        <v>444</v>
      </c>
      <c r="J146" s="133">
        <v>0.379166666666667</v>
      </c>
    </row>
    <row r="147" spans="1:10">
      <c r="A147" s="31">
        <f>VLOOKUP($C147,SKU!$A:$I,3,FALSE)</f>
        <v>10015</v>
      </c>
      <c r="B147" s="31" t="str">
        <f>VLOOKUP($C147,SKU!$A:$I,2,FALSE)</f>
        <v>梦绘文创-宫崎骏第二弹</v>
      </c>
      <c r="C147" s="34" t="s">
        <v>87</v>
      </c>
      <c r="D147" s="29">
        <v>5</v>
      </c>
      <c r="E147" s="31">
        <f>D147*VLOOKUP(A147,Nhập入库!A:N,8,FALSE)</f>
        <v>60</v>
      </c>
      <c r="G147" s="34" t="s">
        <v>432</v>
      </c>
      <c r="H147" s="34" t="s">
        <v>406</v>
      </c>
      <c r="I147" s="141" t="s">
        <v>444</v>
      </c>
      <c r="J147" s="133">
        <v>0.413888888888889</v>
      </c>
    </row>
    <row r="148" spans="1:10">
      <c r="A148" s="31">
        <f>VLOOKUP($C148,SKU!$A:$I,3,FALSE)</f>
        <v>10020</v>
      </c>
      <c r="B148" s="31" t="str">
        <f>VLOOKUP($C148,SKU!$A:$I,2,FALSE)</f>
        <v>集卡社小樱</v>
      </c>
      <c r="C148" s="34" t="s">
        <v>107</v>
      </c>
      <c r="D148" s="29">
        <v>11</v>
      </c>
      <c r="E148" s="31">
        <f>D148*VLOOKUP(A148,Nhập入库!A:N,8,FALSE)</f>
        <v>176</v>
      </c>
      <c r="G148" s="34" t="s">
        <v>422</v>
      </c>
      <c r="H148" s="34" t="s">
        <v>406</v>
      </c>
      <c r="I148" s="141" t="s">
        <v>444</v>
      </c>
      <c r="J148" s="133">
        <v>0.516666666666667</v>
      </c>
    </row>
    <row r="149" spans="1:10">
      <c r="A149" s="31">
        <f>VLOOKUP($C149,SKU!$A:$I,3,FALSE)</f>
        <v>10008</v>
      </c>
      <c r="B149" s="31" t="str">
        <f>VLOOKUP($C149,SKU!$A:$I,2,FALSE)</f>
        <v>XWork美少女战士-璀璨之梦</v>
      </c>
      <c r="C149" s="34" t="s">
        <v>55</v>
      </c>
      <c r="D149" s="29">
        <v>5</v>
      </c>
      <c r="E149" s="31">
        <f>D149*VLOOKUP(A149,Nhập入库!A:N,8,FALSE)</f>
        <v>50</v>
      </c>
      <c r="G149" s="34" t="s">
        <v>422</v>
      </c>
      <c r="H149" s="34" t="s">
        <v>406</v>
      </c>
      <c r="I149" s="141" t="s">
        <v>444</v>
      </c>
      <c r="J149" s="133">
        <v>0.622222222222222</v>
      </c>
    </row>
    <row r="150" spans="1:10">
      <c r="A150" s="31">
        <f>VLOOKUP($C150,SKU!$A:$I,3,FALSE)</f>
        <v>10017</v>
      </c>
      <c r="B150" s="31" t="str">
        <f>VLOOKUP($C150,SKU!$A:$I,2,FALSE)</f>
        <v>梦境-美少女战士第一弹</v>
      </c>
      <c r="C150" s="34" t="s">
        <v>95</v>
      </c>
      <c r="D150" s="29">
        <v>5</v>
      </c>
      <c r="E150" s="31">
        <f>D150*VLOOKUP(A150,Nhập入库!A:N,8,FALSE)</f>
        <v>65</v>
      </c>
      <c r="G150" s="34" t="s">
        <v>422</v>
      </c>
      <c r="H150" s="34" t="s">
        <v>406</v>
      </c>
      <c r="I150" s="141" t="s">
        <v>444</v>
      </c>
      <c r="J150" s="133">
        <v>0.622222222222222</v>
      </c>
    </row>
    <row r="151" spans="1:10">
      <c r="A151" s="31">
        <f>VLOOKUP($C151,SKU!$A:$I,3,FALSE)</f>
        <v>10003</v>
      </c>
      <c r="B151" s="31" t="str">
        <f>VLOOKUP($C151,SKU!$A:$I,2,FALSE)</f>
        <v>DUO米全新出品鬼灭之刃-柱合会议篇第二弹</v>
      </c>
      <c r="C151" s="29" t="s">
        <v>24</v>
      </c>
      <c r="D151" s="29">
        <v>5</v>
      </c>
      <c r="E151" s="31">
        <f>D151*VLOOKUP(A151,Nhập入库!A:N,8,FALSE)</f>
        <v>65</v>
      </c>
      <c r="G151" s="29" t="s">
        <v>33</v>
      </c>
      <c r="H151" s="29" t="s">
        <v>424</v>
      </c>
      <c r="I151" s="141" t="s">
        <v>444</v>
      </c>
      <c r="J151" s="133">
        <v>0.458333333333333</v>
      </c>
    </row>
    <row r="152" spans="1:10">
      <c r="A152" s="31">
        <f>VLOOKUP($C152,SKU!$A:$I,3,FALSE)</f>
        <v>10003</v>
      </c>
      <c r="B152" s="31" t="str">
        <f>VLOOKUP($C152,SKU!$A:$I,2,FALSE)</f>
        <v>DUO米全新出品鬼灭之刃-柱合会议篇第二弹</v>
      </c>
      <c r="C152" s="29" t="s">
        <v>24</v>
      </c>
      <c r="D152" s="29">
        <v>5</v>
      </c>
      <c r="E152" s="31">
        <f>D152*VLOOKUP(A152,Nhập入库!A:N,8,FALSE)</f>
        <v>65</v>
      </c>
      <c r="G152" s="29" t="s">
        <v>425</v>
      </c>
      <c r="H152" s="29" t="s">
        <v>424</v>
      </c>
      <c r="I152" s="141" t="s">
        <v>444</v>
      </c>
      <c r="J152" s="133">
        <v>0.458333333333333</v>
      </c>
    </row>
    <row r="153" spans="1:10">
      <c r="A153" s="31">
        <f>VLOOKUP($C153,SKU!$A:$I,3,FALSE)</f>
        <v>10013</v>
      </c>
      <c r="B153" s="31" t="str">
        <f>VLOOKUP($C153,SKU!$A:$I,2,FALSE)</f>
        <v>皇卡 × 鬼灭《血月之契》篇决战无限城收藏卡</v>
      </c>
      <c r="C153" s="29" t="s">
        <v>79</v>
      </c>
      <c r="D153" s="29">
        <v>5</v>
      </c>
      <c r="E153" s="31">
        <f>D153*VLOOKUP(A153,Nhập入库!A:N,8,FALSE)</f>
        <v>60</v>
      </c>
      <c r="G153" s="29" t="s">
        <v>429</v>
      </c>
      <c r="H153" s="29" t="s">
        <v>428</v>
      </c>
      <c r="I153" s="141" t="s">
        <v>444</v>
      </c>
      <c r="J153" s="133">
        <v>0.75</v>
      </c>
    </row>
    <row r="154" spans="1:10">
      <c r="A154" s="31">
        <f>VLOOKUP($C154,SKU!$A:$I,3,FALSE)</f>
        <v>10013</v>
      </c>
      <c r="B154" s="31" t="str">
        <f>VLOOKUP($C154,SKU!$A:$I,2,FALSE)</f>
        <v>皇卡 × 鬼灭《血月之契》篇决战无限城收藏卡</v>
      </c>
      <c r="C154" s="29" t="s">
        <v>79</v>
      </c>
      <c r="E154" s="31">
        <f>D154*VLOOKUP(A154,Nhập入库!A:N,8,FALSE)</f>
        <v>0</v>
      </c>
      <c r="F154" s="29">
        <v>128</v>
      </c>
      <c r="G154" s="29" t="s">
        <v>430</v>
      </c>
      <c r="H154" s="29" t="s">
        <v>431</v>
      </c>
      <c r="I154" s="141" t="s">
        <v>444</v>
      </c>
      <c r="J154" s="133">
        <v>0.75</v>
      </c>
    </row>
    <row r="155" spans="1:10">
      <c r="A155" s="31">
        <f>VLOOKUP($C155,SKU!$A:$I,3,FALSE)</f>
        <v>10039</v>
      </c>
      <c r="B155" s="31" t="str">
        <f>VLOOKUP($C155,SKU!$A:$I,2,FALSE)</f>
        <v>非凡航海王第五弹</v>
      </c>
      <c r="C155" s="29" t="s">
        <v>184</v>
      </c>
      <c r="D155" s="29">
        <v>5</v>
      </c>
      <c r="E155" s="31">
        <f>D155*VLOOKUP(A155,Nhập入库!A:N,8,FALSE)</f>
        <v>100</v>
      </c>
      <c r="G155" s="29" t="s">
        <v>74</v>
      </c>
      <c r="H155" s="29" t="s">
        <v>434</v>
      </c>
      <c r="I155" s="141" t="s">
        <v>444</v>
      </c>
      <c r="J155" s="133">
        <v>0.75625</v>
      </c>
    </row>
    <row r="156" spans="1:10">
      <c r="A156" s="31">
        <f>VLOOKUP($C156,SKU!$A:$I,3,FALSE)</f>
        <v>10035</v>
      </c>
      <c r="B156" s="31" t="str">
        <f>VLOOKUP($C156,SKU!$A:$I,2,FALSE)</f>
        <v>KK CARD × 新海诚系列第一弹</v>
      </c>
      <c r="C156" s="29" t="s">
        <v>167</v>
      </c>
      <c r="D156" s="29">
        <v>10</v>
      </c>
      <c r="E156" s="31">
        <f>D156*VLOOKUP(A156,Nhập入库!A:N,8,FALSE)</f>
        <v>140</v>
      </c>
      <c r="G156" s="29" t="s">
        <v>429</v>
      </c>
      <c r="H156" s="29" t="s">
        <v>428</v>
      </c>
      <c r="I156" s="141" t="s">
        <v>444</v>
      </c>
      <c r="J156" s="133">
        <v>0.958333333333333</v>
      </c>
    </row>
    <row r="157" spans="1:10">
      <c r="A157" s="31">
        <f>VLOOKUP($C157,SKU!$A:$I,3,FALSE)</f>
        <v>10023</v>
      </c>
      <c r="B157" s="31" t="str">
        <f>VLOOKUP($C157,SKU!$A:$I,2,FALSE)</f>
        <v>风信文创尘世相逢之约星光来信原神邮票第一弹</v>
      </c>
      <c r="C157" s="29" t="s">
        <v>119</v>
      </c>
      <c r="D157" s="29">
        <v>20</v>
      </c>
      <c r="E157" s="31">
        <f>D157*VLOOKUP(A157,Nhập入库!A:N,8,FALSE)</f>
        <v>20</v>
      </c>
      <c r="G157" s="29" t="s">
        <v>429</v>
      </c>
      <c r="H157" s="29" t="s">
        <v>428</v>
      </c>
      <c r="I157" s="141" t="s">
        <v>444</v>
      </c>
      <c r="J157" s="133">
        <v>0.723611111111111</v>
      </c>
    </row>
    <row r="158" spans="1:10">
      <c r="A158" s="31">
        <f>VLOOKUP($C158,SKU!$A:$I,3,FALSE)</f>
        <v>10035</v>
      </c>
      <c r="B158" s="31" t="str">
        <f>VLOOKUP($C158,SKU!$A:$I,2,FALSE)</f>
        <v>KK CARD × 新海诚系列第一弹</v>
      </c>
      <c r="C158" s="34" t="s">
        <v>167</v>
      </c>
      <c r="D158" s="29">
        <v>5</v>
      </c>
      <c r="E158" s="31">
        <f>D158*VLOOKUP(A158,Nhập入库!A:N,8,FALSE)</f>
        <v>70</v>
      </c>
      <c r="G158" s="34" t="s">
        <v>432</v>
      </c>
      <c r="H158" s="34" t="s">
        <v>406</v>
      </c>
      <c r="I158" s="141" t="s">
        <v>445</v>
      </c>
      <c r="J158" s="133">
        <v>0.458333333333333</v>
      </c>
    </row>
    <row r="159" spans="1:10">
      <c r="A159" s="31">
        <f>VLOOKUP($C159,SKU!$A:$I,3,FALSE)</f>
        <v>10015</v>
      </c>
      <c r="B159" s="31" t="str">
        <f>VLOOKUP($C159,SKU!$A:$I,2,FALSE)</f>
        <v>梦绘文创-宫崎骏第二弹</v>
      </c>
      <c r="C159" s="34" t="s">
        <v>87</v>
      </c>
      <c r="D159" s="29">
        <v>5</v>
      </c>
      <c r="E159" s="31">
        <f>D159*VLOOKUP(A159,Nhập入库!A:N,8,FALSE)</f>
        <v>60</v>
      </c>
      <c r="G159" s="34" t="s">
        <v>432</v>
      </c>
      <c r="H159" s="34" t="s">
        <v>406</v>
      </c>
      <c r="I159" s="141" t="s">
        <v>445</v>
      </c>
      <c r="J159" s="133">
        <v>0.496527777777778</v>
      </c>
    </row>
    <row r="160" spans="1:10">
      <c r="A160" s="31">
        <f>VLOOKUP($C160,SKU!$A:$I,3,FALSE)</f>
        <v>10004</v>
      </c>
      <c r="B160" s="31" t="str">
        <f>VLOOKUP($C160,SKU!$A:$I,2,FALSE)</f>
        <v>初见花海咒术回战第一弹</v>
      </c>
      <c r="C160" s="34" t="s">
        <v>30</v>
      </c>
      <c r="D160" s="29">
        <v>10</v>
      </c>
      <c r="E160" s="31">
        <f>D160*VLOOKUP(A160,Nhập入库!A:N,8,FALSE)</f>
        <v>10</v>
      </c>
      <c r="G160" s="34" t="s">
        <v>82</v>
      </c>
      <c r="H160" s="34" t="s">
        <v>423</v>
      </c>
      <c r="I160" s="141" t="s">
        <v>445</v>
      </c>
      <c r="J160" s="133">
        <v>0.535416666666667</v>
      </c>
    </row>
    <row r="161" spans="1:11">
      <c r="A161" s="31">
        <f>VLOOKUP($C161,SKU!$A:$I,3,FALSE)</f>
        <v>10029</v>
      </c>
      <c r="B161" s="31" t="str">
        <f>VLOOKUP($C161,SKU!$A:$I,2,FALSE)</f>
        <v>樱花屋魔卡少女樱</v>
      </c>
      <c r="C161" s="34" t="s">
        <v>143</v>
      </c>
      <c r="D161" s="29">
        <v>5</v>
      </c>
      <c r="E161" s="31">
        <f>D161*VLOOKUP(A161,Nhập入库!A:N,8,FALSE)</f>
        <v>60</v>
      </c>
      <c r="G161" s="34" t="s">
        <v>422</v>
      </c>
      <c r="H161" s="34" t="s">
        <v>406</v>
      </c>
      <c r="I161" s="141" t="s">
        <v>445</v>
      </c>
      <c r="J161" s="133">
        <v>0.545833333333333</v>
      </c>
    </row>
    <row r="162" spans="1:11">
      <c r="A162" s="31">
        <f>VLOOKUP($C162,SKU!$A:$I,3,FALSE)</f>
        <v>10003</v>
      </c>
      <c r="B162" s="31" t="str">
        <f>VLOOKUP($C162,SKU!$A:$I,2,FALSE)</f>
        <v>DUO米全新出品鬼灭之刃-柱合会议篇第二弹</v>
      </c>
      <c r="C162" s="34" t="s">
        <v>24</v>
      </c>
      <c r="D162" s="29">
        <v>5</v>
      </c>
      <c r="E162" s="31">
        <f>D162*VLOOKUP(A162,Nhập入库!A:N,8,FALSE)</f>
        <v>65</v>
      </c>
      <c r="G162" s="34" t="s">
        <v>425</v>
      </c>
      <c r="H162" s="34" t="s">
        <v>424</v>
      </c>
      <c r="I162" s="141" t="s">
        <v>445</v>
      </c>
      <c r="J162" s="133">
        <v>0.5875</v>
      </c>
    </row>
    <row r="163" spans="1:11">
      <c r="A163" s="31">
        <f>VLOOKUP($C163,SKU!$A:$I,3,FALSE)</f>
        <v>10037</v>
      </c>
      <c r="B163" s="31" t="str">
        <f>VLOOKUP($C163,SKU!$A:$I,2,FALSE)</f>
        <v>磁吸邮票《咪咕咪咕&amp;魔卡少女樱》</v>
      </c>
      <c r="C163" s="34" t="s">
        <v>175</v>
      </c>
      <c r="D163" s="29">
        <v>50</v>
      </c>
      <c r="E163" s="31">
        <f>D163*VLOOKUP(A163,Nhập入库!A:N,8,FALSE)</f>
        <v>50</v>
      </c>
      <c r="G163" s="34" t="s">
        <v>426</v>
      </c>
      <c r="H163" s="34" t="s">
        <v>406</v>
      </c>
      <c r="I163" s="141" t="s">
        <v>445</v>
      </c>
      <c r="J163" s="133">
        <v>0.569444444444444</v>
      </c>
    </row>
    <row r="164" spans="1:11">
      <c r="A164" s="31">
        <f>VLOOKUP($C164,SKU!$A:$I,3,FALSE)</f>
        <v>10014</v>
      </c>
      <c r="B164" s="31" t="str">
        <f>VLOOKUP($C164,SKU!$A:$I,2,FALSE)</f>
        <v>星梦文创-Studio Ghibli宫崎骏撕撕乐系列 </v>
      </c>
      <c r="C164" s="34" t="s">
        <v>83</v>
      </c>
      <c r="D164" s="29">
        <v>90</v>
      </c>
      <c r="E164" s="31">
        <f>D164*VLOOKUP(A164,Nhập入库!A:N,8,FALSE)</f>
        <v>270</v>
      </c>
      <c r="G164" s="34" t="s">
        <v>432</v>
      </c>
      <c r="H164" s="34" t="s">
        <v>406</v>
      </c>
      <c r="I164" s="141" t="s">
        <v>445</v>
      </c>
      <c r="J164" s="133">
        <v>0.589583333333333</v>
      </c>
    </row>
    <row r="165" spans="1:11">
      <c r="A165" s="31">
        <f>VLOOKUP($C165,SKU!$A:$I,3,FALSE)</f>
        <v>10026</v>
      </c>
      <c r="B165" s="31" t="str">
        <f>VLOOKUP($C165,SKU!$A:$I,2,FALSE)</f>
        <v>星恋文创·恋与深空《晦明交错之间》亚克力相框卡</v>
      </c>
      <c r="C165" s="34" t="s">
        <v>131</v>
      </c>
      <c r="E165" s="31">
        <f>D165*VLOOKUP(A165,Nhập入库!A:N,8,FALSE)</f>
        <v>0</v>
      </c>
      <c r="F165" s="29">
        <v>40</v>
      </c>
      <c r="G165" s="34" t="s">
        <v>114</v>
      </c>
      <c r="H165" s="34" t="s">
        <v>434</v>
      </c>
      <c r="I165" s="141" t="s">
        <v>445</v>
      </c>
      <c r="J165" s="133">
        <v>0.71875</v>
      </c>
    </row>
    <row r="166" spans="1:11">
      <c r="A166" s="31">
        <f>VLOOKUP($C166,SKU!$A:$I,3,FALSE)</f>
        <v>10022</v>
      </c>
      <c r="B166" s="31" t="str">
        <f>VLOOKUP($C166,SKU!$A:$I,2,FALSE)</f>
        <v>【耀光·美少女战士】长卡卡砖</v>
      </c>
      <c r="C166" s="34" t="s">
        <v>115</v>
      </c>
      <c r="D166" s="29">
        <v>9</v>
      </c>
      <c r="E166" s="31">
        <f>D166*VLOOKUP(A166,Nhập入库!A:N,8,FALSE)</f>
        <v>72</v>
      </c>
      <c r="G166" s="34" t="s">
        <v>422</v>
      </c>
      <c r="H166" s="34" t="s">
        <v>406</v>
      </c>
      <c r="I166" s="141" t="s">
        <v>404</v>
      </c>
      <c r="J166" s="155">
        <v>0.416666666666667</v>
      </c>
    </row>
    <row r="167" spans="1:11">
      <c r="A167" s="31">
        <f>VLOOKUP($C167,SKU!$A:$I,3,FALSE)</f>
        <v>10018</v>
      </c>
      <c r="B167" s="31" t="str">
        <f>VLOOKUP($C167,SKU!$A:$I,2,FALSE)</f>
        <v>圣月美少女战士星尘协奏曲长卡</v>
      </c>
      <c r="C167" s="34" t="s">
        <v>99</v>
      </c>
      <c r="D167" s="29">
        <v>4</v>
      </c>
      <c r="E167" s="31">
        <f>D167*VLOOKUP(A167,Nhập入库!A:N,8,FALSE)</f>
        <v>52</v>
      </c>
      <c r="G167" s="34" t="s">
        <v>422</v>
      </c>
      <c r="H167" s="34" t="s">
        <v>406</v>
      </c>
      <c r="I167" s="141" t="s">
        <v>404</v>
      </c>
      <c r="J167" s="155">
        <v>0.416666666666667</v>
      </c>
    </row>
    <row r="168" spans="1:11">
      <c r="A168" s="31">
        <f>VLOOKUP($C168,SKU!$A:$I,3,FALSE)</f>
        <v>10004</v>
      </c>
      <c r="B168" s="31" t="str">
        <f>VLOOKUP($C168,SKU!$A:$I,2,FALSE)</f>
        <v>初见花海咒术回战第一弹</v>
      </c>
      <c r="C168" s="29" t="s">
        <v>30</v>
      </c>
      <c r="E168" s="31">
        <f>D168*VLOOKUP(A168,Nhập入库!A:N,8,FALSE)</f>
        <v>0</v>
      </c>
      <c r="F168" s="29">
        <v>20</v>
      </c>
      <c r="G168" s="29" t="s">
        <v>430</v>
      </c>
      <c r="H168" s="29" t="s">
        <v>431</v>
      </c>
      <c r="I168" s="141" t="s">
        <v>445</v>
      </c>
      <c r="J168" s="133">
        <v>0.299305555555556</v>
      </c>
    </row>
    <row r="169" spans="1:11">
      <c r="A169" s="31">
        <f>VLOOKUP($C169,SKU!$A:$I,3,FALSE)</f>
        <v>10044</v>
      </c>
      <c r="B169" s="31" t="str">
        <f>VLOOKUP($C169,SKU!$A:$I,2,FALSE)</f>
        <v>源宇宙原神.空月の歌·周边CD票根邮票组合套装</v>
      </c>
      <c r="C169" s="29" t="s">
        <v>202</v>
      </c>
      <c r="E169" s="31">
        <f>D169*VLOOKUP(A169,Nhập入库!A:N,8,FALSE)</f>
        <v>0</v>
      </c>
      <c r="F169" s="29">
        <v>7</v>
      </c>
      <c r="G169" s="29" t="s">
        <v>426</v>
      </c>
      <c r="H169" s="29" t="s">
        <v>406</v>
      </c>
      <c r="I169" s="141" t="s">
        <v>444</v>
      </c>
      <c r="J169" s="155">
        <v>0.416666666666667</v>
      </c>
    </row>
    <row r="170" spans="1:11">
      <c r="A170" s="31">
        <f>VLOOKUP($C170,SKU!$A:$I,3,FALSE)</f>
        <v>10001</v>
      </c>
      <c r="B170" s="31" t="str">
        <f>VLOOKUP($C170,SKU!$A:$I,2,FALSE)</f>
        <v>《东株社》宝可梦水晶砖</v>
      </c>
      <c r="C170" s="29" t="s">
        <v>12</v>
      </c>
      <c r="E170" s="31">
        <f>D170*VLOOKUP(A170,Nhập入库!A:N,8,FALSE)</f>
        <v>0</v>
      </c>
      <c r="F170" s="29">
        <v>3</v>
      </c>
      <c r="G170" s="29" t="s">
        <v>432</v>
      </c>
      <c r="H170" s="29" t="s">
        <v>406</v>
      </c>
      <c r="I170" s="141" t="s">
        <v>444</v>
      </c>
      <c r="J170" s="155">
        <v>0.416666666666667</v>
      </c>
    </row>
    <row r="171" spans="1:11">
      <c r="A171" s="31">
        <f>VLOOKUP($C171,SKU!$A:$I,3,FALSE)</f>
        <v>10007</v>
      </c>
      <c r="B171" s="31" t="str">
        <f>VLOOKUP($C171,SKU!$A:$I,2,FALSE)</f>
        <v>kawaii宫崎骏梦幻之国</v>
      </c>
      <c r="C171" s="29" t="s">
        <v>49</v>
      </c>
      <c r="D171" s="29">
        <v>5</v>
      </c>
      <c r="E171" s="31">
        <f>D171*VLOOKUP(A171,Nhập入库!A:N,8,FALSE)</f>
        <v>65</v>
      </c>
      <c r="G171" s="29" t="s">
        <v>433</v>
      </c>
      <c r="H171" s="29" t="s">
        <v>431</v>
      </c>
      <c r="I171" s="141" t="s">
        <v>444</v>
      </c>
      <c r="J171" s="133">
        <v>0.725</v>
      </c>
    </row>
    <row r="172" customFormat="1" spans="1:11">
      <c r="A172" s="31">
        <f>VLOOKUP($C172,SKU!$A:$I,3,FALSE)</f>
        <v>10003</v>
      </c>
      <c r="B172" s="31" t="str">
        <f>VLOOKUP($C172,SKU!$A:$I,2,FALSE)</f>
        <v>DUO米全新出品鬼灭之刃-柱合会议篇第二弹</v>
      </c>
      <c r="C172" s="29" t="s">
        <v>24</v>
      </c>
      <c r="D172" s="29">
        <v>5</v>
      </c>
      <c r="E172" s="31">
        <f>D172*VLOOKUP(A172,Nhập入库!A:N,8,FALSE)</f>
        <v>65</v>
      </c>
      <c r="F172" s="29"/>
      <c r="G172" s="29" t="s">
        <v>429</v>
      </c>
      <c r="H172" s="29" t="s">
        <v>428</v>
      </c>
      <c r="I172" s="141" t="s">
        <v>445</v>
      </c>
      <c r="J172" s="133">
        <v>0.941666666666667</v>
      </c>
      <c r="K172" s="1"/>
    </row>
    <row r="173" spans="1:11">
      <c r="A173" s="31">
        <f>VLOOKUP($C173,SKU!$A:$I,3,FALSE)</f>
        <v>10007</v>
      </c>
      <c r="B173" s="31" t="str">
        <f>VLOOKUP($C173,SKU!$A:$I,2,FALSE)</f>
        <v>kawaii宫崎骏梦幻之国</v>
      </c>
      <c r="C173" s="29" t="s">
        <v>49</v>
      </c>
      <c r="D173" s="29">
        <v>5</v>
      </c>
      <c r="E173" s="31">
        <f>D173*VLOOKUP(A173,Nhập入库!A:N,8,FALSE)</f>
        <v>65</v>
      </c>
      <c r="G173" s="29" t="s">
        <v>433</v>
      </c>
      <c r="H173" s="29" t="s">
        <v>431</v>
      </c>
      <c r="I173" s="141" t="s">
        <v>444</v>
      </c>
      <c r="J173" s="133">
        <v>0.972222222222222</v>
      </c>
    </row>
    <row r="174" spans="1:11">
      <c r="A174" s="31">
        <f>VLOOKUP($C174,SKU!$A:$I,3,FALSE)</f>
        <v>10032</v>
      </c>
      <c r="B174" s="31" t="str">
        <f>VLOOKUP($C174,SKU!$A:$I,2,FALSE)</f>
        <v>绘心阁《魔道祖师—殊途同归》色纸卡牌</v>
      </c>
      <c r="C174" s="29" t="s">
        <v>155</v>
      </c>
      <c r="E174" s="31">
        <f>D174*VLOOKUP(A174,Nhập入库!A:N,8,FALSE)</f>
        <v>0</v>
      </c>
      <c r="F174" s="29">
        <v>60</v>
      </c>
      <c r="G174" s="29" t="s">
        <v>433</v>
      </c>
      <c r="H174" s="29" t="s">
        <v>431</v>
      </c>
      <c r="I174" s="141" t="s">
        <v>444</v>
      </c>
      <c r="J174" s="133">
        <v>0.972222222222222</v>
      </c>
    </row>
    <row r="175" spans="1:11">
      <c r="A175" s="31">
        <f>VLOOKUP($C175,SKU!$A:$I,3,FALSE)</f>
        <v>10004</v>
      </c>
      <c r="B175" s="31" t="str">
        <f>VLOOKUP($C175,SKU!$A:$I,2,FALSE)</f>
        <v>初见花海咒术回战第一弹</v>
      </c>
      <c r="C175" s="34" t="s">
        <v>30</v>
      </c>
      <c r="D175" s="29">
        <v>20</v>
      </c>
      <c r="E175" s="31">
        <f>D175*VLOOKUP(A175,Nhập入库!A:N,8,FALSE)</f>
        <v>20</v>
      </c>
      <c r="G175" s="34" t="s">
        <v>426</v>
      </c>
      <c r="H175" s="34" t="s">
        <v>406</v>
      </c>
      <c r="I175" s="141" t="s">
        <v>446</v>
      </c>
      <c r="J175" s="133">
        <v>0.385416666666667</v>
      </c>
    </row>
    <row r="176" spans="1:11">
      <c r="A176" s="31">
        <f>VLOOKUP($C176,SKU!$A:$I,3,FALSE)</f>
        <v>10004</v>
      </c>
      <c r="B176" s="31" t="str">
        <f>VLOOKUP($C176,SKU!$A:$I,2,FALSE)</f>
        <v>初见花海咒术回战第一弹</v>
      </c>
      <c r="C176" s="34" t="s">
        <v>30</v>
      </c>
      <c r="E176" s="31">
        <f>D176*VLOOKUP(A176,Nhập入库!A:N,8,FALSE)</f>
        <v>0</v>
      </c>
      <c r="F176" s="29">
        <v>15</v>
      </c>
      <c r="G176" s="34" t="s">
        <v>426</v>
      </c>
      <c r="H176" s="34" t="s">
        <v>406</v>
      </c>
      <c r="I176" s="141" t="s">
        <v>446</v>
      </c>
      <c r="J176" s="133">
        <v>0.391666666666667</v>
      </c>
    </row>
    <row r="177" spans="1:11">
      <c r="A177" s="31">
        <f>VLOOKUP($C177,SKU!$A:$I,3,FALSE)</f>
        <v>10011</v>
      </c>
      <c r="B177" s="31" t="str">
        <f>VLOOKUP($C177,SKU!$A:$I,2,FALSE)</f>
        <v>灿卡文创宫崎骏第二弹《花涧物语》</v>
      </c>
      <c r="C177" s="34" t="s">
        <v>71</v>
      </c>
      <c r="D177" s="29">
        <v>5</v>
      </c>
      <c r="E177" s="31">
        <f>D177*VLOOKUP(A177,Nhập入库!A:N,8,FALSE)</f>
        <v>65</v>
      </c>
      <c r="G177" s="34" t="s">
        <v>432</v>
      </c>
      <c r="H177" s="34" t="s">
        <v>406</v>
      </c>
      <c r="I177" s="141" t="s">
        <v>446</v>
      </c>
      <c r="J177" s="133">
        <v>0.409027777777778</v>
      </c>
    </row>
    <row r="178" spans="1:11">
      <c r="A178" s="31">
        <f>VLOOKUP($C178,SKU!$A:$I,3,FALSE)</f>
        <v>10010</v>
      </c>
      <c r="B178" s="31" t="str">
        <f>VLOOKUP($C178,SKU!$A:$I,2,FALSE)</f>
        <v>玩的入迷-魔卡少女樱第一弹—樱之绮遇</v>
      </c>
      <c r="C178" s="34" t="s">
        <v>66</v>
      </c>
      <c r="E178" s="31">
        <f>D178*VLOOKUP(A178,Nhập入库!A:N,8,FALSE)</f>
        <v>0</v>
      </c>
      <c r="F178" s="29">
        <v>23</v>
      </c>
      <c r="G178" s="34" t="s">
        <v>422</v>
      </c>
      <c r="H178" s="34" t="s">
        <v>406</v>
      </c>
      <c r="I178" s="141" t="s">
        <v>445</v>
      </c>
      <c r="J178" s="133">
        <v>0.425694444444444</v>
      </c>
    </row>
    <row r="179" spans="1:11">
      <c r="A179" s="31">
        <f>VLOOKUP($C179,SKU!$A:$I,3,FALSE)</f>
        <v>10037</v>
      </c>
      <c r="B179" s="31" t="str">
        <f>VLOOKUP($C179,SKU!$A:$I,2,FALSE)</f>
        <v>磁吸邮票《咪咕咪咕&amp;魔卡少女樱》</v>
      </c>
      <c r="C179" s="34" t="s">
        <v>175</v>
      </c>
      <c r="D179" s="29">
        <v>20</v>
      </c>
      <c r="E179" s="31">
        <f>D179*VLOOKUP(A179,Nhập入库!A:N,8,FALSE)</f>
        <v>20</v>
      </c>
      <c r="G179" s="34" t="s">
        <v>426</v>
      </c>
      <c r="H179" s="34" t="s">
        <v>406</v>
      </c>
      <c r="I179" s="141" t="s">
        <v>445</v>
      </c>
      <c r="J179" s="133">
        <v>0.425694444444444</v>
      </c>
    </row>
    <row r="180" spans="1:11">
      <c r="A180" s="31">
        <f>VLOOKUP($C180,SKU!$A:$I,3,FALSE)</f>
        <v>10004</v>
      </c>
      <c r="B180" s="31" t="str">
        <f>VLOOKUP($C180,SKU!$A:$I,2,FALSE)</f>
        <v>初见花海咒术回战第一弹</v>
      </c>
      <c r="C180" s="29" t="s">
        <v>30</v>
      </c>
      <c r="E180" s="31">
        <f>D180*VLOOKUP(A180,Nhập入库!A:N,8,FALSE)</f>
        <v>0</v>
      </c>
      <c r="F180" s="29">
        <v>10</v>
      </c>
      <c r="G180" s="29" t="s">
        <v>33</v>
      </c>
      <c r="H180" s="29" t="s">
        <v>424</v>
      </c>
      <c r="I180" s="141" t="s">
        <v>445</v>
      </c>
      <c r="J180" s="133">
        <v>0.416666666666667</v>
      </c>
    </row>
    <row r="181" spans="1:11">
      <c r="A181" s="31">
        <f>VLOOKUP($C181,SKU!$A:$I,3,FALSE)</f>
        <v>10029</v>
      </c>
      <c r="B181" s="31" t="str">
        <f>VLOOKUP($C181,SKU!$A:$I,2,FALSE)</f>
        <v>樱花屋魔卡少女樱</v>
      </c>
      <c r="C181" s="34" t="s">
        <v>143</v>
      </c>
      <c r="D181" s="29">
        <v>5</v>
      </c>
      <c r="E181" s="31">
        <f>D181*VLOOKUP(A181,Nhập入库!A:N,8,FALSE)</f>
        <v>60</v>
      </c>
      <c r="G181" s="34" t="s">
        <v>422</v>
      </c>
      <c r="H181" s="34" t="s">
        <v>406</v>
      </c>
      <c r="I181" s="141" t="s">
        <v>445</v>
      </c>
      <c r="J181" s="133">
        <v>0.430555555555556</v>
      </c>
    </row>
    <row r="182" spans="1:11">
      <c r="A182" s="31">
        <f>VLOOKUP($C182,SKU!$A:$I,3,FALSE)</f>
        <v>10029</v>
      </c>
      <c r="B182" s="31" t="str">
        <f>VLOOKUP($C182,SKU!$A:$I,2,FALSE)</f>
        <v>樱花屋魔卡少女樱</v>
      </c>
      <c r="C182" s="34" t="s">
        <v>143</v>
      </c>
      <c r="D182" s="29">
        <v>5</v>
      </c>
      <c r="E182" s="31">
        <f>D182*VLOOKUP(A182,Nhập入库!A:N,8,FALSE)</f>
        <v>60</v>
      </c>
      <c r="G182" s="34" t="s">
        <v>422</v>
      </c>
      <c r="H182" s="34" t="s">
        <v>406</v>
      </c>
      <c r="I182" s="141" t="s">
        <v>445</v>
      </c>
      <c r="J182" s="133">
        <v>0.443055555555556</v>
      </c>
    </row>
    <row r="183" spans="1:11">
      <c r="A183" s="31">
        <f>VLOOKUP($C183,SKU!$A:$I,3,FALSE)</f>
        <v>10003</v>
      </c>
      <c r="B183" s="31" t="str">
        <f>VLOOKUP($C183,SKU!$A:$I,2,FALSE)</f>
        <v>DUO米全新出品鬼灭之刃-柱合会议篇第二弹</v>
      </c>
      <c r="C183" s="29" t="s">
        <v>24</v>
      </c>
      <c r="D183" s="29">
        <v>5</v>
      </c>
      <c r="E183" s="31">
        <f>D183*VLOOKUP(A183,Nhập入库!A:N,8,FALSE)</f>
        <v>65</v>
      </c>
      <c r="G183" s="29" t="s">
        <v>425</v>
      </c>
      <c r="H183" s="29" t="s">
        <v>424</v>
      </c>
      <c r="I183" s="141" t="s">
        <v>446</v>
      </c>
      <c r="J183" s="133">
        <v>0.45625</v>
      </c>
    </row>
    <row r="184" spans="1:11">
      <c r="A184" s="31">
        <f>VLOOKUP($C184,SKU!$A:$I,3,FALSE)</f>
        <v>10015</v>
      </c>
      <c r="B184" s="31" t="str">
        <f>VLOOKUP($C184,SKU!$A:$I,2,FALSE)</f>
        <v>梦绘文创-宫崎骏第二弹</v>
      </c>
      <c r="C184" s="34" t="s">
        <v>87</v>
      </c>
      <c r="D184" s="29">
        <v>10</v>
      </c>
      <c r="E184" s="31">
        <f>D184*VLOOKUP(A184,Nhập入库!A:N,8,FALSE)</f>
        <v>120</v>
      </c>
      <c r="G184" s="34" t="s">
        <v>432</v>
      </c>
      <c r="H184" s="34" t="s">
        <v>406</v>
      </c>
      <c r="I184" s="141" t="s">
        <v>447</v>
      </c>
      <c r="J184" s="133"/>
    </row>
    <row r="185" spans="1:11">
      <c r="A185" s="31">
        <f>VLOOKUP($C185,SKU!$A:$I,3,FALSE)</f>
        <v>10003</v>
      </c>
      <c r="B185" s="31" t="str">
        <f>VLOOKUP($C185,SKU!$A:$I,2,FALSE)</f>
        <v>DUO米全新出品鬼灭之刃-柱合会议篇第二弹</v>
      </c>
      <c r="C185" s="29" t="s">
        <v>24</v>
      </c>
      <c r="D185" s="29">
        <v>5</v>
      </c>
      <c r="E185" s="31">
        <f>D185*VLOOKUP(A185,Nhập入库!A:N,8,FALSE)</f>
        <v>65</v>
      </c>
      <c r="G185" s="34" t="s">
        <v>33</v>
      </c>
      <c r="H185" s="34" t="s">
        <v>424</v>
      </c>
      <c r="I185" s="141" t="s">
        <v>446</v>
      </c>
      <c r="J185" s="133">
        <v>0.583333333333333</v>
      </c>
    </row>
    <row r="186" spans="1:11">
      <c r="A186" s="31">
        <f>VLOOKUP($C186,SKU!$A:$I,3,FALSE)</f>
        <v>10011</v>
      </c>
      <c r="B186" s="31" t="str">
        <f>VLOOKUP($C186,SKU!$A:$I,2,FALSE)</f>
        <v>灿卡文创宫崎骏第二弹《花涧物语》</v>
      </c>
      <c r="C186" s="34" t="s">
        <v>71</v>
      </c>
      <c r="D186" s="29">
        <v>12</v>
      </c>
      <c r="E186" s="31">
        <f>D186*VLOOKUP(A186,Nhập入库!A:N,8,FALSE)</f>
        <v>156</v>
      </c>
      <c r="G186" s="34" t="s">
        <v>432</v>
      </c>
      <c r="H186" s="34" t="s">
        <v>406</v>
      </c>
      <c r="I186" s="141" t="s">
        <v>421</v>
      </c>
      <c r="J186" s="133">
        <v>0.688194444444444</v>
      </c>
    </row>
    <row r="187" spans="1:11">
      <c r="A187" s="31">
        <f>VLOOKUP($C187,SKU!$A:$I,3,FALSE)</f>
        <v>10011</v>
      </c>
      <c r="B187" s="31" t="str">
        <f>VLOOKUP($C187,SKU!$A:$I,2,FALSE)</f>
        <v>灿卡文创宫崎骏第二弹《花涧物语》</v>
      </c>
      <c r="C187" s="34" t="s">
        <v>71</v>
      </c>
      <c r="D187" s="29">
        <v>5</v>
      </c>
      <c r="E187" s="31">
        <f>D187*VLOOKUP(A187,Nhập入库!A:N,8,FALSE)</f>
        <v>65</v>
      </c>
      <c r="G187" s="34" t="s">
        <v>432</v>
      </c>
      <c r="H187" s="34" t="s">
        <v>406</v>
      </c>
      <c r="I187" s="141" t="s">
        <v>435</v>
      </c>
      <c r="J187" s="133">
        <v>0.502777777777778</v>
      </c>
    </row>
    <row r="188" spans="1:11">
      <c r="A188" s="31">
        <f>VLOOKUP($C188,SKU!$A:$I,3,FALSE)</f>
        <v>10006</v>
      </c>
      <c r="B188" s="31" t="str">
        <f>VLOOKUP($C188,SKU!$A:$I,2,FALSE)</f>
        <v>云映文化「云之境の夏」第二弹·宫崎骏珍藏卡牌</v>
      </c>
      <c r="C188" s="34" t="s">
        <v>43</v>
      </c>
      <c r="D188" s="29">
        <v>5</v>
      </c>
      <c r="E188" s="31">
        <f>D188*VLOOKUP(A188,Nhập入库!A:N,8,FALSE)</f>
        <v>65</v>
      </c>
      <c r="G188" s="34" t="s">
        <v>432</v>
      </c>
      <c r="H188" s="34" t="s">
        <v>424</v>
      </c>
      <c r="I188" s="141" t="s">
        <v>444</v>
      </c>
      <c r="J188" s="133">
        <v>0.516666666666667</v>
      </c>
    </row>
    <row r="189" spans="1:11">
      <c r="A189" s="31">
        <f>VLOOKUP($C189,SKU!$A:$I,3,FALSE)</f>
        <v>10017</v>
      </c>
      <c r="B189" s="31" t="str">
        <f>VLOOKUP($C189,SKU!$A:$I,2,FALSE)</f>
        <v>梦境-美少女战士第一弹</v>
      </c>
      <c r="C189" s="34" t="s">
        <v>95</v>
      </c>
      <c r="D189" s="29">
        <v>6</v>
      </c>
      <c r="E189" s="31">
        <f>D189*VLOOKUP(A189,Nhập入库!A:N,8,FALSE)</f>
        <v>78</v>
      </c>
      <c r="G189" s="34" t="s">
        <v>422</v>
      </c>
      <c r="H189" s="34" t="s">
        <v>406</v>
      </c>
      <c r="I189" s="141" t="s">
        <v>446</v>
      </c>
      <c r="J189" s="133">
        <v>0.50625</v>
      </c>
    </row>
    <row r="190" spans="1:11">
      <c r="A190" s="31">
        <f>VLOOKUP($C190,SKU!$A:$I,3,FALSE)</f>
        <v>10019</v>
      </c>
      <c r="B190" s="31" t="str">
        <f>VLOOKUP($C190,SKU!$A:$I,2,FALSE)</f>
        <v>谷子力量 x 竹烟波月亚克力透卡</v>
      </c>
      <c r="C190" s="34" t="s">
        <v>103</v>
      </c>
      <c r="D190" s="29">
        <v>75</v>
      </c>
      <c r="E190" s="31">
        <f>D190*VLOOKUP(A190,Nhập入库!A:N,8,FALSE)</f>
        <v>75</v>
      </c>
      <c r="G190" s="34" t="s">
        <v>433</v>
      </c>
      <c r="H190" s="34" t="s">
        <v>431</v>
      </c>
      <c r="I190" s="141" t="s">
        <v>447</v>
      </c>
      <c r="J190" s="133">
        <v>0.708333333333333</v>
      </c>
    </row>
    <row r="191" spans="1:11">
      <c r="A191" s="31">
        <f>VLOOKUP($C191,SKU!$A:$I,3,FALSE)</f>
        <v>10017</v>
      </c>
      <c r="B191" s="31" t="str">
        <f>VLOOKUP($C191,SKU!$A:$I,2,FALSE)</f>
        <v>梦境-美少女战士第一弹</v>
      </c>
      <c r="C191" s="34" t="s">
        <v>95</v>
      </c>
      <c r="D191" s="29">
        <v>2</v>
      </c>
      <c r="E191" s="31">
        <f>D191*VLOOKUP(A191,Nhập入库!A:N,8,FALSE)</f>
        <v>26</v>
      </c>
      <c r="G191" s="34" t="s">
        <v>422</v>
      </c>
      <c r="H191" s="34" t="s">
        <v>406</v>
      </c>
      <c r="I191" s="34" t="s">
        <v>448</v>
      </c>
      <c r="J191" s="133">
        <v>0.622222222222222</v>
      </c>
    </row>
    <row r="192" customFormat="1" spans="1:11">
      <c r="A192" s="31">
        <f>VLOOKUP($C192,SKU!$A:$I,3,FALSE)</f>
        <v>10003</v>
      </c>
      <c r="B192" s="31" t="str">
        <f>VLOOKUP($C192,SKU!$A:$I,2,FALSE)</f>
        <v>DUO米全新出品鬼灭之刃-柱合会议篇第二弹</v>
      </c>
      <c r="C192" s="29" t="s">
        <v>24</v>
      </c>
      <c r="D192" s="29">
        <v>5</v>
      </c>
      <c r="E192" s="31">
        <f>D192*VLOOKUP(A192,Nhập入库!A:N,8,FALSE)</f>
        <v>65</v>
      </c>
      <c r="F192" s="29"/>
      <c r="G192" s="29" t="s">
        <v>114</v>
      </c>
      <c r="H192" s="29" t="s">
        <v>434</v>
      </c>
      <c r="I192" s="141" t="s">
        <v>439</v>
      </c>
      <c r="J192" s="133">
        <v>0.682638888888889</v>
      </c>
      <c r="K192" s="1"/>
    </row>
    <row r="193" spans="1:10">
      <c r="A193" s="31">
        <f>VLOOKUP($C193,SKU!$A:$I,3,FALSE)</f>
        <v>10003</v>
      </c>
      <c r="B193" s="31" t="str">
        <f>VLOOKUP($C193,SKU!$A:$I,2,FALSE)</f>
        <v>DUO米全新出品鬼灭之刃-柱合会议篇第二弹</v>
      </c>
      <c r="C193" s="34" t="s">
        <v>24</v>
      </c>
      <c r="D193" s="29">
        <v>1</v>
      </c>
      <c r="E193" s="31">
        <f>D193*VLOOKUP(A193,Nhập入库!A:N,8,FALSE)</f>
        <v>13</v>
      </c>
      <c r="G193" s="34" t="s">
        <v>430</v>
      </c>
      <c r="H193" s="34" t="s">
        <v>431</v>
      </c>
      <c r="I193" s="141" t="s">
        <v>448</v>
      </c>
      <c r="J193" s="133">
        <v>0.829861111111111</v>
      </c>
    </row>
    <row r="194" spans="1:10">
      <c r="A194" s="31">
        <f>VLOOKUP($C194,SKU!$A:$I,3,FALSE)</f>
        <v>10003</v>
      </c>
      <c r="B194" s="31" t="str">
        <f>VLOOKUP($C194,SKU!$A:$I,2,FALSE)</f>
        <v>DUO米全新出品鬼灭之刃-柱合会议篇第二弹</v>
      </c>
      <c r="C194" s="34" t="s">
        <v>24</v>
      </c>
      <c r="D194" s="29">
        <v>3</v>
      </c>
      <c r="E194" s="31">
        <f>D194*VLOOKUP(A194,Nhập入库!A:N,8,FALSE)</f>
        <v>39</v>
      </c>
      <c r="F194" s="29">
        <v>32</v>
      </c>
      <c r="G194" s="34" t="s">
        <v>430</v>
      </c>
      <c r="H194" s="34" t="s">
        <v>431</v>
      </c>
      <c r="I194" s="141" t="s">
        <v>448</v>
      </c>
      <c r="J194" s="133">
        <v>0.911111111111111</v>
      </c>
    </row>
    <row r="195" spans="1:10">
      <c r="A195" s="31">
        <f>VLOOKUP($C195,SKU!$A:$I,3,FALSE)</f>
        <v>10003</v>
      </c>
      <c r="B195" s="31" t="str">
        <f>VLOOKUP($C195,SKU!$A:$I,2,FALSE)</f>
        <v>DUO米全新出品鬼灭之刃-柱合会议篇第二弹</v>
      </c>
      <c r="C195" s="29" t="s">
        <v>24</v>
      </c>
      <c r="E195" s="31">
        <f>D195*VLOOKUP(A195,Nhập入库!A:N,8,FALSE)</f>
        <v>0</v>
      </c>
      <c r="F195" s="29">
        <f>28+30</f>
        <v>58</v>
      </c>
      <c r="G195" s="34" t="s">
        <v>430</v>
      </c>
      <c r="H195" s="34" t="s">
        <v>431</v>
      </c>
      <c r="I195" s="141" t="s">
        <v>448</v>
      </c>
      <c r="J195" s="133">
        <v>0.945138888888889</v>
      </c>
    </row>
    <row r="196" spans="1:10">
      <c r="A196" s="31">
        <f>VLOOKUP($C196,SKU!$A:$I,3,FALSE)</f>
        <v>10034</v>
      </c>
      <c r="B196" s="31" t="str">
        <f>VLOOKUP($C196,SKU!$A:$I,2,FALSE)</f>
        <v>兰亭文创x墨家三宝典藏色纸砚池春深系列</v>
      </c>
      <c r="C196" s="29" t="s">
        <v>163</v>
      </c>
      <c r="E196" s="31">
        <f>D196*VLOOKUP(A196,Nhập入库!A:N,8,FALSE)</f>
        <v>0</v>
      </c>
      <c r="F196" s="29">
        <v>40</v>
      </c>
      <c r="G196" s="29" t="s">
        <v>433</v>
      </c>
      <c r="H196" s="29" t="s">
        <v>431</v>
      </c>
      <c r="I196" s="141" t="s">
        <v>448</v>
      </c>
      <c r="J196" s="133">
        <v>0.982638888888889</v>
      </c>
    </row>
    <row r="197" spans="1:10">
      <c r="A197" s="31">
        <f>VLOOKUP($C197,SKU!$A:$I,3,FALSE)</f>
        <v>10003</v>
      </c>
      <c r="B197" s="31" t="str">
        <f>VLOOKUP($C197,SKU!$A:$I,2,FALSE)</f>
        <v>DUO米全新出品鬼灭之刃-柱合会议篇第二弹</v>
      </c>
      <c r="C197" s="29" t="s">
        <v>24</v>
      </c>
      <c r="E197" s="31">
        <f>D197*VLOOKUP(A197,Nhập入库!A:N,8,FALSE)</f>
        <v>0</v>
      </c>
      <c r="F197" s="29">
        <v>49</v>
      </c>
      <c r="G197" s="29" t="s">
        <v>429</v>
      </c>
      <c r="H197" s="29" t="s">
        <v>428</v>
      </c>
      <c r="I197" s="141" t="s">
        <v>448</v>
      </c>
      <c r="J197" s="133">
        <v>0.990972222222222</v>
      </c>
    </row>
    <row r="198" spans="1:10">
      <c r="A198" s="31">
        <f>VLOOKUP($C198,SKU!$A:$I,3,FALSE)</f>
        <v>10003</v>
      </c>
      <c r="B198" s="31" t="str">
        <f>VLOOKUP($C198,SKU!$A:$I,2,FALSE)</f>
        <v>DUO米全新出品鬼灭之刃-柱合会议篇第二弹</v>
      </c>
      <c r="C198" s="29" t="s">
        <v>24</v>
      </c>
      <c r="E198" s="31">
        <f>D198*VLOOKUP(A198,Nhập入库!A:N,8,FALSE)</f>
        <v>0</v>
      </c>
      <c r="F198" s="29">
        <v>76</v>
      </c>
      <c r="G198" s="29" t="s">
        <v>430</v>
      </c>
      <c r="H198" s="29" t="s">
        <v>431</v>
      </c>
      <c r="I198" s="141" t="s">
        <v>448</v>
      </c>
      <c r="J198" s="133">
        <v>0.990972222222222</v>
      </c>
    </row>
    <row r="199" spans="1:10">
      <c r="A199" s="31">
        <f>VLOOKUP($C199,SKU!$A:$I,3,FALSE)</f>
        <v>10003</v>
      </c>
      <c r="B199" s="31" t="str">
        <f>VLOOKUP($C199,SKU!$A:$I,2,FALSE)</f>
        <v>DUO米全新出品鬼灭之刃-柱合会议篇第二弹</v>
      </c>
      <c r="C199" s="34" t="s">
        <v>24</v>
      </c>
      <c r="D199" s="29">
        <v>5</v>
      </c>
      <c r="E199" s="31">
        <f>D199*VLOOKUP(A199,Nhập入库!A:N,8,FALSE)</f>
        <v>65</v>
      </c>
      <c r="G199" s="34" t="s">
        <v>429</v>
      </c>
      <c r="H199" s="34" t="s">
        <v>428</v>
      </c>
      <c r="I199" s="157">
        <v>45952</v>
      </c>
      <c r="J199" s="133">
        <v>0.824305555555556</v>
      </c>
    </row>
    <row r="200" spans="1:10">
      <c r="A200" s="31">
        <f>VLOOKUP($C200,SKU!$A:$I,3,FALSE)</f>
        <v>10007</v>
      </c>
      <c r="B200" s="31" t="str">
        <f>VLOOKUP($C200,SKU!$A:$I,2,FALSE)</f>
        <v>kawaii宫崎骏梦幻之国</v>
      </c>
      <c r="C200" s="34" t="s">
        <v>49</v>
      </c>
      <c r="D200" s="29">
        <v>5</v>
      </c>
      <c r="E200" s="31">
        <f>D200*VLOOKUP(A200,Nhập入库!A:N,8,FALSE)</f>
        <v>65</v>
      </c>
      <c r="G200" s="34" t="s">
        <v>86</v>
      </c>
      <c r="H200" s="34" t="s">
        <v>428</v>
      </c>
      <c r="I200" s="157">
        <v>45963</v>
      </c>
      <c r="J200" s="155">
        <v>0.118055555555556</v>
      </c>
    </row>
    <row r="201" spans="1:10">
      <c r="A201" s="31">
        <f>VLOOKUP($C201,SKU!$A:$I,3,FALSE)</f>
        <v>10026</v>
      </c>
      <c r="B201" s="31" t="str">
        <f>VLOOKUP($C201,SKU!$A:$I,2,FALSE)</f>
        <v>星恋文创·恋与深空《晦明交错之间》亚克力相框卡</v>
      </c>
      <c r="C201" s="34" t="s">
        <v>131</v>
      </c>
      <c r="D201" s="29">
        <v>20</v>
      </c>
      <c r="E201" s="31">
        <f>D201*VLOOKUP(A201,Nhập入库!A:N,8,FALSE)</f>
        <v>20</v>
      </c>
      <c r="G201" s="34" t="s">
        <v>86</v>
      </c>
      <c r="H201" s="34" t="s">
        <v>428</v>
      </c>
      <c r="I201" s="157">
        <v>45963</v>
      </c>
      <c r="J201" s="155">
        <v>0.1375</v>
      </c>
    </row>
    <row r="202" spans="1:10">
      <c r="A202" s="31">
        <f>VLOOKUP($C202,SKU!$A:$I,3,FALSE)</f>
        <v>10037</v>
      </c>
      <c r="B202" s="31" t="str">
        <f>VLOOKUP($C202,SKU!$A:$I,2,FALSE)</f>
        <v>磁吸邮票《咪咕咪咕&amp;魔卡少女樱》</v>
      </c>
      <c r="C202" s="34" t="s">
        <v>175</v>
      </c>
      <c r="D202" s="29">
        <v>20</v>
      </c>
      <c r="E202" s="31">
        <f>D202*VLOOKUP(A202,Nhập入库!A:N,8,FALSE)</f>
        <v>20</v>
      </c>
      <c r="G202" s="34" t="s">
        <v>426</v>
      </c>
      <c r="H202" s="34" t="s">
        <v>406</v>
      </c>
      <c r="I202" s="34" t="s">
        <v>449</v>
      </c>
      <c r="J202" s="133">
        <v>0.490972222222222</v>
      </c>
    </row>
    <row r="203" spans="1:10">
      <c r="A203" s="31">
        <f>VLOOKUP($C203,SKU!$A:$I,3,FALSE)</f>
        <v>10007</v>
      </c>
      <c r="B203" s="31" t="str">
        <f>VLOOKUP($C203,SKU!$A:$I,2,FALSE)</f>
        <v>kawaii宫崎骏梦幻之国</v>
      </c>
      <c r="C203" s="34" t="s">
        <v>49</v>
      </c>
      <c r="D203" s="29">
        <v>5</v>
      </c>
      <c r="E203" s="31">
        <f>D203*VLOOKUP(A203,Nhập入库!A:N,8,FALSE)</f>
        <v>65</v>
      </c>
      <c r="G203" s="34" t="s">
        <v>432</v>
      </c>
      <c r="H203" s="34" t="s">
        <v>406</v>
      </c>
      <c r="I203" s="34" t="s">
        <v>449</v>
      </c>
      <c r="J203" s="155">
        <v>0.530555555555556</v>
      </c>
    </row>
    <row r="204" spans="1:10">
      <c r="A204" s="31">
        <f>VLOOKUP($C204,SKU!$A:$I,3,FALSE)</f>
        <v>10035</v>
      </c>
      <c r="B204" s="31" t="str">
        <f>VLOOKUP($C204,SKU!$A:$I,2,FALSE)</f>
        <v>KK CARD × 新海诚系列第一弹</v>
      </c>
      <c r="C204" s="34" t="s">
        <v>167</v>
      </c>
      <c r="E204" s="31">
        <f>D204*VLOOKUP(A204,Nhập入库!A:N,8,FALSE)</f>
        <v>0</v>
      </c>
      <c r="F204" s="29">
        <v>41</v>
      </c>
      <c r="G204" s="34" t="s">
        <v>426</v>
      </c>
      <c r="H204" s="34" t="s">
        <v>406</v>
      </c>
      <c r="I204" s="34" t="s">
        <v>449</v>
      </c>
      <c r="J204" s="133">
        <v>0.595138888888889</v>
      </c>
    </row>
    <row r="205" spans="1:10">
      <c r="A205" s="31">
        <f>VLOOKUP($C205,SKU!$A:$I,3,FALSE)</f>
        <v>10017</v>
      </c>
      <c r="B205" s="31" t="str">
        <f>VLOOKUP($C205,SKU!$A:$I,2,FALSE)</f>
        <v>梦境-美少女战士第一弹</v>
      </c>
      <c r="C205" s="34" t="s">
        <v>95</v>
      </c>
      <c r="E205" s="31">
        <f>D205*VLOOKUP(A205,Nhập入库!A:N,8,FALSE)</f>
        <v>0</v>
      </c>
      <c r="F205" s="29">
        <v>29</v>
      </c>
      <c r="G205" s="34" t="s">
        <v>422</v>
      </c>
      <c r="H205" s="34" t="s">
        <v>406</v>
      </c>
      <c r="I205" s="34" t="s">
        <v>449</v>
      </c>
      <c r="J205" s="133">
        <v>0.63125</v>
      </c>
    </row>
    <row r="206" spans="1:10">
      <c r="A206" s="31">
        <f>VLOOKUP($C206,SKU!$A:$I,3,FALSE)</f>
        <v>10007</v>
      </c>
      <c r="B206" s="31" t="str">
        <f>VLOOKUP($C206,SKU!$A:$I,2,FALSE)</f>
        <v>kawaii宫崎骏梦幻之国</v>
      </c>
      <c r="C206" s="29" t="s">
        <v>49</v>
      </c>
      <c r="D206" s="29">
        <v>5</v>
      </c>
      <c r="E206" s="31">
        <f>D206*VLOOKUP(A206,Nhập入库!A:N,8,FALSE)</f>
        <v>65</v>
      </c>
      <c r="G206" s="29" t="s">
        <v>425</v>
      </c>
      <c r="H206" s="29" t="s">
        <v>424</v>
      </c>
      <c r="I206" s="34" t="s">
        <v>449</v>
      </c>
      <c r="J206" s="133">
        <v>0.529861111111111</v>
      </c>
    </row>
    <row r="207" spans="1:10">
      <c r="A207" s="31">
        <f>VLOOKUP($C207,SKU!$A:$I,3,FALSE)</f>
        <v>10039</v>
      </c>
      <c r="B207" s="31" t="str">
        <f>VLOOKUP($C207,SKU!$A:$I,2,FALSE)</f>
        <v>非凡航海王第五弹</v>
      </c>
      <c r="C207" s="29" t="s">
        <v>184</v>
      </c>
      <c r="D207" s="29">
        <v>17</v>
      </c>
      <c r="E207" s="31">
        <f>D207*VLOOKUP(A207,Nhập入库!A:N,8,FALSE)</f>
        <v>340</v>
      </c>
      <c r="G207" s="29" t="s">
        <v>33</v>
      </c>
      <c r="H207" s="29" t="s">
        <v>424</v>
      </c>
      <c r="I207" s="34" t="s">
        <v>449</v>
      </c>
      <c r="J207" s="133">
        <v>0.529861111111111</v>
      </c>
    </row>
    <row r="208" spans="1:10">
      <c r="A208" s="31">
        <f>VLOOKUP($C208,SKU!$A:$I,3,FALSE)</f>
        <v>10023</v>
      </c>
      <c r="B208" s="31" t="str">
        <f>VLOOKUP($C208,SKU!$A:$I,2,FALSE)</f>
        <v>风信文创尘世相逢之约星光来信原神邮票第一弹</v>
      </c>
      <c r="C208" s="29" t="s">
        <v>119</v>
      </c>
      <c r="D208" s="29">
        <v>10</v>
      </c>
      <c r="E208" s="31">
        <f>D208*VLOOKUP(A208,Nhập入库!A:N,8,FALSE)</f>
        <v>10</v>
      </c>
      <c r="G208" s="29" t="s">
        <v>33</v>
      </c>
      <c r="H208" s="29" t="s">
        <v>424</v>
      </c>
      <c r="I208" s="34" t="s">
        <v>449</v>
      </c>
      <c r="J208" s="133">
        <v>0.529861111111111</v>
      </c>
    </row>
    <row r="209" spans="1:10">
      <c r="A209" s="31">
        <f>VLOOKUP($C209,SKU!$A:$I,3,FALSE)</f>
        <v>10034</v>
      </c>
      <c r="B209" s="31" t="str">
        <f>VLOOKUP($C209,SKU!$A:$I,2,FALSE)</f>
        <v>兰亭文创x墨家三宝典藏色纸砚池春深系列</v>
      </c>
      <c r="C209" s="34" t="s">
        <v>163</v>
      </c>
      <c r="E209" s="31">
        <f>D209*VLOOKUP(A209,Nhập入库!A:N,8,FALSE)</f>
        <v>0</v>
      </c>
      <c r="F209" s="29">
        <v>40</v>
      </c>
      <c r="G209" s="34" t="s">
        <v>433</v>
      </c>
      <c r="H209" s="34" t="s">
        <v>431</v>
      </c>
      <c r="I209" s="34" t="s">
        <v>449</v>
      </c>
      <c r="J209" s="133">
        <v>0.875</v>
      </c>
    </row>
    <row r="210" spans="1:10">
      <c r="A210" s="31">
        <f>VLOOKUP($C210,SKU!$A:$I,3,FALSE)</f>
        <v>10003</v>
      </c>
      <c r="B210" s="31" t="str">
        <f>VLOOKUP($C210,SKU!$A:$I,2,FALSE)</f>
        <v>DUO米全新出品鬼灭之刃-柱合会议篇第二弹</v>
      </c>
      <c r="C210" s="34" t="s">
        <v>24</v>
      </c>
      <c r="E210" s="31">
        <f>D210*VLOOKUP(A210,Nhập入库!A:N,8,FALSE)</f>
        <v>0</v>
      </c>
      <c r="F210" s="29">
        <v>43</v>
      </c>
      <c r="G210" s="34" t="s">
        <v>430</v>
      </c>
      <c r="H210" s="34" t="s">
        <v>431</v>
      </c>
      <c r="I210" s="34" t="s">
        <v>449</v>
      </c>
      <c r="J210" s="133">
        <v>0.875</v>
      </c>
    </row>
    <row r="211" spans="1:10">
      <c r="A211" s="31">
        <f>VLOOKUP($C211,SKU!$A:$I,3,FALSE)</f>
        <v>10011</v>
      </c>
      <c r="B211" s="31" t="str">
        <f>VLOOKUP($C211,SKU!$A:$I,2,FALSE)</f>
        <v>灿卡文创宫崎骏第二弹《花涧物语》</v>
      </c>
      <c r="C211" s="34" t="s">
        <v>71</v>
      </c>
      <c r="D211" s="29">
        <v>5</v>
      </c>
      <c r="E211" s="31">
        <f>D211*VLOOKUP(A211,Nhập入库!A:N,8,FALSE)</f>
        <v>65</v>
      </c>
      <c r="G211" s="34" t="s">
        <v>433</v>
      </c>
      <c r="H211" s="34" t="s">
        <v>431</v>
      </c>
      <c r="I211" s="34" t="s">
        <v>449</v>
      </c>
      <c r="J211" s="133">
        <v>0.94375</v>
      </c>
    </row>
    <row r="212" spans="1:10">
      <c r="A212" s="31">
        <f>VLOOKUP($C212,SKU!$A:$I,3,FALSE)</f>
        <v>10004</v>
      </c>
      <c r="B212" s="31" t="str">
        <f>VLOOKUP($C212,SKU!$A:$I,2,FALSE)</f>
        <v>初见花海咒术回战第一弹</v>
      </c>
      <c r="C212" s="29" t="s">
        <v>30</v>
      </c>
      <c r="E212" s="31">
        <f>D212*VLOOKUP(A212,Nhập入库!A:N,8,FALSE)</f>
        <v>0</v>
      </c>
      <c r="F212" s="29">
        <v>10</v>
      </c>
      <c r="G212" s="29" t="s">
        <v>33</v>
      </c>
      <c r="H212" s="29" t="s">
        <v>424</v>
      </c>
      <c r="I212" s="141" t="s">
        <v>450</v>
      </c>
      <c r="J212" s="133">
        <v>0.416666666666667</v>
      </c>
    </row>
    <row r="213" spans="1:10">
      <c r="A213" s="31">
        <f>VLOOKUP($C213,SKU!$A:$I,3,FALSE)</f>
        <v>10028</v>
      </c>
      <c r="B213" s="31" t="str">
        <f>VLOOKUP($C213,SKU!$A:$I,2,FALSE)</f>
        <v>潮玩咔原神 尘世收藏卡</v>
      </c>
      <c r="C213" s="29" t="s">
        <v>139</v>
      </c>
      <c r="D213" s="29">
        <v>2</v>
      </c>
      <c r="E213" s="31">
        <f>D213*VLOOKUP(A213,Nhập入库!A:N,8,FALSE)</f>
        <v>26</v>
      </c>
      <c r="G213" s="29" t="s">
        <v>33</v>
      </c>
      <c r="H213" s="29" t="s">
        <v>424</v>
      </c>
      <c r="I213" s="141" t="s">
        <v>450</v>
      </c>
      <c r="J213" s="133">
        <v>0.375</v>
      </c>
    </row>
    <row r="214" spans="1:10">
      <c r="A214" s="31">
        <f>VLOOKUP($C214,SKU!$A:$I,3,FALSE)</f>
        <v>10039</v>
      </c>
      <c r="B214" s="31" t="str">
        <f>VLOOKUP($C214,SKU!$A:$I,2,FALSE)</f>
        <v>非凡航海王第五弹</v>
      </c>
      <c r="C214" s="29" t="s">
        <v>184</v>
      </c>
      <c r="D214" s="29">
        <v>8</v>
      </c>
      <c r="E214" s="31">
        <f>D214*VLOOKUP(A214,Nhập入库!A:N,8,FALSE)</f>
        <v>160</v>
      </c>
      <c r="G214" s="29" t="s">
        <v>33</v>
      </c>
      <c r="H214" s="29" t="s">
        <v>424</v>
      </c>
      <c r="I214" s="141" t="s">
        <v>450</v>
      </c>
      <c r="J214" s="133">
        <v>0.583333333333333</v>
      </c>
    </row>
    <row r="215" spans="1:10">
      <c r="A215" s="31">
        <f>VLOOKUP($C215,SKU!$A:$I,3,FALSE)</f>
        <v>10011</v>
      </c>
      <c r="B215" s="31" t="str">
        <f>VLOOKUP($C215,SKU!$A:$I,2,FALSE)</f>
        <v>灿卡文创宫崎骏第二弹《花涧物语》</v>
      </c>
      <c r="C215" s="34" t="s">
        <v>71</v>
      </c>
      <c r="D215" s="29">
        <v>5</v>
      </c>
      <c r="E215" s="31">
        <f>D215*VLOOKUP(A215,Nhập入库!A:N,8,FALSE)</f>
        <v>65</v>
      </c>
      <c r="G215" s="34" t="s">
        <v>433</v>
      </c>
      <c r="H215" s="34" t="s">
        <v>431</v>
      </c>
      <c r="I215" s="34" t="s">
        <v>450</v>
      </c>
      <c r="J215" s="133">
        <v>0.94375</v>
      </c>
    </row>
    <row r="216" spans="1:10">
      <c r="A216" s="31">
        <f>VLOOKUP($C216,SKU!$A:$I,3,FALSE)</f>
        <v>10007</v>
      </c>
      <c r="B216" s="31" t="str">
        <f>VLOOKUP($C216,SKU!$A:$I,2,FALSE)</f>
        <v>kawaii宫崎骏梦幻之国</v>
      </c>
      <c r="C216" s="34" t="s">
        <v>49</v>
      </c>
      <c r="D216" s="29">
        <v>5</v>
      </c>
      <c r="E216" s="31">
        <f>D216*VLOOKUP(A216,Nhập入库!A:N,8,FALSE)</f>
        <v>65</v>
      </c>
      <c r="G216" s="34" t="s">
        <v>86</v>
      </c>
      <c r="H216" s="34" t="s">
        <v>428</v>
      </c>
      <c r="I216" s="34" t="s">
        <v>451</v>
      </c>
      <c r="J216" s="133">
        <v>0.0409722222222222</v>
      </c>
    </row>
    <row r="217" spans="1:10">
      <c r="A217" s="31">
        <f>VLOOKUP($C217,SKU!$A:$I,3,FALSE)</f>
        <v>10007</v>
      </c>
      <c r="B217" s="31" t="str">
        <f>VLOOKUP($C217,SKU!$A:$I,2,FALSE)</f>
        <v>kawaii宫崎骏梦幻之国</v>
      </c>
      <c r="C217" s="34" t="s">
        <v>49</v>
      </c>
      <c r="D217" s="29">
        <v>5</v>
      </c>
      <c r="E217" s="31">
        <f>D217*VLOOKUP(A217,Nhập入库!A:N,8,FALSE)</f>
        <v>65</v>
      </c>
      <c r="G217" s="34" t="s">
        <v>86</v>
      </c>
      <c r="H217" s="34" t="s">
        <v>428</v>
      </c>
      <c r="I217" s="34" t="s">
        <v>451</v>
      </c>
      <c r="J217" s="133">
        <v>0.0416666666666667</v>
      </c>
    </row>
    <row r="218" spans="1:10">
      <c r="A218" s="31">
        <f>VLOOKUP($C218,SKU!$A:$I,3,FALSE)</f>
        <v>10011</v>
      </c>
      <c r="B218" s="31" t="str">
        <f>VLOOKUP($C218,SKU!$A:$I,2,FALSE)</f>
        <v>灿卡文创宫崎骏第二弹《花涧物语》</v>
      </c>
      <c r="C218" s="34" t="s">
        <v>71</v>
      </c>
      <c r="D218" s="29">
        <v>5</v>
      </c>
      <c r="E218" s="31">
        <f>D218*VLOOKUP(A218,Nhập入库!A:N,8,FALSE)</f>
        <v>65</v>
      </c>
      <c r="G218" s="34" t="s">
        <v>86</v>
      </c>
      <c r="H218" s="34" t="s">
        <v>428</v>
      </c>
      <c r="I218" s="34" t="s">
        <v>451</v>
      </c>
      <c r="J218" s="133">
        <v>0.0743055555555556</v>
      </c>
    </row>
    <row r="219" spans="1:10">
      <c r="A219" s="31">
        <f>VLOOKUP($C219,SKU!$A:$I,3,FALSE)</f>
        <v>10006</v>
      </c>
      <c r="B219" s="31" t="str">
        <f>VLOOKUP($C219,SKU!$A:$I,2,FALSE)</f>
        <v>云映文化「云之境の夏」第二弹·宫崎骏珍藏卡牌</v>
      </c>
      <c r="C219" s="34" t="s">
        <v>43</v>
      </c>
      <c r="E219" s="31">
        <f>D219*VLOOKUP(A219,Nhập入库!A:N,8,FALSE)</f>
        <v>0</v>
      </c>
      <c r="F219" s="29">
        <v>64</v>
      </c>
      <c r="G219" s="34" t="s">
        <v>86</v>
      </c>
      <c r="H219" s="34" t="s">
        <v>428</v>
      </c>
      <c r="I219" s="34" t="s">
        <v>451</v>
      </c>
      <c r="J219" s="133">
        <v>0.0743055555555556</v>
      </c>
    </row>
    <row r="220" spans="1:10">
      <c r="A220" s="31">
        <f>VLOOKUP($C220,SKU!$A:$I,3,FALSE)</f>
        <v>10035</v>
      </c>
      <c r="B220" s="31" t="str">
        <f>VLOOKUP($C220,SKU!$A:$I,2,FALSE)</f>
        <v>KK CARD × 新海诚系列第一弹</v>
      </c>
      <c r="C220" s="34" t="s">
        <v>167</v>
      </c>
      <c r="D220" s="29">
        <v>5</v>
      </c>
      <c r="E220" s="31">
        <f>D220*VLOOKUP(A220,Nhập入库!A:N,8,FALSE)</f>
        <v>70</v>
      </c>
      <c r="G220" s="34" t="s">
        <v>432</v>
      </c>
      <c r="H220" s="34" t="s">
        <v>423</v>
      </c>
      <c r="I220" s="34" t="s">
        <v>451</v>
      </c>
      <c r="J220" s="133">
        <v>0.491666666666667</v>
      </c>
    </row>
    <row r="221" spans="1:10">
      <c r="A221" s="31">
        <f>VLOOKUP($C221,SKU!$A:$I,3,FALSE)</f>
        <v>10007</v>
      </c>
      <c r="B221" s="31" t="str">
        <f>VLOOKUP($C221,SKU!$A:$I,2,FALSE)</f>
        <v>kawaii宫崎骏梦幻之国</v>
      </c>
      <c r="C221" s="34" t="s">
        <v>49</v>
      </c>
      <c r="D221" s="29">
        <v>5</v>
      </c>
      <c r="E221" s="31">
        <f>D221*VLOOKUP(A221,Nhập入库!A:N,8,FALSE)</f>
        <v>65</v>
      </c>
      <c r="G221" s="34" t="s">
        <v>432</v>
      </c>
      <c r="H221" s="34" t="s">
        <v>423</v>
      </c>
      <c r="I221" s="34" t="s">
        <v>451</v>
      </c>
      <c r="J221" s="133">
        <v>0.491666666666667</v>
      </c>
    </row>
    <row r="222" spans="1:10">
      <c r="A222" s="31">
        <f>VLOOKUP($C222,SKU!$A:$I,3,FALSE)</f>
        <v>10017</v>
      </c>
      <c r="B222" s="31" t="str">
        <f>VLOOKUP($C222,SKU!$A:$I,2,FALSE)</f>
        <v>梦境-美少女战士第一弹</v>
      </c>
      <c r="C222" s="34" t="s">
        <v>95</v>
      </c>
      <c r="D222" s="29">
        <v>5</v>
      </c>
      <c r="E222" s="31">
        <f>D222*VLOOKUP(A222,Nhập入库!A:N,8,FALSE)</f>
        <v>65</v>
      </c>
      <c r="G222" s="34" t="s">
        <v>422</v>
      </c>
      <c r="H222" s="34" t="s">
        <v>406</v>
      </c>
      <c r="I222" s="34" t="s">
        <v>450</v>
      </c>
    </row>
    <row r="223" spans="1:10">
      <c r="A223" s="31">
        <f>VLOOKUP($C223,SKU!$A:$I,3,FALSE)</f>
        <v>10023</v>
      </c>
      <c r="B223" s="31" t="str">
        <f>VLOOKUP($C223,SKU!$A:$I,2,FALSE)</f>
        <v>风信文创尘世相逢之约星光来信原神邮票第一弹</v>
      </c>
      <c r="C223" s="34" t="s">
        <v>119</v>
      </c>
      <c r="D223" s="29">
        <v>14</v>
      </c>
      <c r="E223" s="31">
        <f>D223*VLOOKUP(A223,Nhập入库!A:N,8,FALSE)</f>
        <v>14</v>
      </c>
      <c r="G223" s="34" t="s">
        <v>426</v>
      </c>
      <c r="H223" s="34" t="s">
        <v>406</v>
      </c>
      <c r="I223" s="34" t="s">
        <v>451</v>
      </c>
      <c r="J223" s="133">
        <v>0.525694444444444</v>
      </c>
    </row>
    <row r="224" spans="1:10">
      <c r="A224" s="31">
        <f>VLOOKUP($C224,SKU!$A:$I,3,FALSE)</f>
        <v>10039</v>
      </c>
      <c r="B224" s="31" t="str">
        <f>VLOOKUP($C224,SKU!$A:$I,2,FALSE)</f>
        <v>非凡航海王第五弹</v>
      </c>
      <c r="C224" s="34" t="s">
        <v>184</v>
      </c>
      <c r="D224" s="29">
        <f>16+5+8</f>
        <v>29</v>
      </c>
      <c r="E224" s="31">
        <f>D224*VLOOKUP(A224,Nhập入库!A:N,8,FALSE)</f>
        <v>580</v>
      </c>
      <c r="G224" s="34" t="s">
        <v>33</v>
      </c>
      <c r="H224" s="34" t="s">
        <v>424</v>
      </c>
      <c r="I224" s="34" t="s">
        <v>451</v>
      </c>
      <c r="J224" s="133">
        <v>0.555555555555556</v>
      </c>
    </row>
    <row r="225" spans="1:10">
      <c r="A225" s="31">
        <f>VLOOKUP($C225,SKU!$A:$I,3,FALSE)</f>
        <v>10029</v>
      </c>
      <c r="B225" s="31" t="str">
        <f>VLOOKUP($C225,SKU!$A:$I,2,FALSE)</f>
        <v>樱花屋魔卡少女樱</v>
      </c>
      <c r="C225" s="34" t="s">
        <v>143</v>
      </c>
      <c r="D225" s="29">
        <v>12</v>
      </c>
      <c r="E225" s="31">
        <f>D225*VLOOKUP(A225,Nhập入库!A:N,8,FALSE)</f>
        <v>144</v>
      </c>
      <c r="G225" s="34" t="s">
        <v>422</v>
      </c>
      <c r="H225" s="34" t="s">
        <v>406</v>
      </c>
      <c r="I225" s="34" t="s">
        <v>451</v>
      </c>
      <c r="J225" s="133">
        <v>0.425694444444444</v>
      </c>
    </row>
    <row r="226" spans="1:10">
      <c r="A226" s="31">
        <f>VLOOKUP($C226,SKU!$A:$I,3,FALSE)</f>
        <v>10050</v>
      </c>
      <c r="B226" s="31" t="str">
        <f>VLOOKUP($C226,SKU!$A:$I,2,FALSE)</f>
        <v>小王子与爱丽丝</v>
      </c>
      <c r="C226" s="34" t="s">
        <v>219</v>
      </c>
      <c r="D226" s="29">
        <v>5</v>
      </c>
      <c r="E226" s="31">
        <f>D226*VLOOKUP(A226,Nhập入库!A:N,8,FALSE)</f>
        <v>60</v>
      </c>
      <c r="G226" s="34" t="s">
        <v>422</v>
      </c>
      <c r="H226" s="34" t="s">
        <v>406</v>
      </c>
      <c r="I226" s="34" t="s">
        <v>451</v>
      </c>
      <c r="J226" s="133">
        <v>0.668055555555556</v>
      </c>
    </row>
    <row r="227" spans="1:10">
      <c r="A227" s="31">
        <f>VLOOKUP($C227,SKU!$A:$I,3,FALSE)</f>
        <v>10047</v>
      </c>
      <c r="B227" s="31" t="str">
        <f>VLOOKUP($C227,SKU!$A:$I,2,FALSE)</f>
        <v>提瓦特工坊·原神水晶色纸</v>
      </c>
      <c r="C227" s="34" t="s">
        <v>209</v>
      </c>
      <c r="D227" s="29">
        <v>90</v>
      </c>
      <c r="E227" s="31">
        <f>D227*VLOOKUP(A227,Nhập入库!A:N,8,FALSE)</f>
        <v>90</v>
      </c>
      <c r="G227" s="34" t="s">
        <v>426</v>
      </c>
      <c r="H227" s="34" t="s">
        <v>406</v>
      </c>
      <c r="I227" s="34" t="s">
        <v>451</v>
      </c>
      <c r="J227" s="133">
        <v>0.668055555555556</v>
      </c>
    </row>
    <row r="228" spans="1:10">
      <c r="A228" s="31">
        <f>VLOOKUP($C228,SKU!$A:$I,3,FALSE)</f>
        <v>10051</v>
      </c>
      <c r="B228" s="31" t="str">
        <f>VLOOKUP($C228,SKU!$A:$I,2,FALSE)</f>
        <v>南卡《魔卡少女樱》</v>
      </c>
      <c r="C228" s="34" t="s">
        <v>222</v>
      </c>
      <c r="D228" s="29">
        <v>5</v>
      </c>
      <c r="E228" s="31">
        <f>D228*VLOOKUP(A228,Nhập入库!A:N,8,FALSE)</f>
        <v>60</v>
      </c>
      <c r="G228" s="34" t="s">
        <v>422</v>
      </c>
      <c r="H228" s="34" t="s">
        <v>406</v>
      </c>
      <c r="I228" s="34" t="s">
        <v>451</v>
      </c>
      <c r="J228" s="133">
        <v>0.668055555555556</v>
      </c>
    </row>
    <row r="229" spans="1:10">
      <c r="A229" s="31">
        <f>VLOOKUP($C229,SKU!$A:$I,3,FALSE)</f>
        <v>10039</v>
      </c>
      <c r="B229" s="31" t="str">
        <f>VLOOKUP($C229,SKU!$A:$I,2,FALSE)</f>
        <v>非凡航海王第五弹</v>
      </c>
      <c r="C229" s="29" t="s">
        <v>184</v>
      </c>
      <c r="D229" s="29">
        <v>3</v>
      </c>
      <c r="E229" s="31">
        <f>D229*VLOOKUP(A229,Nhập入库!A:N,8,FALSE)</f>
        <v>60</v>
      </c>
      <c r="G229" s="29" t="s">
        <v>33</v>
      </c>
      <c r="H229" s="29" t="s">
        <v>424</v>
      </c>
      <c r="I229" s="141" t="s">
        <v>450</v>
      </c>
      <c r="J229" s="133">
        <v>0.583333333333333</v>
      </c>
    </row>
    <row r="230" spans="1:10">
      <c r="A230" s="31">
        <f>VLOOKUP($C230,SKU!$A:$I,3,FALSE)</f>
        <v>10039</v>
      </c>
      <c r="B230" s="31" t="str">
        <f>VLOOKUP($C230,SKU!$A:$I,2,FALSE)</f>
        <v>非凡航海王第五弹</v>
      </c>
      <c r="C230" s="29" t="s">
        <v>184</v>
      </c>
      <c r="D230" s="29">
        <v>24</v>
      </c>
      <c r="E230" s="31">
        <f>D230*VLOOKUP(A230,Nhập入库!A:N,8,FALSE)</f>
        <v>480</v>
      </c>
      <c r="G230" s="29" t="s">
        <v>429</v>
      </c>
      <c r="H230" s="29" t="s">
        <v>428</v>
      </c>
      <c r="I230" s="141" t="s">
        <v>451</v>
      </c>
      <c r="J230" s="133">
        <v>0.729861111111111</v>
      </c>
    </row>
    <row r="231" spans="1:10">
      <c r="A231" s="31">
        <f>VLOOKUP($C231,SKU!$A:$I,3,FALSE)</f>
        <v>10007</v>
      </c>
      <c r="B231" s="31" t="str">
        <f>VLOOKUP($C231,SKU!$A:$I,2,FALSE)</f>
        <v>kawaii宫崎骏梦幻之国</v>
      </c>
      <c r="C231" s="34" t="s">
        <v>49</v>
      </c>
      <c r="D231" s="29">
        <v>5</v>
      </c>
      <c r="E231" s="31">
        <f>D231*VLOOKUP(A231,Nhập入库!A:N,8,FALSE)</f>
        <v>65</v>
      </c>
      <c r="G231" s="34" t="s">
        <v>432</v>
      </c>
      <c r="H231" s="34" t="s">
        <v>424</v>
      </c>
      <c r="I231" s="141" t="s">
        <v>451</v>
      </c>
      <c r="J231" s="133"/>
    </row>
    <row r="232" spans="1:10">
      <c r="A232" s="31">
        <f>VLOOKUP($C232,SKU!$A:$I,3,FALSE)</f>
        <v>10032</v>
      </c>
      <c r="B232" s="31" t="str">
        <f>VLOOKUP($C232,SKU!$A:$I,2,FALSE)</f>
        <v>绘心阁《魔道祖师—殊途同归》色纸卡牌</v>
      </c>
      <c r="C232" s="29" t="s">
        <v>155</v>
      </c>
      <c r="D232" s="29">
        <v>30</v>
      </c>
      <c r="E232" s="31">
        <f>D232*VLOOKUP(A232,Nhập入库!A:N,8,FALSE)</f>
        <v>30</v>
      </c>
      <c r="G232" s="29" t="s">
        <v>433</v>
      </c>
      <c r="H232" s="29" t="s">
        <v>428</v>
      </c>
      <c r="I232" s="141" t="s">
        <v>451</v>
      </c>
      <c r="J232" s="133">
        <v>0.760416666666667</v>
      </c>
    </row>
    <row r="233" spans="1:10">
      <c r="A233" s="31">
        <f>VLOOKUP($C233,SKU!$A:$I,3,FALSE)</f>
        <v>10004</v>
      </c>
      <c r="B233" s="31" t="str">
        <f>VLOOKUP($C233,SKU!$A:$I,2,FALSE)</f>
        <v>初见花海咒术回战第一弹</v>
      </c>
      <c r="C233" s="29" t="s">
        <v>30</v>
      </c>
      <c r="D233" s="29">
        <v>12</v>
      </c>
      <c r="E233" s="31">
        <f>D233*VLOOKUP(A233,Nhập入库!A:N,8,FALSE)</f>
        <v>12</v>
      </c>
      <c r="G233" s="29" t="s">
        <v>430</v>
      </c>
      <c r="H233" s="29" t="s">
        <v>428</v>
      </c>
      <c r="I233" s="141" t="s">
        <v>451</v>
      </c>
      <c r="J233" s="133">
        <v>0.775694444444444</v>
      </c>
    </row>
    <row r="234" spans="1:10">
      <c r="A234" s="31">
        <f>VLOOKUP($C234,SKU!$A:$I,3,FALSE)</f>
        <v>10004</v>
      </c>
      <c r="B234" s="31" t="str">
        <f>VLOOKUP($C234,SKU!$A:$I,2,FALSE)</f>
        <v>初见花海咒术回战第一弹</v>
      </c>
      <c r="C234" s="29" t="s">
        <v>30</v>
      </c>
      <c r="D234" s="29">
        <v>12</v>
      </c>
      <c r="E234" s="31">
        <f>D234*VLOOKUP(A234,Nhập入库!A:N,8,FALSE)</f>
        <v>12</v>
      </c>
      <c r="G234" s="29" t="s">
        <v>430</v>
      </c>
      <c r="H234" s="29" t="s">
        <v>428</v>
      </c>
      <c r="I234" s="141" t="s">
        <v>451</v>
      </c>
      <c r="J234" s="155">
        <v>0.804166666666667</v>
      </c>
    </row>
    <row r="235" spans="1:10">
      <c r="A235" s="31">
        <f>VLOOKUP($C235,SKU!$A:$I,3,FALSE)</f>
        <v>10017</v>
      </c>
      <c r="B235" s="31" t="str">
        <f>VLOOKUP($C235,SKU!$A:$I,2,FALSE)</f>
        <v>梦境-美少女战士第一弹</v>
      </c>
      <c r="C235" s="29" t="s">
        <v>95</v>
      </c>
      <c r="E235" s="31">
        <f>D235*VLOOKUP(A235,Nhập入库!A:N,8,FALSE)</f>
        <v>0</v>
      </c>
      <c r="F235" s="29">
        <v>78</v>
      </c>
      <c r="G235" s="29" t="s">
        <v>430</v>
      </c>
      <c r="H235" s="29" t="s">
        <v>428</v>
      </c>
      <c r="I235" s="141" t="s">
        <v>451</v>
      </c>
      <c r="J235" s="155">
        <v>0.873611111111111</v>
      </c>
    </row>
    <row r="236" spans="1:10">
      <c r="A236" s="31">
        <f>VLOOKUP($C236,SKU!$A:$I,3,FALSE)</f>
        <v>10004</v>
      </c>
      <c r="B236" s="31" t="str">
        <f>VLOOKUP($C236,SKU!$A:$I,2,FALSE)</f>
        <v>初见花海咒术回战第一弹</v>
      </c>
      <c r="C236" s="29" t="s">
        <v>30</v>
      </c>
      <c r="D236" s="29">
        <v>10</v>
      </c>
      <c r="E236" s="31">
        <f>D236*VLOOKUP(A236,Nhập入库!A:N,8,FALSE)</f>
        <v>10</v>
      </c>
      <c r="G236" s="29" t="s">
        <v>429</v>
      </c>
      <c r="H236" s="29" t="s">
        <v>428</v>
      </c>
      <c r="I236" s="141" t="s">
        <v>452</v>
      </c>
      <c r="J236" s="155">
        <v>0.784027777777778</v>
      </c>
    </row>
    <row r="237" spans="1:10">
      <c r="A237" s="31">
        <f>VLOOKUP($C237,SKU!$A:$I,3,FALSE)</f>
        <v>10032</v>
      </c>
      <c r="B237" s="31" t="str">
        <f>VLOOKUP($C237,SKU!$A:$I,2,FALSE)</f>
        <v>绘心阁《魔道祖师—殊途同归》色纸卡牌</v>
      </c>
      <c r="C237" s="29" t="s">
        <v>155</v>
      </c>
      <c r="D237" s="29">
        <v>30</v>
      </c>
      <c r="E237" s="31">
        <f>D237*VLOOKUP(A237,Nhập入库!A:N,8,FALSE)</f>
        <v>30</v>
      </c>
      <c r="G237" s="29" t="s">
        <v>433</v>
      </c>
      <c r="H237" s="29" t="s">
        <v>428</v>
      </c>
      <c r="I237" s="141" t="s">
        <v>453</v>
      </c>
      <c r="J237" s="155">
        <v>0.895833333333333</v>
      </c>
    </row>
    <row r="238" spans="1:10">
      <c r="A238" s="31">
        <f>VLOOKUP($C238,SKU!$A:$I,3,FALSE)</f>
        <v>10035</v>
      </c>
      <c r="B238" s="31" t="str">
        <f>VLOOKUP($C238,SKU!$A:$I,2,FALSE)</f>
        <v>KK CARD × 新海诚系列第一弹</v>
      </c>
      <c r="C238" s="29" t="s">
        <v>167</v>
      </c>
      <c r="D238" s="29">
        <v>5</v>
      </c>
      <c r="E238" s="31">
        <f>D238*VLOOKUP(A238,Nhập入库!A:N,8,FALSE)</f>
        <v>70</v>
      </c>
      <c r="G238" s="29" t="s">
        <v>429</v>
      </c>
      <c r="H238" s="29" t="s">
        <v>428</v>
      </c>
      <c r="I238" s="141" t="s">
        <v>453</v>
      </c>
      <c r="J238" s="155">
        <v>0.967361111111111</v>
      </c>
    </row>
    <row r="239" spans="1:10">
      <c r="A239" s="31">
        <f>VLOOKUP($C239,SKU!$A:$I,3,FALSE)</f>
        <v>10039</v>
      </c>
      <c r="B239" s="31" t="str">
        <f>VLOOKUP($C239,SKU!$A:$I,2,FALSE)</f>
        <v>非凡航海王第五弹</v>
      </c>
      <c r="C239" s="29" t="s">
        <v>184</v>
      </c>
      <c r="D239" s="29">
        <v>5</v>
      </c>
      <c r="E239" s="31">
        <f>D239*VLOOKUP(A239,Nhập入库!A:N,8,FALSE)</f>
        <v>100</v>
      </c>
      <c r="G239" s="29" t="s">
        <v>433</v>
      </c>
      <c r="H239" s="29" t="s">
        <v>428</v>
      </c>
      <c r="I239" s="141" t="s">
        <v>453</v>
      </c>
      <c r="J239" s="155">
        <v>0.967361111111111</v>
      </c>
    </row>
    <row r="240" spans="1:10">
      <c r="A240" s="31">
        <f>VLOOKUP($C240,SKU!$A:$I,3,FALSE)</f>
        <v>10053</v>
      </c>
      <c r="B240" s="31" t="str">
        <f>VLOOKUP($C240,SKU!$A:$I,2,FALSE)</f>
        <v>悦灵文创 《落花只为君》第三弹</v>
      </c>
      <c r="C240" s="34" t="s">
        <v>228</v>
      </c>
      <c r="D240" s="29">
        <v>5</v>
      </c>
      <c r="E240" s="31">
        <f>D240*VLOOKUP(A240,Nhập入库!A:N,8,FALSE)</f>
        <v>60</v>
      </c>
      <c r="G240" s="34" t="s">
        <v>422</v>
      </c>
      <c r="H240" s="34" t="s">
        <v>406</v>
      </c>
      <c r="I240" s="34" t="s">
        <v>454</v>
      </c>
      <c r="J240" s="133">
        <v>0.416666666666667</v>
      </c>
    </row>
    <row r="241" spans="1:10">
      <c r="A241" s="31">
        <f>VLOOKUP($C241,SKU!$A:$I,3,FALSE)</f>
        <v>10006</v>
      </c>
      <c r="B241" s="31" t="str">
        <f>VLOOKUP($C241,SKU!$A:$I,2,FALSE)</f>
        <v>云映文化「云之境の夏」第二弹·宫崎骏珍藏卡牌</v>
      </c>
      <c r="C241" s="34" t="s">
        <v>43</v>
      </c>
      <c r="D241" s="29">
        <v>5</v>
      </c>
      <c r="E241" s="31">
        <f>D241*VLOOKUP(A241,Nhập入库!A:N,8,FALSE)</f>
        <v>65</v>
      </c>
      <c r="G241" s="34" t="s">
        <v>432</v>
      </c>
      <c r="H241" s="34" t="s">
        <v>424</v>
      </c>
      <c r="I241" s="34" t="s">
        <v>454</v>
      </c>
      <c r="J241" s="133">
        <v>0.515972222222222</v>
      </c>
    </row>
    <row r="242" spans="1:10">
      <c r="A242" s="31">
        <f>VLOOKUP($C242,SKU!$A:$I,3,FALSE)</f>
        <v>10047</v>
      </c>
      <c r="B242" s="31" t="str">
        <f>VLOOKUP($C242,SKU!$A:$I,2,FALSE)</f>
        <v>提瓦特工坊·原神水晶色纸</v>
      </c>
      <c r="C242" s="34" t="s">
        <v>209</v>
      </c>
      <c r="D242" s="29">
        <v>20</v>
      </c>
      <c r="E242" s="31">
        <f>D242*VLOOKUP(A242,Nhập入库!A:N,8,FALSE)</f>
        <v>20</v>
      </c>
      <c r="G242" s="34" t="s">
        <v>429</v>
      </c>
      <c r="H242" s="34" t="s">
        <v>428</v>
      </c>
      <c r="I242" s="34" t="s">
        <v>454</v>
      </c>
      <c r="J242" s="133">
        <v>0.757638888888889</v>
      </c>
    </row>
    <row r="243" spans="1:10">
      <c r="A243" s="31">
        <f>VLOOKUP($C243,SKU!$A:$I,3,FALSE)</f>
        <v>10049</v>
      </c>
      <c r="B243" s="31" t="str">
        <f>VLOOKUP($C243,SKU!$A:$I,2,FALSE)</f>
        <v>野火文创《月下悸动》 韩漫耽美撕撕乐</v>
      </c>
      <c r="C243" s="34" t="s">
        <v>216</v>
      </c>
      <c r="D243" s="29">
        <v>52</v>
      </c>
      <c r="E243" s="31">
        <f>D243*VLOOKUP(A243,Nhập入库!A:N,8,FALSE)</f>
        <v>156</v>
      </c>
      <c r="G243" s="34" t="s">
        <v>433</v>
      </c>
      <c r="H243" s="34" t="s">
        <v>431</v>
      </c>
      <c r="I243" s="34" t="s">
        <v>454</v>
      </c>
      <c r="J243" s="133">
        <v>0.708333333333333</v>
      </c>
    </row>
    <row r="244" spans="1:10">
      <c r="A244" s="31">
        <f>VLOOKUP($C244,SKU!$A:$I,3,FALSE)</f>
        <v>10032</v>
      </c>
      <c r="B244" s="31" t="str">
        <f>VLOOKUP($C244,SKU!$A:$I,2,FALSE)</f>
        <v>绘心阁《魔道祖师—殊途同归》色纸卡牌</v>
      </c>
      <c r="C244" s="34" t="s">
        <v>155</v>
      </c>
      <c r="E244" s="31">
        <f>D244*VLOOKUP(A244,Nhập入库!A:N,8,FALSE)</f>
        <v>0</v>
      </c>
      <c r="F244" s="29">
        <v>78</v>
      </c>
      <c r="G244" s="34" t="s">
        <v>433</v>
      </c>
      <c r="H244" s="34" t="s">
        <v>431</v>
      </c>
      <c r="I244" s="34" t="s">
        <v>454</v>
      </c>
      <c r="J244" s="133">
        <v>0.757638888888889</v>
      </c>
    </row>
    <row r="245" spans="1:10">
      <c r="A245" s="31">
        <f>VLOOKUP($C245,SKU!$A:$I,3,FALSE)</f>
        <v>10011</v>
      </c>
      <c r="B245" s="31" t="str">
        <f>VLOOKUP($C245,SKU!$A:$I,2,FALSE)</f>
        <v>灿卡文创宫崎骏第二弹《花涧物语》</v>
      </c>
      <c r="C245" s="34" t="s">
        <v>71</v>
      </c>
      <c r="D245" s="29">
        <v>4</v>
      </c>
      <c r="E245" s="31">
        <f>D245*VLOOKUP(A245,Nhập入库!A:N,8,FALSE)</f>
        <v>52</v>
      </c>
      <c r="G245" s="34" t="s">
        <v>433</v>
      </c>
      <c r="H245" s="34" t="s">
        <v>431</v>
      </c>
      <c r="I245" s="34" t="s">
        <v>454</v>
      </c>
      <c r="J245" s="133">
        <v>0.803472222222222</v>
      </c>
    </row>
    <row r="246" spans="1:10">
      <c r="A246" s="31">
        <f>VLOOKUP($C246,SKU!$A:$I,3,FALSE)</f>
        <v>10052</v>
      </c>
      <c r="B246" s="31" t="str">
        <f>VLOOKUP($C246,SKU!$A:$I,2,FALSE)</f>
        <v>柯南洞悉包第五弹</v>
      </c>
      <c r="C246" s="34" t="s">
        <v>225</v>
      </c>
      <c r="D246" s="29">
        <v>7</v>
      </c>
      <c r="E246" s="31">
        <f>D246*VLOOKUP(A246,Nhập入库!A:N,8,FALSE)</f>
        <v>126</v>
      </c>
      <c r="F246" s="29">
        <v>35</v>
      </c>
      <c r="G246" s="34" t="s">
        <v>430</v>
      </c>
      <c r="H246" s="34" t="s">
        <v>431</v>
      </c>
      <c r="I246" s="34" t="s">
        <v>454</v>
      </c>
      <c r="J246" s="133">
        <v>0.820138888888889</v>
      </c>
    </row>
    <row r="247" spans="1:10">
      <c r="A247" s="31">
        <f>VLOOKUP($C247,SKU!$A:$I,3,FALSE)</f>
        <v>10047</v>
      </c>
      <c r="B247" s="31" t="str">
        <f>VLOOKUP($C247,SKU!$A:$I,2,FALSE)</f>
        <v>提瓦特工坊·原神水晶色纸</v>
      </c>
      <c r="C247" s="34" t="s">
        <v>209</v>
      </c>
      <c r="D247" s="29">
        <v>66</v>
      </c>
      <c r="E247" s="31">
        <f>D247*VLOOKUP(A247,Nhập入库!A:N,8,FALSE)</f>
        <v>66</v>
      </c>
      <c r="G247" s="34" t="s">
        <v>429</v>
      </c>
      <c r="H247" s="34" t="s">
        <v>428</v>
      </c>
      <c r="I247" s="34" t="s">
        <v>454</v>
      </c>
      <c r="J247" s="133">
        <v>0.935416666666667</v>
      </c>
    </row>
    <row r="248" spans="1:10">
      <c r="A248" s="31">
        <f>VLOOKUP($C248,SKU!$A:$I,3,FALSE)</f>
        <v>10050</v>
      </c>
      <c r="B248" s="31" t="str">
        <f>VLOOKUP($C248,SKU!$A:$I,2,FALSE)</f>
        <v>小王子与爱丽丝</v>
      </c>
      <c r="C248" s="34" t="s">
        <v>219</v>
      </c>
      <c r="D248" s="29">
        <v>19</v>
      </c>
      <c r="E248" s="31">
        <f>D248*VLOOKUP(A248,Nhập入库!A:N,8,FALSE)</f>
        <v>228</v>
      </c>
      <c r="G248" s="34" t="s">
        <v>422</v>
      </c>
      <c r="H248" s="34" t="s">
        <v>406</v>
      </c>
      <c r="I248" s="34" t="s">
        <v>455</v>
      </c>
      <c r="J248" s="133">
        <v>0.388888888888889</v>
      </c>
    </row>
    <row r="249" spans="1:10">
      <c r="A249" s="31">
        <f>VLOOKUP($C249,SKU!$A:$I,3,FALSE)</f>
        <v>10047</v>
      </c>
      <c r="B249" s="31" t="str">
        <f>VLOOKUP($C249,SKU!$A:$I,2,FALSE)</f>
        <v>提瓦特工坊·原神水晶色纸</v>
      </c>
      <c r="C249" s="34" t="s">
        <v>209</v>
      </c>
      <c r="D249" s="29">
        <v>66</v>
      </c>
      <c r="E249" s="31">
        <f>D249*VLOOKUP(A249,Nhập入库!A:N,8,FALSE)</f>
        <v>66</v>
      </c>
      <c r="G249" s="34" t="s">
        <v>426</v>
      </c>
      <c r="H249" s="34" t="s">
        <v>406</v>
      </c>
      <c r="I249" s="34" t="s">
        <v>455</v>
      </c>
      <c r="J249" s="133">
        <v>0.388888888888889</v>
      </c>
    </row>
    <row r="250" spans="1:10">
      <c r="A250" s="31">
        <f>VLOOKUP($C250,SKU!$A:$I,3,FALSE)</f>
        <v>10039</v>
      </c>
      <c r="B250" s="31" t="str">
        <f>VLOOKUP($C250,SKU!$A:$I,2,FALSE)</f>
        <v>非凡航海王第五弹</v>
      </c>
      <c r="C250" s="34" t="s">
        <v>184</v>
      </c>
      <c r="D250" s="29">
        <v>5</v>
      </c>
      <c r="E250" s="31">
        <f>D250*VLOOKUP(A250,Nhập入库!A:N,8,FALSE)</f>
        <v>100</v>
      </c>
      <c r="G250" s="34" t="s">
        <v>90</v>
      </c>
      <c r="H250" s="34" t="s">
        <v>423</v>
      </c>
      <c r="I250" s="34" t="s">
        <v>455</v>
      </c>
      <c r="J250" s="133">
        <v>0.493055555555556</v>
      </c>
    </row>
    <row r="251" spans="1:10">
      <c r="A251" s="31">
        <f>VLOOKUP($C251,SKU!$A:$I,3,FALSE)</f>
        <v>10039</v>
      </c>
      <c r="B251" s="31" t="str">
        <f>VLOOKUP($C251,SKU!$A:$I,2,FALSE)</f>
        <v>非凡航海王第五弹</v>
      </c>
      <c r="C251" s="34" t="s">
        <v>184</v>
      </c>
      <c r="D251" s="29">
        <v>1</v>
      </c>
      <c r="E251" s="31">
        <f>D251*VLOOKUP(A251,Nhập入库!A:N,8,FALSE)</f>
        <v>20</v>
      </c>
      <c r="G251" s="34" t="s">
        <v>94</v>
      </c>
      <c r="H251" s="34" t="s">
        <v>53</v>
      </c>
      <c r="I251" s="34"/>
      <c r="J251" s="133"/>
    </row>
    <row r="252" spans="1:10">
      <c r="A252" s="31">
        <f>VLOOKUP($C252,SKU!$A:$I,3,FALSE)</f>
        <v>10052</v>
      </c>
      <c r="B252" s="31" t="str">
        <f>VLOOKUP($C252,SKU!$A:$I,2,FALSE)</f>
        <v>柯南洞悉包第五弹</v>
      </c>
      <c r="C252" s="34" t="s">
        <v>225</v>
      </c>
      <c r="D252" s="29">
        <v>18</v>
      </c>
      <c r="E252" s="31">
        <f>D252*VLOOKUP(A252,Nhập入库!A:N,8,FALSE)</f>
        <v>324</v>
      </c>
      <c r="G252" s="34" t="s">
        <v>33</v>
      </c>
      <c r="H252" s="34" t="s">
        <v>424</v>
      </c>
      <c r="I252" s="34" t="s">
        <v>454</v>
      </c>
      <c r="J252" s="133">
        <v>0.386805555555556</v>
      </c>
    </row>
    <row r="253" spans="1:10">
      <c r="A253" s="31">
        <f>VLOOKUP($C253,SKU!$A:$I,3,FALSE)</f>
        <v>10039</v>
      </c>
      <c r="B253" s="31" t="str">
        <f>VLOOKUP($C253,SKU!$A:$I,2,FALSE)</f>
        <v>非凡航海王第五弹</v>
      </c>
      <c r="C253" s="34" t="s">
        <v>184</v>
      </c>
      <c r="D253" s="29">
        <v>5</v>
      </c>
      <c r="E253" s="31">
        <f>D253*VLOOKUP(A253,Nhập入库!A:N,8,FALSE)</f>
        <v>100</v>
      </c>
      <c r="F253" s="34"/>
      <c r="G253" s="29" t="s">
        <v>429</v>
      </c>
      <c r="H253" s="29" t="s">
        <v>424</v>
      </c>
      <c r="I253" s="34" t="s">
        <v>454</v>
      </c>
      <c r="J253" s="133">
        <v>0.625</v>
      </c>
    </row>
    <row r="254" spans="1:10">
      <c r="A254" s="31">
        <f>VLOOKUP($C254,SKU!$A:$I,3,FALSE)</f>
        <v>10039</v>
      </c>
      <c r="B254" s="31" t="str">
        <f>VLOOKUP($C254,SKU!$A:$I,2,FALSE)</f>
        <v>非凡航海王第五弹</v>
      </c>
      <c r="C254" s="34" t="s">
        <v>184</v>
      </c>
      <c r="E254" s="31">
        <f>D254*VLOOKUP(A254,Nhập入库!A:N,8,FALSE)</f>
        <v>0</v>
      </c>
      <c r="F254" s="29">
        <v>24</v>
      </c>
      <c r="G254" s="29" t="s">
        <v>425</v>
      </c>
      <c r="H254" s="29" t="s">
        <v>424</v>
      </c>
      <c r="I254" s="34" t="s">
        <v>456</v>
      </c>
      <c r="J254" s="133">
        <v>0.625</v>
      </c>
    </row>
    <row r="255" spans="1:10">
      <c r="A255" s="31">
        <f>VLOOKUP($C255,SKU!$A:$I,3,FALSE)</f>
        <v>10053</v>
      </c>
      <c r="B255" s="31" t="str">
        <f>VLOOKUP($C255,SKU!$A:$I,2,FALSE)</f>
        <v>悦灵文创 《落花只为君》第三弹</v>
      </c>
      <c r="C255" s="34" t="s">
        <v>228</v>
      </c>
      <c r="D255" s="29">
        <v>5</v>
      </c>
      <c r="E255" s="31">
        <f>D255*VLOOKUP(A255,Nhập入库!A:N,8,FALSE)</f>
        <v>60</v>
      </c>
      <c r="G255" s="34" t="s">
        <v>422</v>
      </c>
      <c r="H255" s="34" t="s">
        <v>406</v>
      </c>
      <c r="I255" s="34" t="s">
        <v>455</v>
      </c>
      <c r="J255" s="133">
        <v>0.523611111111111</v>
      </c>
    </row>
    <row r="256" spans="1:10">
      <c r="A256" s="31">
        <f>VLOOKUP($C256,SKU!$A:$I,3,FALSE)</f>
        <v>10035</v>
      </c>
      <c r="B256" s="31" t="str">
        <f>VLOOKUP($C256,SKU!$A:$I,2,FALSE)</f>
        <v>KK CARD × 新海诚系列第一弹</v>
      </c>
      <c r="C256" s="34" t="s">
        <v>167</v>
      </c>
      <c r="D256" s="29">
        <v>5</v>
      </c>
      <c r="E256" s="31">
        <f>D256*VLOOKUP(A256,Nhập入库!A:N,8,FALSE)</f>
        <v>70</v>
      </c>
      <c r="G256" s="34" t="s">
        <v>432</v>
      </c>
      <c r="H256" s="34" t="s">
        <v>406</v>
      </c>
      <c r="I256" s="34" t="s">
        <v>455</v>
      </c>
      <c r="J256" s="133">
        <v>0.611805555555556</v>
      </c>
    </row>
    <row r="257" spans="1:10">
      <c r="A257" s="31">
        <f>VLOOKUP($C257,SKU!$A:$I,3,FALSE)</f>
        <v>10047</v>
      </c>
      <c r="B257" s="31" t="str">
        <f>VLOOKUP($C257,SKU!$A:$I,2,FALSE)</f>
        <v>提瓦特工坊·原神水晶色纸</v>
      </c>
      <c r="C257" s="34" t="s">
        <v>209</v>
      </c>
      <c r="D257" s="29">
        <v>4</v>
      </c>
      <c r="E257" s="31">
        <f>D257*VLOOKUP(A257,Nhập入库!A:N,8,FALSE)</f>
        <v>4</v>
      </c>
      <c r="G257" s="34" t="s">
        <v>426</v>
      </c>
      <c r="H257" s="34" t="s">
        <v>406</v>
      </c>
      <c r="I257" s="34" t="s">
        <v>455</v>
      </c>
      <c r="J257" s="133">
        <v>0.702083333333333</v>
      </c>
    </row>
    <row r="258" spans="1:10">
      <c r="A258" s="31">
        <f>VLOOKUP($C258,SKU!$A:$I,3,FALSE)</f>
        <v>10052</v>
      </c>
      <c r="B258" s="31" t="str">
        <f>VLOOKUP($C258,SKU!$A:$I,2,FALSE)</f>
        <v>柯南洞悉包第五弹</v>
      </c>
      <c r="C258" s="29" t="s">
        <v>225</v>
      </c>
      <c r="D258" s="29">
        <v>18</v>
      </c>
      <c r="E258" s="31">
        <f>D258*VLOOKUP(A258,Nhập入库!A:N,8,FALSE)</f>
        <v>324</v>
      </c>
      <c r="G258" s="29" t="s">
        <v>33</v>
      </c>
      <c r="H258" s="29" t="s">
        <v>424</v>
      </c>
      <c r="I258" s="141" t="s">
        <v>455</v>
      </c>
      <c r="J258" s="133">
        <v>0.416666666666667</v>
      </c>
    </row>
    <row r="259" spans="1:10">
      <c r="A259" s="31">
        <f>VLOOKUP($C259,SKU!$A:$I,3,FALSE)</f>
        <v>10039</v>
      </c>
      <c r="B259" s="31" t="str">
        <f>VLOOKUP($C259,SKU!$A:$I,2,FALSE)</f>
        <v>非凡航海王第五弹</v>
      </c>
      <c r="C259" s="29" t="s">
        <v>184</v>
      </c>
      <c r="E259" s="31">
        <f>D259*VLOOKUP(A259,Nhập入库!A:N,8,FALSE)</f>
        <v>0</v>
      </c>
      <c r="F259" s="29">
        <v>40</v>
      </c>
      <c r="G259" s="29" t="s">
        <v>425</v>
      </c>
      <c r="H259" s="29" t="s">
        <v>424</v>
      </c>
      <c r="I259" s="141" t="s">
        <v>455</v>
      </c>
      <c r="J259" s="133">
        <v>0.583333333333333</v>
      </c>
    </row>
    <row r="260" spans="1:10">
      <c r="A260" s="31">
        <f>VLOOKUP($C260,SKU!$A:$I,3,FALSE)</f>
        <v>10053</v>
      </c>
      <c r="B260" s="31" t="str">
        <f>VLOOKUP($C260,SKU!$A:$I,2,FALSE)</f>
        <v>悦灵文创 《落花只为君》第三弹</v>
      </c>
      <c r="C260" s="29" t="s">
        <v>228</v>
      </c>
      <c r="D260" s="29">
        <v>10</v>
      </c>
      <c r="E260" s="31">
        <f>D260*VLOOKUP(A260,Nhập入库!A:N,8,FALSE)</f>
        <v>120</v>
      </c>
      <c r="G260" s="29" t="s">
        <v>433</v>
      </c>
      <c r="H260" s="29" t="s">
        <v>431</v>
      </c>
      <c r="I260" s="141" t="s">
        <v>455</v>
      </c>
      <c r="J260" s="133">
        <v>0.896527777777778</v>
      </c>
    </row>
    <row r="261" spans="1:10">
      <c r="A261" s="31">
        <f>VLOOKUP($C261,SKU!$A:$I,3,FALSE)</f>
        <v>10011</v>
      </c>
      <c r="B261" s="31" t="str">
        <f>VLOOKUP($C261,SKU!$A:$I,2,FALSE)</f>
        <v>灿卡文创宫崎骏第二弹《花涧物语》</v>
      </c>
      <c r="C261" s="34" t="s">
        <v>71</v>
      </c>
      <c r="D261" s="29">
        <v>3</v>
      </c>
      <c r="E261" s="31">
        <f>D261*VLOOKUP(A261,Nhập入库!A:N,8,FALSE)</f>
        <v>39</v>
      </c>
      <c r="G261" s="34" t="s">
        <v>433</v>
      </c>
      <c r="H261" s="34" t="s">
        <v>431</v>
      </c>
      <c r="I261" s="34" t="s">
        <v>455</v>
      </c>
      <c r="J261" s="133">
        <v>0.949305555555556</v>
      </c>
    </row>
    <row r="262" spans="1:10">
      <c r="A262" s="31">
        <f>VLOOKUP($C262,SKU!$A:$I,3,FALSE)</f>
        <v>10007</v>
      </c>
      <c r="B262" s="31" t="str">
        <f>VLOOKUP($C262,SKU!$A:$I,2,FALSE)</f>
        <v>kawaii宫崎骏梦幻之国</v>
      </c>
      <c r="C262" s="34" t="s">
        <v>49</v>
      </c>
      <c r="D262" s="29">
        <v>1</v>
      </c>
      <c r="E262" s="31">
        <f>D262*VLOOKUP(A262,Nhập入库!A:N,8,FALSE)</f>
        <v>13</v>
      </c>
      <c r="G262" s="34" t="s">
        <v>433</v>
      </c>
      <c r="H262" s="34" t="s">
        <v>431</v>
      </c>
      <c r="I262" s="34" t="s">
        <v>451</v>
      </c>
      <c r="J262" s="133">
        <v>0.949305555555556</v>
      </c>
    </row>
    <row r="263" spans="1:10">
      <c r="A263" s="31">
        <f>VLOOKUP($C263,SKU!$A:$I,3,FALSE)</f>
        <v>10047</v>
      </c>
      <c r="B263" s="31" t="str">
        <f>VLOOKUP($C263,SKU!$A:$I,2,FALSE)</f>
        <v>提瓦特工坊·原神水晶色纸</v>
      </c>
      <c r="C263" s="34" t="s">
        <v>209</v>
      </c>
      <c r="D263" s="29">
        <v>10</v>
      </c>
      <c r="E263" s="31">
        <f>D263*VLOOKUP(A263,Nhập入库!A:N,8,FALSE)</f>
        <v>10</v>
      </c>
      <c r="G263" s="34" t="s">
        <v>429</v>
      </c>
      <c r="H263" s="34" t="s">
        <v>428</v>
      </c>
      <c r="I263" s="34" t="s">
        <v>455</v>
      </c>
      <c r="J263" s="133">
        <v>0.50625</v>
      </c>
    </row>
    <row r="264" spans="1:10">
      <c r="A264" s="31">
        <f>VLOOKUP($C264,SKU!$A:$I,3,FALSE)</f>
        <v>10036</v>
      </c>
      <c r="B264" s="31" t="str">
        <f>VLOOKUP($C264,SKU!$A:$I,2,FALSE)</f>
        <v>《研卡文创》第三弹收藏色纸</v>
      </c>
      <c r="C264" s="34" t="s">
        <v>171</v>
      </c>
      <c r="D264" s="29">
        <v>5</v>
      </c>
      <c r="E264" s="31">
        <f>D264*VLOOKUP(A264,Nhập入库!A:N,8,FALSE)</f>
        <v>30</v>
      </c>
      <c r="G264" s="34" t="s">
        <v>432</v>
      </c>
      <c r="H264" s="34" t="s">
        <v>406</v>
      </c>
      <c r="I264" s="34" t="s">
        <v>457</v>
      </c>
      <c r="J264" s="133">
        <v>0.372222222222222</v>
      </c>
    </row>
    <row r="265" spans="1:10">
      <c r="A265" s="31">
        <f>VLOOKUP($C265,SKU!$A:$I,3,FALSE)</f>
        <v>10049</v>
      </c>
      <c r="B265" s="31" t="str">
        <f>VLOOKUP($C265,SKU!$A:$I,2,FALSE)</f>
        <v>野火文创《月下悸动》 韩漫耽美撕撕乐</v>
      </c>
      <c r="C265" s="34" t="s">
        <v>216</v>
      </c>
      <c r="D265" s="29">
        <v>52</v>
      </c>
      <c r="E265" s="31">
        <f>D265*VLOOKUP(A265,Nhập入库!A:N,8,FALSE)</f>
        <v>156</v>
      </c>
      <c r="G265" s="34" t="s">
        <v>432</v>
      </c>
      <c r="H265" s="34" t="s">
        <v>406</v>
      </c>
      <c r="I265" s="34" t="s">
        <v>457</v>
      </c>
      <c r="J265" s="133">
        <v>0.372222222222222</v>
      </c>
    </row>
    <row r="266" spans="1:10">
      <c r="A266" s="31">
        <f>VLOOKUP($C266,SKU!$A:$I,3,FALSE)</f>
        <v>10021</v>
      </c>
      <c r="B266" s="31" t="str">
        <f>VLOOKUP($C266,SKU!$A:$I,2,FALSE)</f>
        <v>新谷动漫名侦探柯南·仲夏夜之恋邮票集</v>
      </c>
      <c r="C266" s="34" t="s">
        <v>111</v>
      </c>
      <c r="D266" s="34">
        <v>4</v>
      </c>
      <c r="E266" s="31">
        <f>D266*VLOOKUP(A266,Nhập入库!A:N,8,FALSE)</f>
        <v>20</v>
      </c>
      <c r="F266" s="34"/>
      <c r="G266" s="34" t="s">
        <v>33</v>
      </c>
      <c r="H266" s="34" t="s">
        <v>424</v>
      </c>
      <c r="I266" s="34" t="s">
        <v>458</v>
      </c>
      <c r="J266" s="34"/>
    </row>
    <row r="267" spans="1:10">
      <c r="A267" s="31">
        <f>VLOOKUP($C267,SKU!$A:$I,3,FALSE)</f>
        <v>10021</v>
      </c>
      <c r="B267" s="31" t="str">
        <f>VLOOKUP($C267,SKU!$A:$I,2,FALSE)</f>
        <v>新谷动漫名侦探柯南·仲夏夜之恋邮票集</v>
      </c>
      <c r="C267" s="34" t="s">
        <v>111</v>
      </c>
      <c r="D267" s="34"/>
      <c r="E267" s="31">
        <f>D267*VLOOKUP(A267,Nhập入库!A:N,8,FALSE)</f>
        <v>0</v>
      </c>
      <c r="F267" s="34">
        <v>12</v>
      </c>
      <c r="G267" s="34" t="s">
        <v>33</v>
      </c>
      <c r="H267" s="34" t="s">
        <v>424</v>
      </c>
      <c r="I267" s="34" t="s">
        <v>459</v>
      </c>
      <c r="J267" s="34"/>
    </row>
    <row r="268" spans="1:10">
      <c r="A268" s="31">
        <f>VLOOKUP($C268,SKU!$A:$I,3,FALSE)</f>
        <v>10007</v>
      </c>
      <c r="B268" s="31" t="str">
        <f>VLOOKUP($C268,SKU!$A:$I,2,FALSE)</f>
        <v>kawaii宫崎骏梦幻之国</v>
      </c>
      <c r="C268" s="29" t="s">
        <v>49</v>
      </c>
      <c r="D268" s="29">
        <v>5</v>
      </c>
      <c r="E268" s="31">
        <f>D268*VLOOKUP(A268,Nhập入库!A:N,8,FALSE)</f>
        <v>65</v>
      </c>
      <c r="F268" s="34"/>
      <c r="G268" s="34" t="s">
        <v>90</v>
      </c>
      <c r="H268" s="34" t="s">
        <v>423</v>
      </c>
      <c r="I268" s="34" t="s">
        <v>455</v>
      </c>
      <c r="J268" s="133">
        <v>0.460416666666667</v>
      </c>
    </row>
    <row r="269" spans="1:10">
      <c r="A269" s="31">
        <f>VLOOKUP($C269,SKU!$A:$I,3,FALSE)</f>
        <v>10021</v>
      </c>
      <c r="B269" s="31" t="str">
        <f>VLOOKUP($C269,SKU!$A:$I,2,FALSE)</f>
        <v>新谷动漫名侦探柯南·仲夏夜之恋邮票集</v>
      </c>
      <c r="C269" s="29" t="s">
        <v>111</v>
      </c>
      <c r="D269" s="29">
        <v>3</v>
      </c>
      <c r="E269" s="31">
        <f>D269*VLOOKUP(A269,Nhập入库!A:N,8,FALSE)</f>
        <v>15</v>
      </c>
      <c r="F269" s="34"/>
      <c r="G269" s="34" t="s">
        <v>33</v>
      </c>
      <c r="H269" s="34" t="s">
        <v>424</v>
      </c>
      <c r="I269" s="34" t="s">
        <v>459</v>
      </c>
      <c r="J269" s="34"/>
    </row>
    <row r="270" spans="1:10">
      <c r="A270" s="31">
        <f>VLOOKUP($C270,SKU!$A:$I,3,FALSE)</f>
        <v>10007</v>
      </c>
      <c r="B270" s="31" t="str">
        <f>VLOOKUP($C270,SKU!$A:$I,2,FALSE)</f>
        <v>kawaii宫崎骏梦幻之国</v>
      </c>
      <c r="C270" s="29" t="s">
        <v>49</v>
      </c>
      <c r="E270" s="31">
        <f>D270*VLOOKUP(A270,Nhập入库!A:N,8,FALSE)</f>
        <v>0</v>
      </c>
      <c r="F270" s="29">
        <v>8</v>
      </c>
      <c r="G270" s="29" t="s">
        <v>90</v>
      </c>
      <c r="H270" s="29" t="s">
        <v>423</v>
      </c>
      <c r="I270" s="141" t="s">
        <v>455</v>
      </c>
      <c r="J270" s="133">
        <v>0.460416666666667</v>
      </c>
    </row>
    <row r="271" spans="1:10">
      <c r="A271" s="31">
        <f>VLOOKUP($C271,SKU!$A:$I,3,FALSE)</f>
        <v>10011</v>
      </c>
      <c r="B271" s="31" t="str">
        <f>VLOOKUP($C271,SKU!$A:$I,2,FALSE)</f>
        <v>灿卡文创宫崎骏第二弹《花涧物语》</v>
      </c>
      <c r="C271" s="29" t="s">
        <v>71</v>
      </c>
      <c r="E271" s="31">
        <f>D271*VLOOKUP(A271,Nhập入库!A:N,8,FALSE)</f>
        <v>0</v>
      </c>
      <c r="F271" s="29">
        <v>35</v>
      </c>
      <c r="G271" s="29" t="s">
        <v>90</v>
      </c>
      <c r="H271" s="29" t="s">
        <v>423</v>
      </c>
      <c r="I271" s="141" t="s">
        <v>457</v>
      </c>
      <c r="J271" s="133">
        <v>0.460416666666667</v>
      </c>
    </row>
    <row r="272" spans="1:10">
      <c r="A272" s="31">
        <f>VLOOKUP($C272,SKU!$A:$I,3,FALSE)</f>
        <v>10011</v>
      </c>
      <c r="B272" s="31" t="str">
        <f>VLOOKUP($C272,SKU!$A:$I,2,FALSE)</f>
        <v>灿卡文创宫崎骏第二弹《花涧物语》</v>
      </c>
      <c r="C272" s="29" t="s">
        <v>71</v>
      </c>
      <c r="D272" s="29">
        <v>1</v>
      </c>
      <c r="E272" s="31">
        <f>D272*VLOOKUP(A272,Nhập入库!A:N,8,FALSE)</f>
        <v>13</v>
      </c>
      <c r="G272" s="29" t="s">
        <v>90</v>
      </c>
      <c r="H272" s="29" t="s">
        <v>423</v>
      </c>
      <c r="I272" s="141" t="s">
        <v>457</v>
      </c>
      <c r="J272" s="133">
        <v>0.460416666666667</v>
      </c>
    </row>
    <row r="273" spans="1:10">
      <c r="A273" s="31">
        <f>VLOOKUP($C273,SKU!$A:$I,3,FALSE)</f>
        <v>10006</v>
      </c>
      <c r="B273" s="31" t="str">
        <f>VLOOKUP($C273,SKU!$A:$I,2,FALSE)</f>
        <v>云映文化「云之境の夏」第二弹·宫崎骏珍藏卡牌</v>
      </c>
      <c r="C273" s="34" t="s">
        <v>43</v>
      </c>
      <c r="E273" s="31">
        <f>D273*VLOOKUP(A273,Nhập入库!A:N,8,FALSE)</f>
        <v>0</v>
      </c>
      <c r="F273" s="29">
        <v>62</v>
      </c>
      <c r="G273" s="34" t="s">
        <v>90</v>
      </c>
      <c r="H273" s="34" t="s">
        <v>423</v>
      </c>
      <c r="I273" s="141" t="s">
        <v>457</v>
      </c>
      <c r="J273" s="133">
        <v>0.460416666666667</v>
      </c>
    </row>
    <row r="274" spans="1:10">
      <c r="A274" s="31">
        <f>VLOOKUP($C274,SKU!$A:$I,3,FALSE)</f>
        <v>10026</v>
      </c>
      <c r="B274" s="31" t="str">
        <f>VLOOKUP($C274,SKU!$A:$I,2,FALSE)</f>
        <v>星恋文创·恋与深空《晦明交错之间》亚克力相框卡</v>
      </c>
      <c r="C274" s="34" t="s">
        <v>131</v>
      </c>
      <c r="E274" s="31">
        <f>D274*VLOOKUP(A274,Nhập入库!A:N,8,FALSE)</f>
        <v>0</v>
      </c>
      <c r="F274" s="29">
        <v>18</v>
      </c>
      <c r="G274" s="34" t="s">
        <v>90</v>
      </c>
      <c r="H274" s="34" t="s">
        <v>423</v>
      </c>
      <c r="I274" s="141" t="s">
        <v>457</v>
      </c>
      <c r="J274" s="133">
        <v>0.460416666666667</v>
      </c>
    </row>
    <row r="275" spans="1:10">
      <c r="A275" s="31">
        <f>VLOOKUP($C275,SKU!$A:$I,3,FALSE)</f>
        <v>10053</v>
      </c>
      <c r="B275" s="31" t="str">
        <f>VLOOKUP($C275,SKU!$A:$I,2,FALSE)</f>
        <v>悦灵文创 《落花只为君》第三弹</v>
      </c>
      <c r="C275" s="29" t="s">
        <v>228</v>
      </c>
      <c r="D275" s="29">
        <v>5</v>
      </c>
      <c r="E275" s="31">
        <f>D275*VLOOKUP(A275,Nhập入库!A:N,8,FALSE)</f>
        <v>60</v>
      </c>
      <c r="G275" s="34" t="s">
        <v>422</v>
      </c>
      <c r="H275" s="34" t="s">
        <v>406</v>
      </c>
      <c r="I275" s="141" t="s">
        <v>457</v>
      </c>
      <c r="J275" s="133">
        <v>0.529861111111111</v>
      </c>
    </row>
    <row r="276" spans="1:10">
      <c r="A276" s="31">
        <f>VLOOKUP($C276,SKU!$A:$I,3,FALSE)</f>
        <v>10016</v>
      </c>
      <c r="B276" s="31" t="str">
        <f>VLOOKUP($C276,SKU!$A:$I,2,FALSE)</f>
        <v>思梨普文创《hey!国王陛下》集换式艺术家典藏卡</v>
      </c>
      <c r="C276" s="29" t="s">
        <v>91</v>
      </c>
      <c r="D276" s="29">
        <v>5</v>
      </c>
      <c r="E276" s="31">
        <v>50</v>
      </c>
      <c r="G276" s="34" t="s">
        <v>86</v>
      </c>
      <c r="H276" s="34" t="s">
        <v>428</v>
      </c>
      <c r="I276" s="141" t="s">
        <v>455</v>
      </c>
      <c r="J276" s="133">
        <v>0.0715277777777778</v>
      </c>
    </row>
    <row r="277" spans="1:10">
      <c r="A277" s="31">
        <f>VLOOKUP($C277,SKU!$A:$I,3,FALSE)</f>
        <v>10046</v>
      </c>
      <c r="B277" s="31" t="str">
        <f>VLOOKUP($C277,SKU!$A:$I,2,FALSE)</f>
        <v>夜灯</v>
      </c>
      <c r="C277" s="29" t="s">
        <v>207</v>
      </c>
      <c r="D277" s="29">
        <v>5</v>
      </c>
      <c r="E277" s="31">
        <f>D277*VLOOKUP(A277,Nhập入库!A:N,8,FALSE)</f>
        <v>5</v>
      </c>
      <c r="G277" s="29" t="s">
        <v>429</v>
      </c>
      <c r="H277" s="29" t="s">
        <v>428</v>
      </c>
      <c r="I277" s="141" t="s">
        <v>455</v>
      </c>
      <c r="J277" s="133">
        <v>0.877083333333333</v>
      </c>
    </row>
    <row r="278" spans="1:10">
      <c r="A278" s="31">
        <f>VLOOKUP($C278,SKU!$A:$I,3,FALSE)</f>
        <v>10043</v>
      </c>
      <c r="B278" s="31" t="str">
        <f>VLOOKUP($C278,SKU!$A:$I,2,FALSE)</f>
        <v>光恋XR-披荆斩棘-美少女战士</v>
      </c>
      <c r="C278" s="34" t="s">
        <v>199</v>
      </c>
      <c r="D278" s="29">
        <v>5</v>
      </c>
      <c r="E278" s="31">
        <f>D278*VLOOKUP(A278,Nhập入库!A:N,8,FALSE)</f>
        <v>65</v>
      </c>
      <c r="G278" s="34" t="s">
        <v>422</v>
      </c>
      <c r="H278" s="34" t="s">
        <v>406</v>
      </c>
      <c r="I278" s="141" t="s">
        <v>457</v>
      </c>
      <c r="J278" s="133">
        <v>0.559027777777778</v>
      </c>
    </row>
    <row r="279" spans="1:10">
      <c r="A279" s="31">
        <f>VLOOKUP($C279,SKU!$A:$I,3,FALSE)</f>
        <v>10003</v>
      </c>
      <c r="B279" s="31" t="str">
        <f>VLOOKUP($C279,SKU!$A:$I,2,FALSE)</f>
        <v>DUO米全新出品鬼灭之刃-柱合会议篇第二弹</v>
      </c>
      <c r="C279" s="29" t="s">
        <v>24</v>
      </c>
      <c r="E279" s="31">
        <f>D279*VLOOKUP(A279,Nhập入库!A:N,8,FALSE)</f>
        <v>0</v>
      </c>
      <c r="F279" s="29">
        <v>35</v>
      </c>
      <c r="G279" s="29" t="s">
        <v>33</v>
      </c>
      <c r="H279" s="29" t="s">
        <v>424</v>
      </c>
      <c r="I279" s="141" t="s">
        <v>460</v>
      </c>
      <c r="J279" s="133">
        <v>0.544444444444444</v>
      </c>
    </row>
    <row r="280" spans="1:10">
      <c r="A280" s="31">
        <f>VLOOKUP($C280,SKU!$A:$I,3,FALSE)</f>
        <v>10039</v>
      </c>
      <c r="B280" s="31" t="str">
        <f>VLOOKUP($C280,SKU!$A:$I,2,FALSE)</f>
        <v>非凡航海王第五弹</v>
      </c>
      <c r="C280" s="29" t="s">
        <v>184</v>
      </c>
      <c r="D280" s="29">
        <v>24</v>
      </c>
      <c r="E280" s="31">
        <f>D280*VLOOKUP(A280,Nhập入库!A:N,8,FALSE)</f>
        <v>480</v>
      </c>
      <c r="G280" s="29" t="s">
        <v>425</v>
      </c>
      <c r="H280" s="29" t="s">
        <v>424</v>
      </c>
      <c r="I280" s="141" t="s">
        <v>461</v>
      </c>
      <c r="J280" s="133">
        <v>0.583333333333333</v>
      </c>
    </row>
    <row r="281" spans="1:10">
      <c r="A281" s="31">
        <f>VLOOKUP($C281,SKU!$A:$I,3,FALSE)</f>
        <v>10047</v>
      </c>
      <c r="B281" s="31" t="str">
        <f>VLOOKUP($C281,SKU!$A:$I,2,FALSE)</f>
        <v>提瓦特工坊·原神水晶色纸</v>
      </c>
      <c r="C281" s="29" t="s">
        <v>209</v>
      </c>
      <c r="D281" s="29">
        <v>6</v>
      </c>
      <c r="E281" s="31">
        <f>D281*VLOOKUP(A281,Nhập入库!A:N,8,FALSE)</f>
        <v>6</v>
      </c>
      <c r="G281" s="29" t="s">
        <v>429</v>
      </c>
      <c r="H281" s="29" t="s">
        <v>428</v>
      </c>
      <c r="I281" s="141" t="s">
        <v>461</v>
      </c>
      <c r="J281" s="133">
        <v>0.818055555555556</v>
      </c>
    </row>
    <row r="282" spans="1:10">
      <c r="A282" s="31">
        <f>VLOOKUP($C282,SKU!$A:$I,3,FALSE)</f>
        <v>10053</v>
      </c>
      <c r="B282" s="31" t="str">
        <f>VLOOKUP($C282,SKU!$A:$I,2,FALSE)</f>
        <v>悦灵文创 《落花只为君》第三弹</v>
      </c>
      <c r="C282" s="29" t="s">
        <v>228</v>
      </c>
      <c r="D282" s="29">
        <v>10</v>
      </c>
      <c r="E282" s="31">
        <f>D282*VLOOKUP(A282,Nhập入库!A:N,8,FALSE)</f>
        <v>120</v>
      </c>
      <c r="G282" s="29" t="s">
        <v>433</v>
      </c>
      <c r="H282" s="29" t="s">
        <v>431</v>
      </c>
      <c r="I282" s="141" t="s">
        <v>457</v>
      </c>
      <c r="J282" s="133">
        <v>0.729166666666667</v>
      </c>
    </row>
    <row r="283" spans="1:10">
      <c r="A283" s="31">
        <f>VLOOKUP($C283,SKU!$A:$I,3,FALSE)</f>
        <v>10011</v>
      </c>
      <c r="B283" s="31" t="str">
        <f>VLOOKUP($C283,SKU!$A:$I,2,FALSE)</f>
        <v>灿卡文创宫崎骏第二弹《花涧物语》</v>
      </c>
      <c r="C283" s="34" t="s">
        <v>71</v>
      </c>
      <c r="D283" s="29">
        <v>2</v>
      </c>
      <c r="E283" s="31">
        <f>D283*VLOOKUP(A283,Nhập入库!A:N,8,FALSE)</f>
        <v>26</v>
      </c>
      <c r="G283" s="34" t="s">
        <v>433</v>
      </c>
      <c r="H283" s="34" t="s">
        <v>431</v>
      </c>
      <c r="I283" s="34" t="s">
        <v>457</v>
      </c>
      <c r="J283" s="133">
        <v>0.958333333333333</v>
      </c>
    </row>
    <row r="284" spans="1:10">
      <c r="A284" s="31">
        <f>VLOOKUP($C284,SKU!$A:$I,3,FALSE)</f>
        <v>10011</v>
      </c>
      <c r="B284" s="31" t="str">
        <f>VLOOKUP($C284,SKU!$A:$I,2,FALSE)</f>
        <v>灿卡文创宫崎骏第二弹《花涧物语》</v>
      </c>
      <c r="C284" s="34" t="s">
        <v>71</v>
      </c>
      <c r="D284" s="29">
        <v>2</v>
      </c>
      <c r="E284" s="31">
        <f>D284*VLOOKUP(A284,Nhập入库!A:N,8,FALSE)</f>
        <v>26</v>
      </c>
      <c r="F284" s="29">
        <v>28</v>
      </c>
      <c r="G284" s="34" t="s">
        <v>433</v>
      </c>
      <c r="H284" s="34" t="s">
        <v>431</v>
      </c>
      <c r="I284" s="34" t="s">
        <v>457</v>
      </c>
      <c r="J284" s="133">
        <v>0.958333333333333</v>
      </c>
    </row>
    <row r="285" spans="1:10">
      <c r="A285" s="31">
        <f>VLOOKUP($C285,SKU!$A:$I,3,FALSE)</f>
        <v>10004</v>
      </c>
      <c r="B285" s="31" t="str">
        <f>VLOOKUP($C285,SKU!$A:$I,2,FALSE)</f>
        <v>初见花海咒术回战第一弹</v>
      </c>
      <c r="C285" s="29" t="s">
        <v>30</v>
      </c>
      <c r="E285" s="31">
        <f>D285*VLOOKUP(A285,Nhập入库!A:N,8,FALSE)</f>
        <v>0</v>
      </c>
      <c r="F285" s="29">
        <v>18</v>
      </c>
      <c r="G285" s="29" t="s">
        <v>33</v>
      </c>
      <c r="H285" s="29" t="s">
        <v>424</v>
      </c>
      <c r="I285" s="141" t="s">
        <v>462</v>
      </c>
      <c r="J285" s="133">
        <v>0.395833333333333</v>
      </c>
    </row>
    <row r="286" spans="1:10">
      <c r="A286" s="31">
        <f>VLOOKUP($C286,SKU!$A:$I,3,FALSE)</f>
        <v>10047</v>
      </c>
      <c r="B286" s="31" t="str">
        <f>VLOOKUP($C286,SKU!$A:$I,2,FALSE)</f>
        <v>提瓦特工坊·原神水晶色纸</v>
      </c>
      <c r="C286" s="34" t="s">
        <v>209</v>
      </c>
      <c r="D286" s="29">
        <v>4</v>
      </c>
      <c r="E286" s="31">
        <f>D286*VLOOKUP(A286,Nhập入库!A:N,8,FALSE)</f>
        <v>4</v>
      </c>
      <c r="G286" s="34" t="s">
        <v>426</v>
      </c>
      <c r="H286" s="34" t="s">
        <v>406</v>
      </c>
      <c r="I286" s="141" t="s">
        <v>462</v>
      </c>
      <c r="J286" s="133">
        <v>0.398611111111111</v>
      </c>
    </row>
    <row r="287" spans="1:10">
      <c r="A287" s="31">
        <f>VLOOKUP($C287,SKU!$A:$I,3,FALSE)</f>
        <v>10053</v>
      </c>
      <c r="B287" s="31" t="str">
        <f>VLOOKUP($C287,SKU!$A:$I,2,FALSE)</f>
        <v>悦灵文创 《落花只为君》第三弹</v>
      </c>
      <c r="C287" s="34" t="s">
        <v>228</v>
      </c>
      <c r="D287" s="29">
        <v>6</v>
      </c>
      <c r="E287" s="31">
        <f>D287*VLOOKUP(A287,Nhập入库!A:N,8,FALSE)</f>
        <v>72</v>
      </c>
      <c r="G287" s="34" t="s">
        <v>422</v>
      </c>
      <c r="H287" s="34" t="s">
        <v>406</v>
      </c>
      <c r="I287" s="141" t="s">
        <v>462</v>
      </c>
      <c r="J287" s="133">
        <v>0.413194444444444</v>
      </c>
    </row>
    <row r="288" spans="1:10">
      <c r="A288" s="31">
        <f>VLOOKUP($C288,SKU!$A:$I,3,FALSE)</f>
        <v>10053</v>
      </c>
      <c r="B288" s="31" t="str">
        <f>VLOOKUP($C288,SKU!$A:$I,2,FALSE)</f>
        <v>悦灵文创 《落花只为君》第三弹</v>
      </c>
      <c r="C288" s="34" t="s">
        <v>228</v>
      </c>
      <c r="D288" s="29">
        <v>10</v>
      </c>
      <c r="E288" s="31">
        <f>D288*VLOOKUP(A288,Nhập入库!A:N,8,FALSE)</f>
        <v>120</v>
      </c>
      <c r="G288" s="34" t="s">
        <v>422</v>
      </c>
      <c r="H288" s="34" t="s">
        <v>406</v>
      </c>
      <c r="I288" s="141" t="s">
        <v>462</v>
      </c>
      <c r="J288" s="155">
        <v>0.425694444444444</v>
      </c>
    </row>
    <row r="289" spans="1:10">
      <c r="A289" s="31">
        <f>VLOOKUP($C289,SKU!$A:$I,3,FALSE)</f>
        <v>10053</v>
      </c>
      <c r="B289" s="31" t="str">
        <f>VLOOKUP($C289,SKU!$A:$I,2,FALSE)</f>
        <v>悦灵文创 《落花只为君》第三弹</v>
      </c>
      <c r="C289" s="34" t="s">
        <v>228</v>
      </c>
      <c r="D289" s="29">
        <v>10</v>
      </c>
      <c r="E289" s="31">
        <f>D289*VLOOKUP(A289,Nhập入库!A:N,8,FALSE)</f>
        <v>120</v>
      </c>
      <c r="G289" s="34" t="s">
        <v>433</v>
      </c>
      <c r="H289" s="34" t="s">
        <v>431</v>
      </c>
      <c r="I289" s="141" t="s">
        <v>462</v>
      </c>
      <c r="J289" s="155">
        <v>0.729166666666667</v>
      </c>
    </row>
    <row r="290" spans="1:10">
      <c r="A290" s="31">
        <f>VLOOKUP($C290,SKU!$A:$I,3,FALSE)</f>
        <v>10011</v>
      </c>
      <c r="B290" s="31" t="str">
        <f>VLOOKUP($C290,SKU!$A:$I,2,FALSE)</f>
        <v>灿卡文创宫崎骏第二弹《花涧物语》</v>
      </c>
      <c r="C290" s="34" t="s">
        <v>71</v>
      </c>
      <c r="D290" s="29">
        <v>1</v>
      </c>
      <c r="E290" s="31">
        <f>D290*VLOOKUP(A290,Nhập入库!A:N,8,FALSE)</f>
        <v>13</v>
      </c>
      <c r="G290" s="34" t="s">
        <v>433</v>
      </c>
      <c r="H290" s="34" t="s">
        <v>431</v>
      </c>
      <c r="I290" s="34" t="s">
        <v>462</v>
      </c>
      <c r="J290" s="133">
        <v>0.770833333333333</v>
      </c>
    </row>
    <row r="291" spans="1:10">
      <c r="A291" s="31">
        <f>VLOOKUP($C291,SKU!$A:$I,3,FALSE)</f>
        <v>10007</v>
      </c>
      <c r="B291" s="31" t="str">
        <f>VLOOKUP($C291,SKU!$A:$I,2,FALSE)</f>
        <v>kawaii宫崎骏梦幻之国</v>
      </c>
      <c r="C291" s="34" t="s">
        <v>49</v>
      </c>
      <c r="D291" s="29">
        <v>6</v>
      </c>
      <c r="E291" s="31">
        <f>D291*VLOOKUP(A291,Nhập入库!A:N,8,FALSE)</f>
        <v>78</v>
      </c>
      <c r="G291" s="34" t="s">
        <v>430</v>
      </c>
      <c r="H291" s="34" t="s">
        <v>431</v>
      </c>
      <c r="I291" s="34" t="s">
        <v>462</v>
      </c>
      <c r="J291" s="133">
        <v>0.958333333333333</v>
      </c>
    </row>
    <row r="292" spans="1:10">
      <c r="A292" s="31">
        <f>VLOOKUP($C292,SKU!$A:$I,3,FALSE)</f>
        <v>10052</v>
      </c>
      <c r="B292" s="31" t="str">
        <f>VLOOKUP($C292,SKU!$A:$I,2,FALSE)</f>
        <v>柯南洞悉包第五弹</v>
      </c>
      <c r="C292" s="34" t="s">
        <v>225</v>
      </c>
      <c r="D292" s="29">
        <v>5</v>
      </c>
      <c r="E292" s="31">
        <f>D292*VLOOKUP(A292,Nhập入库!A:N,8,FALSE)</f>
        <v>90</v>
      </c>
      <c r="G292" s="34" t="s">
        <v>430</v>
      </c>
      <c r="H292" s="34" t="s">
        <v>431</v>
      </c>
      <c r="I292" s="34" t="s">
        <v>462</v>
      </c>
      <c r="J292" s="133">
        <v>0.958333333333333</v>
      </c>
    </row>
    <row r="293" spans="1:10">
      <c r="A293" s="31">
        <f>VLOOKUP($C293,SKU!$A:$I,3,FALSE)</f>
        <v>10029</v>
      </c>
      <c r="B293" s="31" t="str">
        <f>VLOOKUP($C293,SKU!$A:$I,2,FALSE)</f>
        <v>樱花屋魔卡少女樱</v>
      </c>
      <c r="C293" s="34" t="s">
        <v>143</v>
      </c>
      <c r="D293" s="29">
        <v>6</v>
      </c>
      <c r="E293" s="31">
        <f>D293*VLOOKUP(A293,Nhập入库!A:N,8,FALSE)</f>
        <v>72</v>
      </c>
      <c r="G293" s="34" t="s">
        <v>426</v>
      </c>
      <c r="H293" s="34" t="s">
        <v>406</v>
      </c>
      <c r="I293" s="34" t="s">
        <v>463</v>
      </c>
      <c r="J293" s="133">
        <v>0.3875</v>
      </c>
    </row>
    <row r="294" spans="1:10">
      <c r="A294" s="31">
        <f>VLOOKUP($C294,SKU!$A:$I,3,FALSE)</f>
        <v>10053</v>
      </c>
      <c r="B294" s="31" t="str">
        <f>VLOOKUP($C294,SKU!$A:$I,2,FALSE)</f>
        <v>悦灵文创 《落花只为君》第三弹</v>
      </c>
      <c r="C294" s="34" t="s">
        <v>228</v>
      </c>
      <c r="D294" s="29">
        <v>5</v>
      </c>
      <c r="E294" s="31">
        <f>D294*VLOOKUP(A294,Nhập入库!A:N,8,FALSE)</f>
        <v>60</v>
      </c>
      <c r="G294" s="34" t="s">
        <v>422</v>
      </c>
      <c r="H294" s="34" t="s">
        <v>406</v>
      </c>
      <c r="I294" s="34" t="s">
        <v>463</v>
      </c>
      <c r="J294" s="133">
        <v>0.592361111111111</v>
      </c>
    </row>
    <row r="295" spans="1:10">
      <c r="A295" s="31">
        <f>VLOOKUP($C295,SKU!$A:$I,3,FALSE)</f>
        <v>10040</v>
      </c>
      <c r="B295" s="31" t="str">
        <f>VLOOKUP($C295,SKU!$A:$I,2,FALSE)</f>
        <v>酷卡文化-线条小狗3弹</v>
      </c>
      <c r="C295" s="29" t="s">
        <v>188</v>
      </c>
      <c r="D295" s="29">
        <v>5</v>
      </c>
      <c r="E295" s="31">
        <f>D295*VLOOKUP(A295,Nhập入库!A:N,8,FALSE)</f>
        <v>55</v>
      </c>
      <c r="G295" s="29" t="s">
        <v>33</v>
      </c>
      <c r="H295" s="29" t="s">
        <v>424</v>
      </c>
      <c r="I295" s="34" t="s">
        <v>463</v>
      </c>
      <c r="J295" s="133">
        <v>0.604166666666667</v>
      </c>
    </row>
    <row r="296" spans="1:10">
      <c r="A296" s="31">
        <f>VLOOKUP($C296,SKU!$A:$I,3,FALSE)</f>
        <v>10004</v>
      </c>
      <c r="B296" s="31" t="str">
        <f>VLOOKUP($C296,SKU!$A:$I,2,FALSE)</f>
        <v>初见花海咒术回战第一弹</v>
      </c>
      <c r="C296" s="29" t="s">
        <v>30</v>
      </c>
      <c r="E296" s="31"/>
      <c r="F296" s="29">
        <v>12</v>
      </c>
      <c r="G296" s="29" t="s">
        <v>430</v>
      </c>
      <c r="H296" s="29" t="s">
        <v>431</v>
      </c>
      <c r="I296" s="141" t="s">
        <v>463</v>
      </c>
      <c r="J296" s="133">
        <v>0.78125</v>
      </c>
    </row>
    <row r="297" spans="1:10">
      <c r="A297" s="31">
        <f>VLOOKUP($C297,SKU!$A:$I,3,FALSE)</f>
        <v>10048</v>
      </c>
      <c r="B297" s="31" t="str">
        <f>VLOOKUP($C297,SKU!$A:$I,2,FALSE)</f>
        <v>奈良社《极昼漫游》美少女战士撕撕乐+异形小卡</v>
      </c>
      <c r="C297" s="34" t="s">
        <v>212</v>
      </c>
      <c r="E297" s="31"/>
      <c r="F297" s="29">
        <v>20</v>
      </c>
      <c r="G297" s="34" t="s">
        <v>430</v>
      </c>
      <c r="H297" s="34" t="s">
        <v>431</v>
      </c>
      <c r="I297" s="34" t="s">
        <v>463</v>
      </c>
      <c r="J297" s="133">
        <v>0.757638888888889</v>
      </c>
    </row>
    <row r="298" spans="1:10">
      <c r="A298" s="31">
        <f>VLOOKUP($C298,SKU!$A:$I,3,FALSE)</f>
        <v>10038</v>
      </c>
      <c r="B298" s="31" t="str">
        <f>VLOOKUP($C298,SKU!$A:$I,2,FALSE)</f>
        <v>浮光工作室❤第三弹【夏风吻过你的睫毛】</v>
      </c>
      <c r="C298" s="34" t="s">
        <v>179</v>
      </c>
      <c r="D298" s="29">
        <v>40</v>
      </c>
      <c r="E298" s="31">
        <f>D298*VLOOKUP(A298,Nhập入库!A:N,8,FALSE)</f>
        <v>40</v>
      </c>
      <c r="G298" s="34" t="s">
        <v>433</v>
      </c>
      <c r="H298" s="34" t="s">
        <v>431</v>
      </c>
      <c r="I298" s="34" t="s">
        <v>463</v>
      </c>
      <c r="J298" s="133">
        <v>0.799305555555556</v>
      </c>
    </row>
    <row r="299" spans="1:10">
      <c r="A299" s="31">
        <f>VLOOKUP($C299,SKU!$A:$I,3,FALSE)</f>
        <v>10026</v>
      </c>
      <c r="B299" s="31" t="str">
        <f>VLOOKUP($C299,SKU!$A:$I,2,FALSE)</f>
        <v>星恋文创·恋与深空《晦明交错之间》亚克力相框卡</v>
      </c>
      <c r="C299" s="29" t="s">
        <v>131</v>
      </c>
      <c r="D299" s="29">
        <v>20</v>
      </c>
      <c r="E299" s="31">
        <f>D299*VLOOKUP(A299,Nhập入库!A:N,8,FALSE)</f>
        <v>20</v>
      </c>
      <c r="G299" s="29" t="s">
        <v>429</v>
      </c>
      <c r="H299" s="29" t="s">
        <v>428</v>
      </c>
      <c r="I299" s="34" t="s">
        <v>463</v>
      </c>
      <c r="J299" s="133">
        <v>0.854166666666667</v>
      </c>
    </row>
    <row r="300" spans="1:10">
      <c r="A300" s="31">
        <f>VLOOKUP($C300,SKU!$A:$I,3,FALSE)</f>
        <v>10052</v>
      </c>
      <c r="B300" s="31" t="str">
        <f>VLOOKUP($C300,SKU!$A:$I,2,FALSE)</f>
        <v>柯南洞悉包第五弹</v>
      </c>
      <c r="C300" s="34" t="s">
        <v>225</v>
      </c>
      <c r="D300" s="29">
        <v>3</v>
      </c>
      <c r="E300" s="31">
        <f>D300*VLOOKUP(A300,Nhập入库!A:N,8,FALSE)</f>
        <v>54</v>
      </c>
      <c r="G300" s="34" t="s">
        <v>430</v>
      </c>
      <c r="H300" s="34" t="s">
        <v>431</v>
      </c>
      <c r="I300" s="34" t="s">
        <v>463</v>
      </c>
      <c r="J300" s="133">
        <v>0.958333333333333</v>
      </c>
    </row>
    <row r="301" spans="1:10">
      <c r="A301" s="31">
        <f>VLOOKUP($C301,SKU!$A:$I,3,FALSE)</f>
        <v>10006</v>
      </c>
      <c r="B301" s="31" t="str">
        <f>VLOOKUP($C301,SKU!$A:$I,2,FALSE)</f>
        <v>云映文化「云之境の夏」第二弹·宫崎骏珍藏卡牌</v>
      </c>
      <c r="C301" s="34" t="s">
        <v>43</v>
      </c>
      <c r="D301" s="29">
        <v>5</v>
      </c>
      <c r="E301" s="31">
        <f>D301*VLOOKUP(A301,Nhập入库!A:N,8,FALSE)</f>
        <v>65</v>
      </c>
      <c r="G301" s="34" t="s">
        <v>429</v>
      </c>
      <c r="H301" s="34" t="s">
        <v>428</v>
      </c>
      <c r="I301" s="34" t="s">
        <v>463</v>
      </c>
      <c r="J301" s="133">
        <v>0.959027777777778</v>
      </c>
    </row>
    <row r="302" spans="1:10">
      <c r="A302" s="31">
        <f>VLOOKUP($C302,SKU!$A:$I,3,FALSE)</f>
        <v>10007</v>
      </c>
      <c r="B302" s="31" t="str">
        <f>VLOOKUP($C302,SKU!$A:$I,2,FALSE)</f>
        <v>kawaii宫崎骏梦幻之国</v>
      </c>
      <c r="C302" s="34" t="s">
        <v>49</v>
      </c>
      <c r="D302" s="29">
        <v>2</v>
      </c>
      <c r="E302" s="31">
        <f>D302*VLOOKUP(A302,Nhập入库!A:N,8,FALSE)</f>
        <v>26</v>
      </c>
      <c r="G302" s="34" t="s">
        <v>90</v>
      </c>
      <c r="H302" s="34" t="s">
        <v>428</v>
      </c>
      <c r="I302" s="34" t="s">
        <v>464</v>
      </c>
      <c r="J302" s="133">
        <v>0.0513888888888889</v>
      </c>
    </row>
    <row r="303" spans="1:10">
      <c r="A303" s="31">
        <f>VLOOKUP($C303,SKU!$A:$I,3,FALSE)</f>
        <v>10026</v>
      </c>
      <c r="B303" s="31" t="str">
        <f>VLOOKUP($C303,SKU!$A:$I,2,FALSE)</f>
        <v>星恋文创·恋与深空《晦明交错之间》亚克力相框卡</v>
      </c>
      <c r="C303" s="34" t="s">
        <v>131</v>
      </c>
      <c r="D303" s="29">
        <v>19</v>
      </c>
      <c r="E303" s="31">
        <f>D303*VLOOKUP(A303,Nhập入库!A:N,8,FALSE)</f>
        <v>19</v>
      </c>
      <c r="G303" s="34" t="s">
        <v>90</v>
      </c>
      <c r="H303" s="34" t="s">
        <v>428</v>
      </c>
      <c r="I303" s="34" t="s">
        <v>464</v>
      </c>
      <c r="J303" s="133">
        <v>0.106944444444444</v>
      </c>
    </row>
    <row r="304" spans="1:10">
      <c r="A304" s="31">
        <f>VLOOKUP($C304,SKU!$A:$I,3,FALSE)</f>
        <v>10006</v>
      </c>
      <c r="B304" s="31" t="str">
        <f>VLOOKUP($C304,SKU!$A:$I,2,FALSE)</f>
        <v>云映文化「云之境の夏」第二弹·宫崎骏珍藏卡牌</v>
      </c>
      <c r="C304" s="34" t="s">
        <v>43</v>
      </c>
      <c r="D304" s="29">
        <v>6</v>
      </c>
      <c r="E304" s="31">
        <f>D304*VLOOKUP(A304,Nhập入库!A:N,8,FALSE)</f>
        <v>78</v>
      </c>
      <c r="G304" s="34" t="s">
        <v>90</v>
      </c>
      <c r="H304" s="34" t="s">
        <v>428</v>
      </c>
      <c r="I304" s="34" t="s">
        <v>464</v>
      </c>
      <c r="J304" s="133">
        <v>0.0798611111111111</v>
      </c>
    </row>
    <row r="305" spans="1:10">
      <c r="A305" s="31">
        <f>VLOOKUP($C305,SKU!$A:$I,3,FALSE)</f>
        <v>10011</v>
      </c>
      <c r="B305" s="31" t="str">
        <f>VLOOKUP($C305,SKU!$A:$I,2,FALSE)</f>
        <v>灿卡文创宫崎骏第二弹《花涧物语》</v>
      </c>
      <c r="C305" s="29" t="s">
        <v>71</v>
      </c>
      <c r="D305" s="29">
        <v>5</v>
      </c>
      <c r="E305" s="31">
        <f>D305*VLOOKUP(A305,Nhập入库!A:N,8,FALSE)</f>
        <v>65</v>
      </c>
      <c r="G305" s="34" t="s">
        <v>432</v>
      </c>
      <c r="H305" s="34" t="s">
        <v>406</v>
      </c>
      <c r="I305" s="34" t="s">
        <v>464</v>
      </c>
      <c r="J305" s="133"/>
    </row>
    <row r="306" spans="1:10">
      <c r="A306" s="31">
        <f>VLOOKUP($C306,SKU!$A:$I,3,FALSE)</f>
        <v>10028</v>
      </c>
      <c r="B306" s="31" t="str">
        <f>VLOOKUP($C306,SKU!$A:$I,2,FALSE)</f>
        <v>潮玩咔原神 尘世收藏卡</v>
      </c>
      <c r="C306" s="34" t="s">
        <v>139</v>
      </c>
      <c r="E306" s="31">
        <f>D306*VLOOKUP(A306,Nhập入库!A:N,8,FALSE)</f>
        <v>0</v>
      </c>
      <c r="F306" s="29">
        <v>29</v>
      </c>
      <c r="G306" s="34" t="s">
        <v>426</v>
      </c>
      <c r="H306" s="34" t="s">
        <v>406</v>
      </c>
      <c r="I306" s="34" t="s">
        <v>464</v>
      </c>
      <c r="J306" s="133">
        <v>0.444444444444444</v>
      </c>
    </row>
    <row r="307" spans="1:10">
      <c r="A307" s="31">
        <f>VLOOKUP($C307,SKU!$A:$I,3,FALSE)</f>
        <v>10053</v>
      </c>
      <c r="B307" s="31" t="str">
        <f>VLOOKUP($C307,SKU!$A:$I,2,FALSE)</f>
        <v>悦灵文创 《落花只为君》第三弹</v>
      </c>
      <c r="C307" s="34" t="s">
        <v>228</v>
      </c>
      <c r="E307" s="31">
        <f>D307*VLOOKUP(A307,Nhập入库!A:N,8,FALSE)</f>
        <v>0</v>
      </c>
      <c r="F307" s="29">
        <v>79</v>
      </c>
      <c r="G307" s="34" t="s">
        <v>422</v>
      </c>
      <c r="H307" s="34" t="s">
        <v>406</v>
      </c>
      <c r="I307" s="34" t="s">
        <v>464</v>
      </c>
      <c r="J307" s="133">
        <v>0.4875</v>
      </c>
    </row>
    <row r="308" spans="1:10">
      <c r="A308" s="31">
        <f>VLOOKUP($C308,SKU!$A:$I,3,FALSE)</f>
        <v>10007</v>
      </c>
      <c r="B308" s="31" t="str">
        <f>VLOOKUP($C308,SKU!$A:$I,2,FALSE)</f>
        <v>kawaii宫崎骏梦幻之国</v>
      </c>
      <c r="C308" s="34" t="s">
        <v>49</v>
      </c>
      <c r="D308" s="29">
        <v>3</v>
      </c>
      <c r="E308" s="31">
        <f>D308*VLOOKUP(A308,Nhập入库!A:N,8,FALSE)</f>
        <v>39</v>
      </c>
      <c r="G308" s="34" t="s">
        <v>432</v>
      </c>
      <c r="H308" s="34" t="s">
        <v>406</v>
      </c>
      <c r="I308" s="34" t="s">
        <v>464</v>
      </c>
      <c r="J308" s="133">
        <v>0.497916666666667</v>
      </c>
    </row>
    <row r="309" spans="1:10">
      <c r="A309" s="31">
        <f>VLOOKUP($C309,SKU!$A:$I,3,FALSE)</f>
        <v>10007</v>
      </c>
      <c r="B309" s="31" t="str">
        <f>VLOOKUP($C309,SKU!$A:$I,2,FALSE)</f>
        <v>kawaii宫崎骏梦幻之国</v>
      </c>
      <c r="C309" s="34" t="s">
        <v>49</v>
      </c>
      <c r="D309" s="29">
        <v>3</v>
      </c>
      <c r="E309" s="31">
        <f>D309*VLOOKUP(A309,Nhập入库!A:N,8,FALSE)</f>
        <v>39</v>
      </c>
      <c r="G309" s="34" t="s">
        <v>432</v>
      </c>
      <c r="H309" s="34" t="s">
        <v>406</v>
      </c>
      <c r="I309" s="34" t="s">
        <v>464</v>
      </c>
      <c r="J309" s="133">
        <v>0.497916666666667</v>
      </c>
    </row>
    <row r="310" spans="1:10">
      <c r="A310" s="31">
        <f>VLOOKUP($C310,SKU!$A:$I,3,FALSE)</f>
        <v>10046</v>
      </c>
      <c r="B310" s="31" t="str">
        <f>VLOOKUP($C310,SKU!$A:$I,2,FALSE)</f>
        <v>夜灯</v>
      </c>
      <c r="C310" s="29" t="s">
        <v>207</v>
      </c>
      <c r="D310" s="29">
        <v>2</v>
      </c>
      <c r="E310" s="31">
        <f>D310*VLOOKUP(A310,Nhập入库!A:N,8,FALSE)</f>
        <v>2</v>
      </c>
      <c r="G310" s="29" t="s">
        <v>33</v>
      </c>
      <c r="H310" s="29" t="s">
        <v>424</v>
      </c>
      <c r="I310" s="34" t="s">
        <v>464</v>
      </c>
      <c r="J310" s="133">
        <v>0.415277777777778</v>
      </c>
    </row>
    <row r="311" spans="1:10">
      <c r="A311" s="31">
        <f>VLOOKUP($C311,SKU!$A:$I,3,FALSE)</f>
        <v>10007</v>
      </c>
      <c r="B311" s="31" t="str">
        <f>VLOOKUP($C311,SKU!$A:$I,2,FALSE)</f>
        <v>kawaii宫崎骏梦幻之国</v>
      </c>
      <c r="C311" s="34" t="s">
        <v>49</v>
      </c>
      <c r="D311" s="29">
        <v>4</v>
      </c>
      <c r="E311" s="31">
        <f>D311*VLOOKUP(A311,Nhập入库!A:N,8,FALSE)</f>
        <v>52</v>
      </c>
      <c r="G311" s="34" t="s">
        <v>432</v>
      </c>
      <c r="H311" s="34" t="s">
        <v>406</v>
      </c>
      <c r="I311" s="34" t="s">
        <v>464</v>
      </c>
      <c r="J311" s="133">
        <v>0.517361111111111</v>
      </c>
    </row>
    <row r="312" spans="1:10">
      <c r="A312" s="31">
        <f>VLOOKUP($C312,SKU!$A:$I,3,FALSE)</f>
        <v>10007</v>
      </c>
      <c r="B312" s="31" t="str">
        <f>VLOOKUP($C312,SKU!$A:$I,2,FALSE)</f>
        <v>kawaii宫崎骏梦幻之国</v>
      </c>
      <c r="C312" s="34" t="s">
        <v>49</v>
      </c>
      <c r="D312" s="29">
        <v>4</v>
      </c>
      <c r="E312" s="31">
        <f>D312*VLOOKUP(A312,Nhập入库!A:N,8,FALSE)</f>
        <v>52</v>
      </c>
      <c r="G312" s="34" t="s">
        <v>432</v>
      </c>
      <c r="H312" s="34" t="s">
        <v>406</v>
      </c>
      <c r="I312" s="34" t="s">
        <v>464</v>
      </c>
      <c r="J312" s="133">
        <v>0.517361111111111</v>
      </c>
    </row>
    <row r="313" spans="1:10">
      <c r="A313" s="31">
        <f>VLOOKUP($C313,SKU!$A:$I,3,FALSE)</f>
        <v>10007</v>
      </c>
      <c r="B313" s="31" t="str">
        <f>VLOOKUP($C313,SKU!$A:$I,2,FALSE)</f>
        <v>kawaii宫崎骏梦幻之国</v>
      </c>
      <c r="C313" s="34" t="s">
        <v>49</v>
      </c>
      <c r="E313" s="31">
        <f>D313*VLOOKUP(A313,Nhập入库!A:N,8,FALSE)</f>
        <v>0</v>
      </c>
      <c r="F313" s="29">
        <v>24</v>
      </c>
      <c r="G313" s="34" t="s">
        <v>432</v>
      </c>
      <c r="H313" s="34" t="s">
        <v>406</v>
      </c>
      <c r="I313" s="34" t="s">
        <v>464</v>
      </c>
      <c r="J313" s="133">
        <v>0.527777777777778</v>
      </c>
    </row>
    <row r="314" spans="1:10">
      <c r="A314" s="31">
        <f>VLOOKUP($C314,SKU!$A:$I,3,FALSE)</f>
        <v>10007</v>
      </c>
      <c r="B314" s="31" t="str">
        <f>VLOOKUP($C314,SKU!$A:$I,2,FALSE)</f>
        <v>kawaii宫崎骏梦幻之国</v>
      </c>
      <c r="C314" s="34" t="s">
        <v>49</v>
      </c>
      <c r="D314" s="29">
        <v>3</v>
      </c>
      <c r="E314" s="31">
        <f>D314*VLOOKUP(A314,Nhập入库!A:N,8,FALSE)</f>
        <v>39</v>
      </c>
      <c r="F314" s="29">
        <v>30</v>
      </c>
      <c r="G314" s="34" t="s">
        <v>432</v>
      </c>
      <c r="H314" s="34" t="s">
        <v>406</v>
      </c>
      <c r="I314" s="34" t="s">
        <v>464</v>
      </c>
      <c r="J314" s="133">
        <v>0.527777777777778</v>
      </c>
    </row>
    <row r="315" spans="1:10">
      <c r="A315" s="31">
        <f>VLOOKUP($C315,SKU!$A:$I,3,FALSE)</f>
        <v>10007</v>
      </c>
      <c r="B315" s="31" t="str">
        <f>VLOOKUP($C315,SKU!$A:$I,2,FALSE)</f>
        <v>kawaii宫崎骏梦幻之国</v>
      </c>
      <c r="C315" s="34" t="s">
        <v>49</v>
      </c>
      <c r="D315" s="29">
        <v>2</v>
      </c>
      <c r="E315" s="31">
        <f>D315*VLOOKUP(A315,Nhập入库!A:N,8,FALSE)</f>
        <v>26</v>
      </c>
      <c r="F315" s="29">
        <v>17</v>
      </c>
      <c r="G315" s="34" t="s">
        <v>432</v>
      </c>
      <c r="H315" s="34" t="s">
        <v>406</v>
      </c>
      <c r="I315" s="34" t="s">
        <v>464</v>
      </c>
      <c r="J315" s="133">
        <v>0.530555555555556</v>
      </c>
    </row>
    <row r="316" spans="1:10">
      <c r="A316" s="31">
        <f>VLOOKUP($C316,SKU!$A:$I,3,FALSE)</f>
        <v>10007</v>
      </c>
      <c r="B316" s="31" t="str">
        <f>VLOOKUP($C316,SKU!$A:$I,2,FALSE)</f>
        <v>kawaii宫崎骏梦幻之国</v>
      </c>
      <c r="C316" s="34" t="s">
        <v>49</v>
      </c>
      <c r="E316" s="31">
        <f>D316*VLOOKUP(A316,Nhập入库!A:N,8,FALSE)</f>
        <v>0</v>
      </c>
      <c r="F316" s="29">
        <v>25</v>
      </c>
      <c r="G316" s="34" t="s">
        <v>432</v>
      </c>
      <c r="H316" s="34" t="s">
        <v>406</v>
      </c>
      <c r="I316" s="34" t="s">
        <v>464</v>
      </c>
      <c r="J316" s="133">
        <v>0.530555555555556</v>
      </c>
    </row>
    <row r="317" spans="1:10">
      <c r="A317" s="31">
        <f>VLOOKUP($C317,SKU!$A:$I,3,FALSE)</f>
        <v>10043</v>
      </c>
      <c r="B317" s="31" t="str">
        <f>VLOOKUP($C317,SKU!$A:$I,2,FALSE)</f>
        <v>光恋XR-披荆斩棘-美少女战士</v>
      </c>
      <c r="C317" s="34" t="s">
        <v>199</v>
      </c>
      <c r="D317" s="29">
        <v>5</v>
      </c>
      <c r="E317" s="31">
        <f>D317*VLOOKUP(A317,Nhập入库!A:N,8,FALSE)</f>
        <v>65</v>
      </c>
      <c r="G317" s="34" t="s">
        <v>422</v>
      </c>
      <c r="H317" s="34" t="s">
        <v>406</v>
      </c>
      <c r="I317" s="34" t="s">
        <v>464</v>
      </c>
      <c r="J317" s="133">
        <v>0.570833333333333</v>
      </c>
    </row>
    <row r="318" spans="1:10">
      <c r="A318" s="31">
        <f>VLOOKUP($C318,SKU!$A:$I,3,FALSE)</f>
        <v>10053</v>
      </c>
      <c r="B318" s="31" t="str">
        <f>VLOOKUP($C318,SKU!$A:$I,2,FALSE)</f>
        <v>悦灵文创 《落花只为君》第三弹</v>
      </c>
      <c r="C318" s="34" t="s">
        <v>228</v>
      </c>
      <c r="D318" s="29">
        <v>6</v>
      </c>
      <c r="E318" s="31">
        <f>D318*VLOOKUP(A318,Nhập入库!A:N,8,FALSE)</f>
        <v>72</v>
      </c>
      <c r="G318" s="34" t="s">
        <v>422</v>
      </c>
      <c r="H318" s="34" t="s">
        <v>406</v>
      </c>
      <c r="I318" s="34" t="s">
        <v>464</v>
      </c>
      <c r="J318" s="133">
        <v>0.531944444444444</v>
      </c>
    </row>
    <row r="319" spans="1:10">
      <c r="A319" s="31">
        <f>VLOOKUP($C319,SKU!$A:$I,3,FALSE)</f>
        <v>10040</v>
      </c>
      <c r="B319" s="31" t="str">
        <f>VLOOKUP($C319,SKU!$A:$I,2,FALSE)</f>
        <v>酷卡文化-线条小狗3弹</v>
      </c>
      <c r="C319" s="34" t="s">
        <v>188</v>
      </c>
      <c r="D319" s="29">
        <v>5</v>
      </c>
      <c r="E319" s="31">
        <f>D319*VLOOKUP(A319,Nhập入库!A:N,8,FALSE)</f>
        <v>55</v>
      </c>
      <c r="G319" s="34" t="s">
        <v>426</v>
      </c>
      <c r="H319" s="34" t="s">
        <v>406</v>
      </c>
      <c r="I319" s="34" t="s">
        <v>464</v>
      </c>
      <c r="J319" s="133">
        <v>0.593055555555556</v>
      </c>
    </row>
    <row r="320" spans="1:10">
      <c r="A320" s="31">
        <f>VLOOKUP($C320,SKU!$A:$I,3,FALSE)</f>
        <v>10011</v>
      </c>
      <c r="B320" s="31" t="str">
        <f>VLOOKUP($C320,SKU!$A:$I,2,FALSE)</f>
        <v>灿卡文创宫崎骏第二弹《花涧物语》</v>
      </c>
      <c r="C320" s="29" t="s">
        <v>71</v>
      </c>
      <c r="D320" s="29">
        <v>1</v>
      </c>
      <c r="E320" s="31">
        <f>D320*VLOOKUP(A320,Nhập入库!A:N,8,FALSE)</f>
        <v>13</v>
      </c>
      <c r="F320" s="29">
        <v>70</v>
      </c>
      <c r="G320" s="29" t="s">
        <v>33</v>
      </c>
      <c r="H320" s="29" t="s">
        <v>424</v>
      </c>
      <c r="I320" s="34" t="s">
        <v>464</v>
      </c>
      <c r="J320" s="133">
        <v>0.402777777777778</v>
      </c>
    </row>
    <row r="321" spans="1:10">
      <c r="A321" s="31">
        <f>VLOOKUP($C321,SKU!$A:$I,3,FALSE)</f>
        <v>10040</v>
      </c>
      <c r="B321" s="31" t="str">
        <f>VLOOKUP($C321,SKU!$A:$I,2,FALSE)</f>
        <v>酷卡文化-线条小狗3弹</v>
      </c>
      <c r="C321" s="29" t="s">
        <v>188</v>
      </c>
      <c r="D321" s="29">
        <v>6</v>
      </c>
      <c r="E321" s="31">
        <f>D321*VLOOKUP(A321,Nhập入库!A:N,8,FALSE)</f>
        <v>66</v>
      </c>
      <c r="G321" s="29" t="s">
        <v>33</v>
      </c>
      <c r="H321" s="29" t="s">
        <v>424</v>
      </c>
      <c r="I321" s="34" t="s">
        <v>464</v>
      </c>
      <c r="J321" s="133">
        <v>0.402777777777778</v>
      </c>
    </row>
    <row r="322" spans="1:10">
      <c r="A322" s="31">
        <f>VLOOKUP($C322,SKU!$A:$I,3,FALSE)</f>
        <v>10048</v>
      </c>
      <c r="B322" s="31" t="str">
        <f>VLOOKUP($C322,SKU!$A:$I,2,FALSE)</f>
        <v>奈良社《极昼漫游》美少女战士撕撕乐+异形小卡</v>
      </c>
      <c r="C322" s="29" t="s">
        <v>212</v>
      </c>
      <c r="E322" s="31">
        <f>D322*VLOOKUP(A322,Nhập入库!A:N,8,FALSE)</f>
        <v>0</v>
      </c>
      <c r="F322" s="29">
        <v>10</v>
      </c>
      <c r="G322" s="29" t="s">
        <v>465</v>
      </c>
      <c r="H322" s="29" t="s">
        <v>424</v>
      </c>
      <c r="I322" s="34" t="s">
        <v>464</v>
      </c>
      <c r="J322" s="133">
        <v>0.416666666666667</v>
      </c>
    </row>
    <row r="323" spans="1:10">
      <c r="A323" s="31">
        <f>VLOOKUP($C323,SKU!$A:$I,3,FALSE)</f>
        <v>10029</v>
      </c>
      <c r="B323" s="31" t="str">
        <f>VLOOKUP($C323,SKU!$A:$I,2,FALSE)</f>
        <v>樱花屋魔卡少女樱</v>
      </c>
      <c r="C323" s="29" t="s">
        <v>143</v>
      </c>
      <c r="D323" s="29">
        <v>2</v>
      </c>
      <c r="E323" s="31">
        <f>D323*VLOOKUP(A323,Nhập入库!A:N,8,FALSE)</f>
        <v>24</v>
      </c>
      <c r="G323" s="29" t="s">
        <v>98</v>
      </c>
      <c r="H323" s="29" t="s">
        <v>424</v>
      </c>
      <c r="I323" s="34" t="s">
        <v>464</v>
      </c>
      <c r="J323" s="133">
        <v>0.416666666666667</v>
      </c>
    </row>
    <row r="324" spans="1:10">
      <c r="A324" s="31">
        <f>VLOOKUP($C324,SKU!$A:$I,3,FALSE)</f>
        <v>10037</v>
      </c>
      <c r="B324" s="31" t="str">
        <f>VLOOKUP($C324,SKU!$A:$I,2,FALSE)</f>
        <v>磁吸邮票《咪咕咪咕&amp;魔卡少女樱》</v>
      </c>
      <c r="C324" s="29" t="s">
        <v>175</v>
      </c>
      <c r="E324" s="31">
        <f>D324*VLOOKUP(A324,Nhập入库!A:N,8,FALSE)</f>
        <v>0</v>
      </c>
      <c r="F324" s="29">
        <v>5</v>
      </c>
      <c r="G324" s="29" t="s">
        <v>98</v>
      </c>
      <c r="H324" s="29" t="s">
        <v>424</v>
      </c>
      <c r="I324" s="34" t="s">
        <v>464</v>
      </c>
      <c r="J324" s="133">
        <v>0.416666666666667</v>
      </c>
    </row>
    <row r="325" spans="1:10">
      <c r="A325" s="31">
        <f>VLOOKUP($C325,SKU!$A:$I,3,FALSE)</f>
        <v>10007</v>
      </c>
      <c r="B325" s="31" t="str">
        <f>VLOOKUP($C325,SKU!$A:$I,2,FALSE)</f>
        <v>kawaii宫崎骏梦幻之国</v>
      </c>
      <c r="C325" s="29" t="s">
        <v>49</v>
      </c>
      <c r="E325" s="31">
        <f>D325*VLOOKUP(A325,Nhập入库!A:N,8,FALSE)</f>
        <v>0</v>
      </c>
      <c r="F325" s="29">
        <v>7</v>
      </c>
      <c r="G325" s="29" t="s">
        <v>425</v>
      </c>
      <c r="H325" s="29" t="s">
        <v>424</v>
      </c>
      <c r="I325" s="34" t="s">
        <v>464</v>
      </c>
      <c r="J325" s="133">
        <v>0.530555555555556</v>
      </c>
    </row>
    <row r="326" spans="1:10">
      <c r="A326" s="31">
        <f>VLOOKUP($C326,SKU!$A:$I,3,FALSE)</f>
        <v>10053</v>
      </c>
      <c r="B326" s="31" t="str">
        <f>VLOOKUP($C326,SKU!$A:$I,2,FALSE)</f>
        <v>悦灵文创 《落花只为君》第三弹</v>
      </c>
      <c r="C326" s="34" t="s">
        <v>228</v>
      </c>
      <c r="E326" s="31">
        <f>D326*VLOOKUP(A326,Nhập入库!A:N,8,FALSE)</f>
        <v>0</v>
      </c>
      <c r="F326" s="29">
        <v>66</v>
      </c>
      <c r="G326" s="34" t="s">
        <v>433</v>
      </c>
      <c r="H326" s="34" t="s">
        <v>431</v>
      </c>
      <c r="I326" s="34" t="s">
        <v>464</v>
      </c>
      <c r="J326" s="133">
        <v>0.841666666666667</v>
      </c>
    </row>
    <row r="327" spans="1:10">
      <c r="A327" s="31">
        <f>VLOOKUP($C327,SKU!$A:$I,3,FALSE)</f>
        <v>10052</v>
      </c>
      <c r="B327" s="31" t="str">
        <f>VLOOKUP($C327,SKU!$A:$I,2,FALSE)</f>
        <v>柯南洞悉包第五弹</v>
      </c>
      <c r="C327" s="34" t="s">
        <v>225</v>
      </c>
      <c r="D327" s="29">
        <v>3</v>
      </c>
      <c r="E327" s="31">
        <f>D327*VLOOKUP(A327,Nhập入库!A:N,8,FALSE)</f>
        <v>54</v>
      </c>
      <c r="G327" s="34" t="s">
        <v>430</v>
      </c>
      <c r="H327" s="34" t="s">
        <v>431</v>
      </c>
      <c r="I327" s="34" t="s">
        <v>464</v>
      </c>
      <c r="J327" s="133">
        <v>0.841666666666667</v>
      </c>
    </row>
    <row r="328" spans="1:10">
      <c r="A328" s="31">
        <f>VLOOKUP($C328,SKU!$A:$I,3,FALSE)</f>
        <v>10035</v>
      </c>
      <c r="B328" s="31" t="str">
        <f>VLOOKUP($C328,SKU!$A:$I,2,FALSE)</f>
        <v>KK CARD × 新海诚系列第一弹</v>
      </c>
      <c r="C328" s="34" t="s">
        <v>167</v>
      </c>
      <c r="D328" s="29">
        <v>5</v>
      </c>
      <c r="E328" s="31">
        <f>D328*VLOOKUP(A328,Nhập入库!A:N,8,FALSE)</f>
        <v>70</v>
      </c>
      <c r="G328" s="34" t="s">
        <v>430</v>
      </c>
      <c r="H328" s="34" t="s">
        <v>431</v>
      </c>
      <c r="I328" s="34" t="s">
        <v>464</v>
      </c>
      <c r="J328" s="133">
        <v>0.892361111111111</v>
      </c>
    </row>
    <row r="329" spans="1:10">
      <c r="A329" s="31">
        <f>VLOOKUP($C329,SKU!$A:$I,3,FALSE)</f>
        <v>10039</v>
      </c>
      <c r="B329" s="31" t="str">
        <f>VLOOKUP($C329,SKU!$A:$I,2,FALSE)</f>
        <v>非凡航海王第五弹</v>
      </c>
      <c r="C329" s="34" t="s">
        <v>184</v>
      </c>
      <c r="E329" s="31">
        <f>D329*VLOOKUP(A329,Nhập入库!A:N,8,FALSE)</f>
        <v>0</v>
      </c>
      <c r="F329" s="29">
        <v>20</v>
      </c>
      <c r="G329" s="34" t="s">
        <v>433</v>
      </c>
      <c r="H329" s="34" t="s">
        <v>431</v>
      </c>
      <c r="I329" s="34" t="s">
        <v>464</v>
      </c>
      <c r="J329" s="133">
        <v>0.963194444444444</v>
      </c>
    </row>
    <row r="330" spans="1:10">
      <c r="A330" s="31">
        <f>VLOOKUP($C330,SKU!$A:$I,3,FALSE)</f>
        <v>10011</v>
      </c>
      <c r="B330" s="31" t="str">
        <f>VLOOKUP($C330,SKU!$A:$I,2,FALSE)</f>
        <v>灿卡文创宫崎骏第二弹《花涧物语》</v>
      </c>
      <c r="C330" s="34" t="s">
        <v>71</v>
      </c>
      <c r="E330" s="31">
        <f>D330*VLOOKUP(A330,Nhập入库!A:N,8,FALSE)</f>
        <v>0</v>
      </c>
      <c r="F330" s="29">
        <v>21</v>
      </c>
      <c r="G330" s="34" t="s">
        <v>430</v>
      </c>
      <c r="H330" s="34" t="s">
        <v>431</v>
      </c>
      <c r="I330" s="34" t="s">
        <v>464</v>
      </c>
      <c r="J330" s="133">
        <v>0.972916666666667</v>
      </c>
    </row>
    <row r="331" spans="1:10">
      <c r="A331" s="31">
        <f>VLOOKUP($C331,SKU!$A:$I,3,FALSE)</f>
        <v>10017</v>
      </c>
      <c r="B331" s="31" t="str">
        <f>VLOOKUP($C331,SKU!$A:$I,2,FALSE)</f>
        <v>梦境-美少女战士第一弹</v>
      </c>
      <c r="C331" s="34" t="s">
        <v>95</v>
      </c>
      <c r="D331" s="29">
        <v>1</v>
      </c>
      <c r="E331" s="31">
        <f>D331*VLOOKUP(A331,Nhập入库!A:N,8,FALSE)</f>
        <v>13</v>
      </c>
      <c r="F331" s="29">
        <v>14</v>
      </c>
      <c r="G331" s="34" t="s">
        <v>426</v>
      </c>
      <c r="H331" s="34" t="s">
        <v>406</v>
      </c>
      <c r="I331" s="34" t="s">
        <v>466</v>
      </c>
      <c r="J331" s="133">
        <v>0.370833333333333</v>
      </c>
    </row>
    <row r="332" spans="1:10">
      <c r="A332" s="31">
        <f>VLOOKUP($C332,SKU!$A:$I,3,FALSE)</f>
        <v>10017</v>
      </c>
      <c r="B332" s="31" t="str">
        <f>VLOOKUP($C332,SKU!$A:$I,2,FALSE)</f>
        <v>梦境-美少女战士第一弹</v>
      </c>
      <c r="C332" s="34" t="s">
        <v>95</v>
      </c>
      <c r="D332" s="130"/>
      <c r="E332" s="31">
        <f>D332*VLOOKUP(A332,Nhập入库!A:N,8,FALSE)</f>
        <v>0</v>
      </c>
      <c r="F332" s="29">
        <v>17</v>
      </c>
      <c r="G332" s="34" t="s">
        <v>422</v>
      </c>
      <c r="H332" s="34" t="s">
        <v>406</v>
      </c>
      <c r="I332" s="34" t="s">
        <v>466</v>
      </c>
      <c r="J332" s="133">
        <v>0.370138888888889</v>
      </c>
    </row>
    <row r="333" spans="1:10">
      <c r="A333" s="31">
        <f>VLOOKUP($C333,SKU!$A:$I,3,FALSE)</f>
        <v>10039</v>
      </c>
      <c r="B333" s="31" t="str">
        <f>VLOOKUP($C333,SKU!$A:$I,2,FALSE)</f>
        <v>非凡航海王第五弹</v>
      </c>
      <c r="C333" s="34" t="s">
        <v>184</v>
      </c>
      <c r="D333" s="130"/>
      <c r="E333" s="31">
        <f>D333*VLOOKUP(A333,Nhập入库!A:N,8,FALSE)</f>
        <v>0</v>
      </c>
      <c r="F333" s="29">
        <v>40</v>
      </c>
      <c r="G333" s="34" t="s">
        <v>110</v>
      </c>
      <c r="H333" s="34" t="s">
        <v>408</v>
      </c>
      <c r="I333" s="34" t="s">
        <v>466</v>
      </c>
      <c r="J333" s="133">
        <v>0.58125</v>
      </c>
    </row>
    <row r="334" spans="1:10">
      <c r="A334" s="31">
        <f>VLOOKUP($C334,SKU!$A:$I,3,FALSE)</f>
        <v>10017</v>
      </c>
      <c r="B334" s="31" t="str">
        <f>VLOOKUP($C334,SKU!$A:$I,2,FALSE)</f>
        <v>梦境-美少女战士第一弹</v>
      </c>
      <c r="C334" s="29" t="s">
        <v>95</v>
      </c>
      <c r="D334" s="29">
        <v>1</v>
      </c>
      <c r="E334" s="31">
        <f>D334*VLOOKUP(A334,Nhập入库!A:N,8,FALSE)</f>
        <v>13</v>
      </c>
      <c r="G334" s="29" t="s">
        <v>98</v>
      </c>
      <c r="H334" s="29" t="s">
        <v>424</v>
      </c>
      <c r="I334" s="34" t="s">
        <v>466</v>
      </c>
      <c r="J334" s="133">
        <v>0.439583333333333</v>
      </c>
    </row>
    <row r="335" spans="1:10">
      <c r="A335" s="31">
        <f>VLOOKUP($C335,SKU!$A:$I,3,FALSE)</f>
        <v>10052</v>
      </c>
      <c r="B335" s="31" t="str">
        <f>VLOOKUP($C335,SKU!$A:$I,2,FALSE)</f>
        <v>柯南洞悉包第五弹</v>
      </c>
      <c r="C335" s="29" t="s">
        <v>225</v>
      </c>
      <c r="E335" s="31">
        <f>D335*VLOOKUP(A335,Nhập入库!A:N,8,FALSE)</f>
        <v>0</v>
      </c>
      <c r="F335" s="29">
        <v>61</v>
      </c>
      <c r="G335" s="29" t="s">
        <v>33</v>
      </c>
      <c r="H335" s="29" t="s">
        <v>424</v>
      </c>
      <c r="I335" s="34" t="s">
        <v>466</v>
      </c>
      <c r="J335" s="133">
        <v>0.448611111111111</v>
      </c>
    </row>
    <row r="336" spans="1:10">
      <c r="A336" s="31">
        <f>VLOOKUP($C336,SKU!$A:$I,3,FALSE)</f>
        <v>10001</v>
      </c>
      <c r="B336" s="31" t="str">
        <f>VLOOKUP($C336,SKU!$A:$I,2,FALSE)</f>
        <v>《东株社》宝可梦水晶砖</v>
      </c>
      <c r="C336" s="29" t="s">
        <v>12</v>
      </c>
      <c r="D336" s="29">
        <v>5</v>
      </c>
      <c r="E336" s="31">
        <f>D336*VLOOKUP(A336,Nhập入库!A:N,8,FALSE)</f>
        <v>5</v>
      </c>
      <c r="G336" s="29" t="s">
        <v>33</v>
      </c>
      <c r="H336" s="29" t="s">
        <v>424</v>
      </c>
      <c r="I336" s="34" t="s">
        <v>466</v>
      </c>
      <c r="J336" s="133">
        <v>0.421527777777778</v>
      </c>
    </row>
    <row r="337" spans="1:10">
      <c r="A337" s="31">
        <f>VLOOKUP($C337,SKU!$A:$I,3,FALSE)</f>
        <v>10039</v>
      </c>
      <c r="B337" s="31" t="str">
        <f>VLOOKUP($C337,SKU!$A:$I,2,FALSE)</f>
        <v>非凡航海王第五弹</v>
      </c>
      <c r="C337" s="29" t="s">
        <v>184</v>
      </c>
      <c r="D337" s="29">
        <v>24</v>
      </c>
      <c r="E337" s="31">
        <f>D337*VLOOKUP(A337,Nhập入库!A:N,8,FALSE)</f>
        <v>480</v>
      </c>
      <c r="G337" s="29" t="s">
        <v>33</v>
      </c>
      <c r="H337" s="29" t="s">
        <v>424</v>
      </c>
      <c r="I337" s="34" t="s">
        <v>466</v>
      </c>
      <c r="J337" s="133">
        <v>0.566666666666667</v>
      </c>
    </row>
    <row r="338" spans="1:10">
      <c r="A338" s="31">
        <f>VLOOKUP($C338,SKU!$A:$I,3,FALSE)</f>
        <v>10039</v>
      </c>
      <c r="B338" s="31" t="str">
        <f>VLOOKUP($C338,SKU!$A:$I,2,FALSE)</f>
        <v>非凡航海王第五弹</v>
      </c>
      <c r="C338" s="29" t="s">
        <v>184</v>
      </c>
      <c r="E338" s="31">
        <f>D338*VLOOKUP(A338,Nhập入库!A:N,8,FALSE)</f>
        <v>0</v>
      </c>
      <c r="F338" s="29">
        <v>71</v>
      </c>
      <c r="G338" s="29" t="s">
        <v>33</v>
      </c>
      <c r="H338" s="29" t="s">
        <v>424</v>
      </c>
      <c r="I338" s="34" t="s">
        <v>466</v>
      </c>
      <c r="J338" s="133">
        <v>0.566666666666667</v>
      </c>
    </row>
    <row r="339" spans="1:10">
      <c r="A339" s="31">
        <f>VLOOKUP($C339,SKU!$A:$I,3,FALSE)</f>
        <v>10030</v>
      </c>
      <c r="B339" s="31" t="str">
        <f>VLOOKUP($C339,SKU!$A:$I,2,FALSE)</f>
        <v>梦影动漫黑执事-典藏版收藏卡牌</v>
      </c>
      <c r="C339" s="34" t="s">
        <v>147</v>
      </c>
      <c r="D339" s="29">
        <v>5</v>
      </c>
      <c r="E339" s="31">
        <f>D339*VLOOKUP(A339,Nhập入库!A:N,8,FALSE)</f>
        <v>60</v>
      </c>
      <c r="G339" s="34" t="s">
        <v>433</v>
      </c>
      <c r="H339" s="34" t="s">
        <v>431</v>
      </c>
      <c r="I339" s="141" t="s">
        <v>466</v>
      </c>
      <c r="J339" s="155">
        <v>0.729166666666667</v>
      </c>
    </row>
    <row r="340" spans="1:10">
      <c r="A340" s="31">
        <f>VLOOKUP($C340,SKU!$A:$I,3,FALSE)</f>
        <v>10040</v>
      </c>
      <c r="B340" s="31" t="str">
        <f>VLOOKUP($C340,SKU!$A:$I,2,FALSE)</f>
        <v>酷卡文化-线条小狗3弹</v>
      </c>
      <c r="C340" s="34" t="s">
        <v>188</v>
      </c>
      <c r="D340" s="29">
        <v>5</v>
      </c>
      <c r="E340" s="31">
        <f>D340*VLOOKUP(A340,Nhập入库!A:N,8,FALSE)</f>
        <v>55</v>
      </c>
      <c r="G340" s="34" t="s">
        <v>429</v>
      </c>
      <c r="H340" s="34" t="s">
        <v>428</v>
      </c>
      <c r="I340" s="141" t="s">
        <v>466</v>
      </c>
      <c r="J340" s="155">
        <v>0.9375</v>
      </c>
    </row>
    <row r="341" spans="1:10">
      <c r="A341" s="31">
        <f>VLOOKUP($C341,SKU!$A:$I,3,FALSE)</f>
        <v>10040</v>
      </c>
      <c r="B341" s="31" t="str">
        <f>VLOOKUP($C341,SKU!$A:$I,2,FALSE)</f>
        <v>酷卡文化-线条小狗3弹</v>
      </c>
      <c r="C341" s="34" t="s">
        <v>188</v>
      </c>
      <c r="D341" s="29">
        <v>10</v>
      </c>
      <c r="E341" s="31">
        <f>D341*VLOOKUP(A341,Nhập入库!A:N,8,FALSE)</f>
        <v>110</v>
      </c>
      <c r="G341" s="34" t="s">
        <v>429</v>
      </c>
      <c r="H341" s="34" t="s">
        <v>428</v>
      </c>
      <c r="I341" s="141" t="s">
        <v>466</v>
      </c>
      <c r="J341" s="155">
        <v>0.967361111111111</v>
      </c>
    </row>
    <row r="342" spans="1:10">
      <c r="A342" s="31">
        <f>VLOOKUP($C342,SKU!$A:$I,3,FALSE)</f>
        <v>10040</v>
      </c>
      <c r="B342" s="31" t="str">
        <f>VLOOKUP($C342,SKU!$A:$I,2,FALSE)</f>
        <v>酷卡文化-线条小狗3弹</v>
      </c>
      <c r="C342" s="34" t="s">
        <v>188</v>
      </c>
      <c r="D342" s="29">
        <v>5</v>
      </c>
      <c r="E342" s="31">
        <f>D342*VLOOKUP(A342,Nhập入库!A:N,8,FALSE)</f>
        <v>55</v>
      </c>
      <c r="G342" s="34" t="s">
        <v>422</v>
      </c>
      <c r="H342" s="34" t="s">
        <v>406</v>
      </c>
      <c r="I342" s="141" t="s">
        <v>467</v>
      </c>
      <c r="J342" s="155">
        <v>0.410416666666667</v>
      </c>
    </row>
    <row r="343" spans="1:10">
      <c r="A343" s="31">
        <f>VLOOKUP($C343,SKU!$A:$I,3,FALSE)</f>
        <v>10030</v>
      </c>
      <c r="B343" s="31" t="str">
        <f>VLOOKUP($C343,SKU!$A:$I,2,FALSE)</f>
        <v>梦影动漫黑执事-典藏版收藏卡牌</v>
      </c>
      <c r="C343" s="34" t="s">
        <v>147</v>
      </c>
      <c r="D343" s="29">
        <v>5</v>
      </c>
      <c r="E343" s="31">
        <f>D343*VLOOKUP(A343,Nhập入库!A:N,8,FALSE)</f>
        <v>60</v>
      </c>
      <c r="G343" s="34" t="s">
        <v>422</v>
      </c>
      <c r="H343" s="34" t="s">
        <v>406</v>
      </c>
      <c r="I343" s="141" t="s">
        <v>467</v>
      </c>
      <c r="J343" s="133">
        <v>0.438194444444444</v>
      </c>
    </row>
    <row r="344" spans="1:10">
      <c r="A344" s="31">
        <f>VLOOKUP($C344,SKU!$A:$I,3,FALSE)</f>
        <v>10005</v>
      </c>
      <c r="B344" s="31" t="str">
        <f>VLOOKUP($C344,SKU!$A:$I,2,FALSE)</f>
        <v>椿柚文创宫崎骏 被风吹散的秘密邮票第一弹</v>
      </c>
      <c r="C344" s="34" t="s">
        <v>36</v>
      </c>
      <c r="D344" s="29">
        <v>22</v>
      </c>
      <c r="E344" s="31">
        <f>D344*VLOOKUP(A344,Nhập入库!A:N,8,FALSE)</f>
        <v>22</v>
      </c>
      <c r="G344" s="34" t="s">
        <v>432</v>
      </c>
      <c r="H344" s="34" t="s">
        <v>406</v>
      </c>
      <c r="I344" s="141" t="s">
        <v>467</v>
      </c>
      <c r="J344" s="133">
        <v>0.475</v>
      </c>
    </row>
    <row r="345" spans="1:10">
      <c r="A345" s="31">
        <f>VLOOKUP($C345,SKU!$A:$I,3,FALSE)</f>
        <v>10042</v>
      </c>
      <c r="B345" s="31" t="str">
        <f>VLOOKUP($C345,SKU!$A:$I,2,FALSE)</f>
        <v>黄油小熊系列收藏卡第二弹 小熊的观察日记</v>
      </c>
      <c r="C345" s="34" t="s">
        <v>196</v>
      </c>
      <c r="D345" s="29">
        <v>5</v>
      </c>
      <c r="E345" s="31">
        <f>D345*VLOOKUP(A345,Nhập入库!A:N,8,FALSE)</f>
        <v>80</v>
      </c>
      <c r="G345" s="34" t="s">
        <v>426</v>
      </c>
      <c r="H345" s="34" t="s">
        <v>406</v>
      </c>
      <c r="I345" s="141" t="s">
        <v>467</v>
      </c>
      <c r="J345" s="133">
        <v>0.478472222222222</v>
      </c>
    </row>
    <row r="346" spans="1:10">
      <c r="A346" s="31">
        <f>VLOOKUP($C346,SKU!$A:$I,3,FALSE)</f>
        <v>10005</v>
      </c>
      <c r="B346" s="31" t="str">
        <f>VLOOKUP($C346,SKU!$A:$I,2,FALSE)</f>
        <v>椿柚文创宫崎骏 被风吹散的秘密邮票第一弹</v>
      </c>
      <c r="C346" s="34" t="s">
        <v>36</v>
      </c>
      <c r="D346" s="29">
        <v>25</v>
      </c>
      <c r="E346" s="31">
        <f>D346*VLOOKUP(A346,Nhập入库!A:N,8,FALSE)</f>
        <v>25</v>
      </c>
      <c r="G346" s="34" t="s">
        <v>432</v>
      </c>
      <c r="H346" s="34" t="s">
        <v>406</v>
      </c>
      <c r="I346" s="141" t="s">
        <v>467</v>
      </c>
      <c r="J346" s="133">
        <v>0.488194444444444</v>
      </c>
    </row>
    <row r="347" spans="1:10">
      <c r="A347" s="31">
        <f>VLOOKUP($C347,SKU!$A:$I,3,FALSE)</f>
        <v>10051</v>
      </c>
      <c r="B347" s="31" t="str">
        <f>VLOOKUP($C347,SKU!$A:$I,2,FALSE)</f>
        <v>南卡《魔卡少女樱》</v>
      </c>
      <c r="C347" s="34" t="s">
        <v>222</v>
      </c>
      <c r="D347" s="29">
        <v>5</v>
      </c>
      <c r="E347" s="31">
        <f>D347*VLOOKUP(A347,Nhập入库!A:N,8,FALSE)</f>
        <v>60</v>
      </c>
      <c r="G347" s="34" t="s">
        <v>102</v>
      </c>
      <c r="H347" s="34" t="s">
        <v>423</v>
      </c>
      <c r="I347" s="141" t="s">
        <v>467</v>
      </c>
      <c r="J347" s="133">
        <v>0.5</v>
      </c>
    </row>
    <row r="348" spans="1:10">
      <c r="A348" s="31">
        <f>VLOOKUP($C348,SKU!$A:$I,3,FALSE)</f>
        <v>10018</v>
      </c>
      <c r="B348" s="31" t="str">
        <f>VLOOKUP($C348,SKU!$A:$I,2,FALSE)</f>
        <v>圣月美少女战士星尘协奏曲长卡</v>
      </c>
      <c r="C348" s="34" t="s">
        <v>99</v>
      </c>
      <c r="D348" s="29">
        <v>5</v>
      </c>
      <c r="E348" s="31">
        <f>D348*VLOOKUP(A348,Nhập入库!A:N,8,FALSE)</f>
        <v>65</v>
      </c>
      <c r="G348" s="34" t="s">
        <v>102</v>
      </c>
      <c r="H348" s="34" t="s">
        <v>423</v>
      </c>
      <c r="I348" s="141" t="s">
        <v>467</v>
      </c>
      <c r="J348" s="133">
        <v>0.5</v>
      </c>
    </row>
    <row r="349" spans="1:10">
      <c r="A349" s="31">
        <f>VLOOKUP($C349,SKU!$A:$I,3,FALSE)</f>
        <v>10026</v>
      </c>
      <c r="B349" s="31" t="str">
        <f>VLOOKUP($C349,SKU!$A:$I,2,FALSE)</f>
        <v>星恋文创·恋与深空《晦明交错之间》亚克力相框卡</v>
      </c>
      <c r="C349" s="34" t="s">
        <v>131</v>
      </c>
      <c r="D349" s="29">
        <v>20</v>
      </c>
      <c r="E349" s="31">
        <f>D349*VLOOKUP(A349,Nhập入库!A:N,8,FALSE)</f>
        <v>20</v>
      </c>
      <c r="G349" s="34" t="s">
        <v>102</v>
      </c>
      <c r="H349" s="34" t="s">
        <v>423</v>
      </c>
      <c r="I349" s="141" t="s">
        <v>467</v>
      </c>
      <c r="J349" s="133">
        <v>0.5</v>
      </c>
    </row>
    <row r="350" spans="1:10">
      <c r="A350" s="31">
        <f>VLOOKUP($C350,SKU!$A:$I,3,FALSE)</f>
        <v>10032</v>
      </c>
      <c r="B350" s="31" t="str">
        <f>VLOOKUP($C350,SKU!$A:$I,2,FALSE)</f>
        <v>绘心阁《魔道祖师—殊途同归》色纸卡牌</v>
      </c>
      <c r="C350" s="34" t="s">
        <v>155</v>
      </c>
      <c r="D350" s="29">
        <v>10</v>
      </c>
      <c r="E350" s="31">
        <f>D350*VLOOKUP(A350,Nhập入库!A:N,8,FALSE)</f>
        <v>10</v>
      </c>
      <c r="G350" s="34" t="s">
        <v>102</v>
      </c>
      <c r="H350" s="34" t="s">
        <v>423</v>
      </c>
      <c r="I350" s="141" t="s">
        <v>467</v>
      </c>
      <c r="J350" s="133">
        <v>0.5</v>
      </c>
    </row>
    <row r="351" spans="1:10">
      <c r="A351" s="31">
        <f>VLOOKUP($C351,SKU!$A:$I,3,FALSE)</f>
        <v>10048</v>
      </c>
      <c r="B351" s="31" t="str">
        <f>VLOOKUP($C351,SKU!$A:$I,2,FALSE)</f>
        <v>奈良社《极昼漫游》美少女战士撕撕乐+异形小卡</v>
      </c>
      <c r="C351" s="34" t="s">
        <v>212</v>
      </c>
      <c r="D351" s="29">
        <v>10</v>
      </c>
      <c r="E351" s="31">
        <f>D351*VLOOKUP(A351,Nhập入库!A:N,8,FALSE)</f>
        <v>10</v>
      </c>
      <c r="G351" s="34" t="s">
        <v>102</v>
      </c>
      <c r="H351" s="34" t="s">
        <v>423</v>
      </c>
      <c r="I351" s="141" t="s">
        <v>467</v>
      </c>
      <c r="J351" s="133">
        <v>0.5</v>
      </c>
    </row>
    <row r="352" spans="1:10">
      <c r="A352" s="31">
        <f>VLOOKUP($C352,SKU!$A:$I,3,FALSE)</f>
        <v>10024</v>
      </c>
      <c r="B352" s="31" t="str">
        <f>VLOOKUP($C352,SKU!$A:$I,2,FALSE)</f>
        <v>漫影工作室-柯南-A5 大卡第一弹</v>
      </c>
      <c r="C352" s="34" t="s">
        <v>123</v>
      </c>
      <c r="D352" s="29">
        <v>30</v>
      </c>
      <c r="E352" s="31">
        <f>D352*VLOOKUP(A352,Nhập入库!A:N,8,FALSE)</f>
        <v>30</v>
      </c>
      <c r="G352" s="34" t="s">
        <v>426</v>
      </c>
      <c r="H352" s="34" t="s">
        <v>406</v>
      </c>
      <c r="I352" s="141" t="s">
        <v>467</v>
      </c>
      <c r="J352" s="133">
        <v>0.523611111111111</v>
      </c>
    </row>
    <row r="353" spans="1:10">
      <c r="A353" s="31">
        <f>VLOOKUP($C353,SKU!$A:$I,3,FALSE)</f>
        <v>10039</v>
      </c>
      <c r="B353" s="31" t="str">
        <f>VLOOKUP($C353,SKU!$A:$I,2,FALSE)</f>
        <v>非凡航海王第五弹</v>
      </c>
      <c r="C353" s="29" t="s">
        <v>184</v>
      </c>
      <c r="D353" s="29">
        <v>3</v>
      </c>
      <c r="E353" s="31">
        <f>D353*VLOOKUP(A353,Nhập入库!A:N,8,FALSE)</f>
        <v>60</v>
      </c>
      <c r="G353" s="29" t="s">
        <v>102</v>
      </c>
      <c r="H353" s="29" t="s">
        <v>424</v>
      </c>
      <c r="I353" s="141" t="s">
        <v>467</v>
      </c>
      <c r="J353" s="133">
        <v>0.5375</v>
      </c>
    </row>
    <row r="354" spans="1:10">
      <c r="A354" s="31">
        <f>VLOOKUP($C354,SKU!$A:$I,3,FALSE)</f>
        <v>10005</v>
      </c>
      <c r="B354" s="31" t="str">
        <f>VLOOKUP($C354,SKU!$A:$I,2,FALSE)</f>
        <v>椿柚文创宫崎骏 被风吹散的秘密邮票第一弹</v>
      </c>
      <c r="C354" s="34" t="s">
        <v>36</v>
      </c>
      <c r="D354" s="29">
        <v>33</v>
      </c>
      <c r="E354" s="31">
        <f>D354*VLOOKUP(A354,Nhập入库!A:N,8,FALSE)</f>
        <v>33</v>
      </c>
      <c r="G354" s="34" t="s">
        <v>432</v>
      </c>
      <c r="H354" s="34" t="s">
        <v>406</v>
      </c>
      <c r="I354" s="141" t="s">
        <v>467</v>
      </c>
      <c r="J354" s="133">
        <v>0.504166666666667</v>
      </c>
    </row>
    <row r="355" spans="1:10">
      <c r="A355" s="31">
        <f>VLOOKUP($C355,SKU!$A:$I,3,FALSE)</f>
        <v>10032</v>
      </c>
      <c r="B355" s="31" t="str">
        <f>VLOOKUP($C355,SKU!$A:$I,2,FALSE)</f>
        <v>绘心阁《魔道祖师—殊途同归》色纸卡牌</v>
      </c>
      <c r="C355" s="29" t="s">
        <v>155</v>
      </c>
      <c r="D355" s="29">
        <v>10</v>
      </c>
      <c r="E355" s="31">
        <f>D355*VLOOKUP(A355,Nhập入库!A:N,8,FALSE)</f>
        <v>10</v>
      </c>
      <c r="G355" s="29" t="s">
        <v>468</v>
      </c>
      <c r="H355" s="29" t="s">
        <v>424</v>
      </c>
      <c r="I355" s="141" t="s">
        <v>467</v>
      </c>
      <c r="J355" s="133">
        <v>0.583333333333333</v>
      </c>
    </row>
    <row r="356" spans="1:10">
      <c r="A356" s="31">
        <f>VLOOKUP($C356,SKU!$A:$I,3,FALSE)</f>
        <v>10051</v>
      </c>
      <c r="B356" s="31" t="str">
        <f>VLOOKUP($C356,SKU!$A:$I,2,FALSE)</f>
        <v>南卡《魔卡少女樱》</v>
      </c>
      <c r="C356" s="29" t="s">
        <v>222</v>
      </c>
      <c r="D356" s="29">
        <v>5</v>
      </c>
      <c r="E356" s="31">
        <f>D356*VLOOKUP(A356,Nhập入库!A:N,8,FALSE)</f>
        <v>60</v>
      </c>
      <c r="G356" s="29" t="s">
        <v>468</v>
      </c>
      <c r="H356" s="29" t="s">
        <v>424</v>
      </c>
      <c r="I356" s="141" t="s">
        <v>467</v>
      </c>
      <c r="J356" s="133">
        <v>0.583333333333333</v>
      </c>
    </row>
    <row r="357" spans="1:10">
      <c r="A357" s="31">
        <f>VLOOKUP($C357,SKU!$A:$I,3,FALSE)</f>
        <v>10040</v>
      </c>
      <c r="B357" s="31" t="str">
        <f>VLOOKUP($C357,SKU!$A:$I,2,FALSE)</f>
        <v>酷卡文化-线条小狗3弹</v>
      </c>
      <c r="C357" s="29" t="s">
        <v>188</v>
      </c>
      <c r="D357" s="29">
        <v>5</v>
      </c>
      <c r="E357" s="31">
        <f>D357*VLOOKUP(A357,Nhập入库!A:N,8,FALSE)</f>
        <v>55</v>
      </c>
      <c r="G357" s="29" t="s">
        <v>33</v>
      </c>
      <c r="H357" s="29" t="s">
        <v>424</v>
      </c>
      <c r="I357" s="141" t="s">
        <v>467</v>
      </c>
      <c r="J357" s="133">
        <v>0.416666666666667</v>
      </c>
    </row>
    <row r="358" spans="1:10">
      <c r="A358" s="31">
        <f>VLOOKUP($C358,SKU!$A:$I,3,FALSE)</f>
        <v>10051</v>
      </c>
      <c r="B358" s="31" t="str">
        <f>VLOOKUP($C358,SKU!$A:$I,2,FALSE)</f>
        <v>南卡《魔卡少女樱》</v>
      </c>
      <c r="C358" s="34" t="s">
        <v>222</v>
      </c>
      <c r="D358" s="29">
        <v>5</v>
      </c>
      <c r="E358" s="31">
        <f>D358*VLOOKUP(A358,Nhập入库!A:N,8,FALSE)</f>
        <v>60</v>
      </c>
      <c r="G358" s="34" t="s">
        <v>433</v>
      </c>
      <c r="H358" s="34" t="s">
        <v>431</v>
      </c>
      <c r="I358" s="141" t="s">
        <v>467</v>
      </c>
      <c r="J358" s="133">
        <v>0.75</v>
      </c>
    </row>
    <row r="359" spans="1:10">
      <c r="A359" s="31">
        <f>VLOOKUP($C359,SKU!$A:$I,3,FALSE)</f>
        <v>10051</v>
      </c>
      <c r="B359" s="31" t="str">
        <f>VLOOKUP($C359,SKU!$A:$I,2,FALSE)</f>
        <v>南卡《魔卡少女樱》</v>
      </c>
      <c r="C359" s="34" t="s">
        <v>222</v>
      </c>
      <c r="D359" s="29">
        <v>5</v>
      </c>
      <c r="E359" s="31">
        <f>D359*VLOOKUP(A359,Nhập入库!A:N,8,FALSE)</f>
        <v>60</v>
      </c>
      <c r="G359" s="34" t="s">
        <v>430</v>
      </c>
      <c r="H359" s="34" t="s">
        <v>431</v>
      </c>
      <c r="I359" s="141" t="s">
        <v>467</v>
      </c>
      <c r="J359" s="133">
        <v>0.75</v>
      </c>
    </row>
    <row r="360" spans="1:10">
      <c r="A360" s="31">
        <f>VLOOKUP($C360,SKU!$A:$I,3,FALSE)</f>
        <v>10040</v>
      </c>
      <c r="B360" s="31" t="str">
        <f>VLOOKUP($C360,SKU!$A:$I,2,FALSE)</f>
        <v>酷卡文化-线条小狗3弹</v>
      </c>
      <c r="C360" s="29" t="s">
        <v>188</v>
      </c>
      <c r="D360" s="29">
        <v>5</v>
      </c>
      <c r="E360" s="31">
        <f>D360*VLOOKUP(A360,Nhập入库!A:N,8,FALSE)</f>
        <v>55</v>
      </c>
      <c r="G360" s="29" t="s">
        <v>433</v>
      </c>
      <c r="H360" s="29" t="s">
        <v>431</v>
      </c>
      <c r="I360" s="141" t="s">
        <v>467</v>
      </c>
      <c r="J360" s="133">
        <v>0.833333333333333</v>
      </c>
    </row>
    <row r="361" spans="1:10">
      <c r="A361" s="31">
        <f>VLOOKUP($C361,SKU!$A:$I,3,FALSE)</f>
        <v>10040</v>
      </c>
      <c r="B361" s="31" t="str">
        <f>VLOOKUP($C361,SKU!$A:$I,2,FALSE)</f>
        <v>酷卡文化-线条小狗3弹</v>
      </c>
      <c r="C361" s="29" t="s">
        <v>188</v>
      </c>
      <c r="D361" s="29">
        <v>5</v>
      </c>
      <c r="E361" s="31">
        <f>D361*VLOOKUP(A361,Nhập入库!A:N,8,FALSE)</f>
        <v>55</v>
      </c>
      <c r="G361" s="29" t="s">
        <v>430</v>
      </c>
      <c r="H361" s="29" t="s">
        <v>431</v>
      </c>
      <c r="I361" s="141" t="s">
        <v>467</v>
      </c>
      <c r="J361" s="133">
        <v>0.833333333333333</v>
      </c>
    </row>
    <row r="362" spans="1:10">
      <c r="A362" s="31">
        <f>VLOOKUP($C362,SKU!$A:$I,3,FALSE)</f>
        <v>10040</v>
      </c>
      <c r="B362" s="31" t="str">
        <f>VLOOKUP($C362,SKU!$A:$I,2,FALSE)</f>
        <v>酷卡文化-线条小狗3弹</v>
      </c>
      <c r="C362" s="29" t="s">
        <v>188</v>
      </c>
      <c r="E362" s="31">
        <f>D362*VLOOKUP(A362,Nhập入库!A:N,8,FALSE)</f>
        <v>0</v>
      </c>
      <c r="F362" s="29">
        <v>2</v>
      </c>
      <c r="G362" s="29" t="s">
        <v>433</v>
      </c>
      <c r="H362" s="29" t="s">
        <v>431</v>
      </c>
      <c r="I362" s="141" t="s">
        <v>467</v>
      </c>
      <c r="J362" s="133">
        <v>0.833333333333333</v>
      </c>
    </row>
    <row r="363" spans="1:10">
      <c r="A363" s="31">
        <f>VLOOKUP($C363,SKU!$A:$I,3,FALSE)</f>
        <v>10040</v>
      </c>
      <c r="B363" s="31" t="str">
        <f>VLOOKUP($C363,SKU!$A:$I,2,FALSE)</f>
        <v>酷卡文化-线条小狗3弹</v>
      </c>
      <c r="C363" s="29" t="s">
        <v>188</v>
      </c>
      <c r="D363" s="29">
        <v>5</v>
      </c>
      <c r="E363" s="31">
        <f>D363*VLOOKUP(A363,Nhập入库!A:N,8,FALSE)</f>
        <v>55</v>
      </c>
      <c r="G363" s="29" t="s">
        <v>433</v>
      </c>
      <c r="H363" s="29" t="s">
        <v>431</v>
      </c>
      <c r="I363" s="141" t="s">
        <v>467</v>
      </c>
      <c r="J363" s="133">
        <v>0.833333333333333</v>
      </c>
    </row>
    <row r="364" spans="1:10">
      <c r="A364" s="31">
        <f>VLOOKUP($C364,SKU!$A:$I,3,FALSE)</f>
        <v>10011</v>
      </c>
      <c r="B364" s="31" t="str">
        <f>VLOOKUP($C364,SKU!$A:$I,2,FALSE)</f>
        <v>灿卡文创宫崎骏第二弹《花涧物语》</v>
      </c>
      <c r="C364" s="29" t="s">
        <v>71</v>
      </c>
      <c r="E364" s="31">
        <f>D364*VLOOKUP(A364,Nhập入库!A:N,8,FALSE)</f>
        <v>0</v>
      </c>
      <c r="F364" s="29">
        <v>12</v>
      </c>
      <c r="G364" s="29" t="s">
        <v>90</v>
      </c>
      <c r="H364" s="29" t="s">
        <v>428</v>
      </c>
      <c r="I364" s="141" t="s">
        <v>469</v>
      </c>
      <c r="J364" s="133">
        <v>0.0895833333333333</v>
      </c>
    </row>
    <row r="365" spans="1:10">
      <c r="A365" s="31">
        <f>VLOOKUP($C365,SKU!$A:$I,3,FALSE)</f>
        <v>10011</v>
      </c>
      <c r="B365" s="31" t="str">
        <f>VLOOKUP($C365,SKU!$A:$I,2,FALSE)</f>
        <v>灿卡文创宫崎骏第二弹《花涧物语》</v>
      </c>
      <c r="C365" s="29" t="s">
        <v>71</v>
      </c>
      <c r="E365" s="31">
        <f>D365*VLOOKUP(A365,Nhập入库!A:N,8,FALSE)</f>
        <v>0</v>
      </c>
      <c r="F365" s="29">
        <v>20</v>
      </c>
      <c r="G365" s="29" t="s">
        <v>86</v>
      </c>
      <c r="H365" s="29" t="s">
        <v>428</v>
      </c>
      <c r="I365" s="141" t="s">
        <v>469</v>
      </c>
      <c r="J365" s="133">
        <v>0.0895833333333333</v>
      </c>
    </row>
    <row r="366" spans="1:10">
      <c r="A366" s="31">
        <f>VLOOKUP($C366,SKU!$A:$I,3,FALSE)</f>
        <v>10039</v>
      </c>
      <c r="B366" s="31" t="str">
        <f>VLOOKUP($C366,SKU!$A:$I,2,FALSE)</f>
        <v>非凡航海王第五弹</v>
      </c>
      <c r="C366" s="29" t="s">
        <v>184</v>
      </c>
      <c r="D366" s="29">
        <v>2</v>
      </c>
      <c r="E366" s="31">
        <f>D366*VLOOKUP(A366,Nhập入库!A:N,8,FALSE)</f>
        <v>40</v>
      </c>
      <c r="G366" s="29" t="s">
        <v>78</v>
      </c>
      <c r="H366" s="29" t="s">
        <v>423</v>
      </c>
      <c r="I366" s="141" t="s">
        <v>469</v>
      </c>
      <c r="J366" s="133">
        <v>0.410416666666667</v>
      </c>
    </row>
    <row r="367" spans="1:10">
      <c r="A367" s="31">
        <f>VLOOKUP($C367,SKU!$A:$I,3,FALSE)</f>
        <v>10051</v>
      </c>
      <c r="B367" s="31" t="str">
        <f>VLOOKUP($C367,SKU!$A:$I,2,FALSE)</f>
        <v>南卡《魔卡少女樱》</v>
      </c>
      <c r="C367" s="29" t="s">
        <v>222</v>
      </c>
      <c r="D367" s="29">
        <v>5</v>
      </c>
      <c r="E367" s="31">
        <f>D367*VLOOKUP(A367,Nhập入库!A:N,8,FALSE)</f>
        <v>60</v>
      </c>
      <c r="G367" s="29" t="s">
        <v>78</v>
      </c>
      <c r="H367" s="29" t="s">
        <v>423</v>
      </c>
      <c r="I367" s="141" t="s">
        <v>469</v>
      </c>
      <c r="J367" s="133">
        <v>0.410416666666667</v>
      </c>
    </row>
    <row r="368" spans="1:10">
      <c r="A368" s="31">
        <f>VLOOKUP($C368,SKU!$A:$I,3,FALSE)</f>
        <v>10018</v>
      </c>
      <c r="B368" s="31" t="str">
        <f>VLOOKUP($C368,SKU!$A:$I,2,FALSE)</f>
        <v>圣月美少女战士星尘协奏曲长卡</v>
      </c>
      <c r="C368" s="29" t="s">
        <v>99</v>
      </c>
      <c r="D368" s="29">
        <v>5</v>
      </c>
      <c r="E368" s="31">
        <f>D368*VLOOKUP(A368,Nhập入库!A:N,8,FALSE)</f>
        <v>65</v>
      </c>
      <c r="G368" s="29" t="s">
        <v>78</v>
      </c>
      <c r="H368" s="29" t="s">
        <v>423</v>
      </c>
      <c r="I368" s="141" t="s">
        <v>469</v>
      </c>
      <c r="J368" s="133">
        <v>0.410416666666667</v>
      </c>
    </row>
    <row r="369" spans="1:11">
      <c r="A369" s="31">
        <f>VLOOKUP($C369,SKU!$A:$I,3,FALSE)</f>
        <v>10040</v>
      </c>
      <c r="B369" s="31" t="str">
        <f>VLOOKUP($C369,SKU!$A:$I,2,FALSE)</f>
        <v>酷卡文化-线条小狗3弹</v>
      </c>
      <c r="C369" s="29" t="s">
        <v>188</v>
      </c>
      <c r="D369" s="29">
        <v>4</v>
      </c>
      <c r="E369" s="31">
        <f>D369*VLOOKUP(A369,Nhập入库!A:N,8,FALSE)</f>
        <v>44</v>
      </c>
      <c r="G369" s="29" t="s">
        <v>422</v>
      </c>
      <c r="H369" s="29" t="s">
        <v>408</v>
      </c>
      <c r="I369" s="141" t="s">
        <v>469</v>
      </c>
      <c r="J369" s="133">
        <v>0.404166666666667</v>
      </c>
    </row>
    <row r="370" spans="1:11">
      <c r="A370" s="31">
        <f>VLOOKUP($C370,SKU!$A:$I,3,FALSE)</f>
        <v>10048</v>
      </c>
      <c r="B370" s="31" t="str">
        <f>VLOOKUP($C370,SKU!$A:$I,2,FALSE)</f>
        <v>奈良社《极昼漫游》美少女战士撕撕乐+异形小卡</v>
      </c>
      <c r="C370" s="29" t="s">
        <v>212</v>
      </c>
      <c r="D370" s="29">
        <v>10</v>
      </c>
      <c r="E370" s="31">
        <f>D370*VLOOKUP(A370,Nhập入库!A:N,8,FALSE)</f>
        <v>10</v>
      </c>
      <c r="G370" s="29" t="s">
        <v>78</v>
      </c>
      <c r="H370" s="29" t="s">
        <v>423</v>
      </c>
      <c r="I370" s="141" t="s">
        <v>469</v>
      </c>
      <c r="J370" s="133">
        <v>0.410416666666667</v>
      </c>
    </row>
    <row r="371" spans="1:11">
      <c r="A371" s="31">
        <f>VLOOKUP($C371,SKU!$A:$I,3,FALSE)</f>
        <v>10032</v>
      </c>
      <c r="B371" s="31" t="str">
        <f>VLOOKUP($C371,SKU!$A:$I,2,FALSE)</f>
        <v>绘心阁《魔道祖师—殊途同归》色纸卡牌</v>
      </c>
      <c r="C371" s="29" t="s">
        <v>155</v>
      </c>
      <c r="D371" s="29">
        <v>10</v>
      </c>
      <c r="E371" s="31">
        <f>D371*VLOOKUP(A371,Nhập入库!A:N,8,FALSE)</f>
        <v>10</v>
      </c>
      <c r="G371" s="29" t="s">
        <v>78</v>
      </c>
      <c r="H371" s="29" t="s">
        <v>423</v>
      </c>
      <c r="I371" s="141" t="s">
        <v>469</v>
      </c>
      <c r="J371" s="133">
        <v>0.410416666666667</v>
      </c>
    </row>
    <row r="372" spans="1:11">
      <c r="A372" s="31">
        <f>VLOOKUP($C372,SKU!$A:$I,3,FALSE)</f>
        <v>10026</v>
      </c>
      <c r="B372" s="31" t="str">
        <f>VLOOKUP($C372,SKU!$A:$I,2,FALSE)</f>
        <v>星恋文创·恋与深空《晦明交错之间》亚克力相框卡</v>
      </c>
      <c r="C372" s="29" t="s">
        <v>131</v>
      </c>
      <c r="D372" s="29">
        <v>20</v>
      </c>
      <c r="E372" s="31">
        <f>D372*VLOOKUP(A372,Nhập入库!A:N,8,FALSE)</f>
        <v>20</v>
      </c>
      <c r="G372" s="29" t="s">
        <v>78</v>
      </c>
      <c r="H372" s="29" t="s">
        <v>423</v>
      </c>
      <c r="I372" s="141" t="s">
        <v>469</v>
      </c>
      <c r="J372" s="133">
        <v>0.410416666666667</v>
      </c>
    </row>
    <row r="373" spans="1:11">
      <c r="A373" s="31">
        <f>VLOOKUP($C373,SKU!$A:$I,3,FALSE)</f>
        <v>10040</v>
      </c>
      <c r="B373" s="31" t="str">
        <f>VLOOKUP($C373,SKU!$A:$I,2,FALSE)</f>
        <v>酷卡文化-线条小狗3弹</v>
      </c>
      <c r="C373" s="29" t="s">
        <v>188</v>
      </c>
      <c r="D373" s="29">
        <v>5</v>
      </c>
      <c r="E373" s="31">
        <f>D373*VLOOKUP(A373,Nhập入库!A:N,8,FALSE)</f>
        <v>55</v>
      </c>
      <c r="G373" s="29" t="s">
        <v>422</v>
      </c>
      <c r="H373" s="29" t="s">
        <v>423</v>
      </c>
      <c r="I373" s="141" t="s">
        <v>469</v>
      </c>
      <c r="J373" s="133">
        <v>0.459722222222222</v>
      </c>
    </row>
    <row r="374" spans="1:11">
      <c r="A374" s="31">
        <f>VLOOKUP($C374,SKU!$A:$I,3,FALSE)</f>
        <v>10026</v>
      </c>
      <c r="B374" s="31" t="str">
        <f>VLOOKUP($C374,SKU!$A:$I,2,FALSE)</f>
        <v>星恋文创·恋与深空《晦明交错之间》亚克力相框卡</v>
      </c>
      <c r="C374" s="29" t="s">
        <v>131</v>
      </c>
      <c r="D374" s="29">
        <v>20</v>
      </c>
      <c r="E374" s="31">
        <f>D374*VLOOKUP(A374,Nhập入库!A:N,8,FALSE)</f>
        <v>20</v>
      </c>
      <c r="G374" s="29" t="s">
        <v>468</v>
      </c>
      <c r="H374" s="29" t="s">
        <v>423</v>
      </c>
      <c r="I374" s="141" t="s">
        <v>469</v>
      </c>
      <c r="J374" s="133">
        <v>0.482638888888889</v>
      </c>
    </row>
    <row r="375" spans="1:11">
      <c r="A375" s="31">
        <f>VLOOKUP($C375,SKU!$A:$I,3,FALSE)</f>
        <v>10040</v>
      </c>
      <c r="B375" s="31" t="str">
        <f>VLOOKUP($C375,SKU!$A:$I,2,FALSE)</f>
        <v>酷卡文化-线条小狗3弹</v>
      </c>
      <c r="C375" s="29" t="s">
        <v>188</v>
      </c>
      <c r="D375" s="29">
        <v>27</v>
      </c>
      <c r="E375" s="31"/>
      <c r="G375" s="29" t="s">
        <v>422</v>
      </c>
      <c r="H375" s="29" t="s">
        <v>423</v>
      </c>
      <c r="I375" s="141" t="s">
        <v>469</v>
      </c>
      <c r="J375" s="133">
        <v>0.5</v>
      </c>
    </row>
    <row r="376" spans="1:11">
      <c r="A376" s="31">
        <f>VLOOKUP($C376,SKU!$A:$I,3,FALSE)</f>
        <v>10046</v>
      </c>
      <c r="B376" s="31" t="str">
        <f>VLOOKUP($C376,SKU!$A:$I,2,FALSE)</f>
        <v>夜灯</v>
      </c>
      <c r="C376" s="29" t="s">
        <v>207</v>
      </c>
      <c r="D376" s="29">
        <v>3</v>
      </c>
      <c r="E376" s="31">
        <f>D376*VLOOKUP(A376,Nhập入库!A:N,8,FALSE)</f>
        <v>3</v>
      </c>
      <c r="G376" s="29" t="s">
        <v>78</v>
      </c>
      <c r="H376" s="29" t="s">
        <v>423</v>
      </c>
      <c r="I376" s="141" t="s">
        <v>469</v>
      </c>
      <c r="J376" s="133">
        <v>0.410416666666667</v>
      </c>
    </row>
    <row r="377" spans="1:11">
      <c r="A377" s="31">
        <f>VLOOKUP($C377,SKU!$A:$I,3,FALSE)</f>
        <v>10039</v>
      </c>
      <c r="B377" s="31" t="str">
        <f>VLOOKUP($C377,SKU!$A:$I,2,FALSE)</f>
        <v>非凡航海王第五弹</v>
      </c>
      <c r="C377" s="29" t="s">
        <v>184</v>
      </c>
      <c r="D377" s="29">
        <v>3</v>
      </c>
      <c r="E377" s="31">
        <f>D377*VLOOKUP(A377,Nhập入库!A:N,8,FALSE)</f>
        <v>60</v>
      </c>
      <c r="G377" s="29" t="s">
        <v>78</v>
      </c>
      <c r="H377" s="29" t="s">
        <v>423</v>
      </c>
      <c r="I377" s="141" t="s">
        <v>469</v>
      </c>
      <c r="J377" s="133">
        <v>0.605555555555556</v>
      </c>
    </row>
    <row r="378" spans="1:11">
      <c r="A378" s="31">
        <f>VLOOKUP($C378,SKU!$A:$I,3,FALSE)</f>
        <v>10040</v>
      </c>
      <c r="B378" s="31" t="str">
        <f>VLOOKUP($C378,SKU!$A:$I,2,FALSE)</f>
        <v>酷卡文化-线条小狗3弹</v>
      </c>
      <c r="C378" s="29" t="s">
        <v>188</v>
      </c>
      <c r="E378" s="31">
        <f>D378*VLOOKUP(A378,Nhập入库!A:N,8,FALSE)</f>
        <v>0</v>
      </c>
      <c r="F378" s="29">
        <v>35</v>
      </c>
      <c r="G378" s="29" t="s">
        <v>33</v>
      </c>
      <c r="H378" s="29" t="s">
        <v>424</v>
      </c>
      <c r="I378" s="141" t="s">
        <v>469</v>
      </c>
      <c r="J378" s="133">
        <v>0.375</v>
      </c>
    </row>
    <row r="379" spans="1:11">
      <c r="A379" s="31">
        <f>VLOOKUP($C379,SKU!$A:$I,3,FALSE)</f>
        <v>10040</v>
      </c>
      <c r="B379" s="31" t="str">
        <f>VLOOKUP($C379,SKU!$A:$I,2,FALSE)</f>
        <v>酷卡文化-线条小狗3弹</v>
      </c>
      <c r="C379" s="29" t="s">
        <v>188</v>
      </c>
      <c r="D379" s="29">
        <v>4</v>
      </c>
      <c r="E379" s="31">
        <f>D379*VLOOKUP(A379,Nhập入库!A:N,8,FALSE)</f>
        <v>44</v>
      </c>
      <c r="G379" s="29" t="s">
        <v>33</v>
      </c>
      <c r="H379" s="29" t="s">
        <v>424</v>
      </c>
      <c r="I379" s="141" t="s">
        <v>469</v>
      </c>
      <c r="J379" s="133">
        <v>0.579861111111111</v>
      </c>
    </row>
    <row r="380" spans="1:11">
      <c r="A380" s="31">
        <f>VLOOKUP($C380,SKU!$A:$I,3,FALSE)</f>
        <v>10040</v>
      </c>
      <c r="B380" s="31" t="str">
        <f>VLOOKUP($C380,SKU!$A:$I,2,FALSE)</f>
        <v>酷卡文化-线条小狗3弹</v>
      </c>
      <c r="C380" s="29" t="s">
        <v>188</v>
      </c>
      <c r="E380" s="31">
        <f>D380*VLOOKUP(A380,Nhập入库!A:N,8,FALSE)</f>
        <v>0</v>
      </c>
      <c r="F380" s="29">
        <v>30</v>
      </c>
      <c r="G380" s="29" t="s">
        <v>33</v>
      </c>
      <c r="H380" s="29" t="s">
        <v>424</v>
      </c>
      <c r="I380" s="141" t="s">
        <v>469</v>
      </c>
      <c r="J380" s="133">
        <v>0.5875</v>
      </c>
    </row>
    <row r="381" spans="1:11">
      <c r="A381" s="31">
        <f>VLOOKUP($C381,SKU!$A:$I,3,FALSE)</f>
        <v>10040</v>
      </c>
      <c r="B381" s="31" t="str">
        <f>VLOOKUP($C381,SKU!$A:$I,2,FALSE)</f>
        <v>酷卡文化-线条小狗3弹</v>
      </c>
      <c r="C381" s="29" t="s">
        <v>188</v>
      </c>
      <c r="D381" s="29">
        <v>2</v>
      </c>
      <c r="E381" s="31">
        <f>D381*VLOOKUP(A381,Nhập入库!A:N,8,FALSE)</f>
        <v>22</v>
      </c>
      <c r="G381" s="29" t="s">
        <v>33</v>
      </c>
      <c r="H381" s="29" t="s">
        <v>424</v>
      </c>
      <c r="I381" s="141" t="s">
        <v>469</v>
      </c>
      <c r="J381" s="133">
        <v>0.625</v>
      </c>
    </row>
    <row r="382" spans="1:11">
      <c r="A382" s="31">
        <f>VLOOKUP($C382,SKU!$A:$I,3,FALSE)</f>
        <v>10040</v>
      </c>
      <c r="B382" s="31" t="str">
        <f>VLOOKUP($C382,SKU!$A:$I,2,FALSE)</f>
        <v>酷卡文化-线条小狗3弹</v>
      </c>
      <c r="C382" s="29" t="s">
        <v>188</v>
      </c>
      <c r="E382" s="31">
        <f>D382*VLOOKUP(A382,Nhập入库!A:N,8,FALSE)</f>
        <v>0</v>
      </c>
      <c r="F382" s="29">
        <v>56</v>
      </c>
      <c r="G382" s="29" t="s">
        <v>422</v>
      </c>
      <c r="H382" s="29" t="s">
        <v>424</v>
      </c>
      <c r="I382" s="141" t="s">
        <v>469</v>
      </c>
      <c r="J382" s="133">
        <v>0.580555555555556</v>
      </c>
      <c r="K382" s="135"/>
    </row>
    <row r="383" spans="1:11">
      <c r="A383" s="31">
        <f>VLOOKUP($C383,SKU!$A:$I,3,FALSE)</f>
        <v>10040</v>
      </c>
      <c r="B383" s="31" t="str">
        <f>VLOOKUP($C383,SKU!$A:$I,2,FALSE)</f>
        <v>酷卡文化-线条小狗3弹</v>
      </c>
      <c r="C383" s="29" t="s">
        <v>188</v>
      </c>
      <c r="E383" s="31">
        <f>D383*VLOOKUP(A383,Nhập入库!A:N,8,FALSE)</f>
        <v>0</v>
      </c>
      <c r="F383" s="29">
        <v>56</v>
      </c>
      <c r="G383" s="29" t="s">
        <v>433</v>
      </c>
      <c r="H383" s="29" t="s">
        <v>431</v>
      </c>
      <c r="I383" s="141" t="s">
        <v>469</v>
      </c>
      <c r="J383" s="133">
        <v>0.708333333333333</v>
      </c>
    </row>
    <row r="384" spans="1:11">
      <c r="A384" s="31">
        <f>VLOOKUP($C384,SKU!$A:$I,3,FALSE)</f>
        <v>10040</v>
      </c>
      <c r="B384" s="31" t="str">
        <f>VLOOKUP($C384,SKU!$A:$I,2,FALSE)</f>
        <v>酷卡文化-线条小狗3弹</v>
      </c>
      <c r="C384" s="29" t="s">
        <v>188</v>
      </c>
      <c r="E384" s="31">
        <f>D384*VLOOKUP(A384,Nhập入库!A:N,8,FALSE)</f>
        <v>0</v>
      </c>
      <c r="F384" s="29">
        <v>16</v>
      </c>
      <c r="G384" s="29" t="s">
        <v>430</v>
      </c>
      <c r="H384" s="29" t="s">
        <v>431</v>
      </c>
      <c r="I384" s="141" t="s">
        <v>469</v>
      </c>
      <c r="J384" s="133">
        <v>0.708333333333333</v>
      </c>
    </row>
    <row r="385" spans="1:10">
      <c r="A385" s="31">
        <f>VLOOKUP($C385,SKU!$A:$I,3,FALSE)</f>
        <v>10040</v>
      </c>
      <c r="B385" s="31" t="str">
        <f>VLOOKUP($C385,SKU!$A:$I,2,FALSE)</f>
        <v>酷卡文化-线条小狗3弹</v>
      </c>
      <c r="C385" s="29" t="s">
        <v>188</v>
      </c>
      <c r="E385" s="31">
        <f>D385*VLOOKUP(A385,Nhập入库!A:N,8,FALSE)</f>
        <v>0</v>
      </c>
      <c r="F385" s="29">
        <v>13</v>
      </c>
      <c r="G385" s="29" t="s">
        <v>433</v>
      </c>
      <c r="H385" s="29" t="s">
        <v>431</v>
      </c>
      <c r="I385" s="141" t="s">
        <v>469</v>
      </c>
      <c r="J385" s="133">
        <v>0.708333333333333</v>
      </c>
    </row>
    <row r="386" spans="1:10">
      <c r="A386" s="31">
        <f>VLOOKUP($C386,SKU!$A:$I,3,FALSE)</f>
        <v>10040</v>
      </c>
      <c r="B386" s="31" t="str">
        <f>VLOOKUP($C386,SKU!$A:$I,2,FALSE)</f>
        <v>酷卡文化-线条小狗3弹</v>
      </c>
      <c r="C386" s="29" t="s">
        <v>188</v>
      </c>
      <c r="E386" s="31">
        <f>D386*VLOOKUP(A386,Nhập入库!A:N,8,FALSE)</f>
        <v>0</v>
      </c>
      <c r="F386" s="29">
        <v>6</v>
      </c>
      <c r="G386" s="29" t="s">
        <v>433</v>
      </c>
      <c r="H386" s="29" t="s">
        <v>431</v>
      </c>
      <c r="I386" s="141" t="s">
        <v>469</v>
      </c>
      <c r="J386" s="133">
        <v>0.951388888888889</v>
      </c>
    </row>
    <row r="387" spans="1:10">
      <c r="A387" s="31">
        <f>VLOOKUP($C387,SKU!$A:$I,3,FALSE)</f>
        <v>10021</v>
      </c>
      <c r="B387" s="31" t="str">
        <f>VLOOKUP($C387,SKU!$A:$I,2,FALSE)</f>
        <v>新谷动漫名侦探柯南·仲夏夜之恋邮票集</v>
      </c>
      <c r="C387" s="29" t="s">
        <v>111</v>
      </c>
      <c r="E387" s="31">
        <f>D387*VLOOKUP(A387,Nhập入库!A:N,8,FALSE)</f>
        <v>0</v>
      </c>
      <c r="F387" s="29">
        <v>12</v>
      </c>
      <c r="G387" s="29" t="s">
        <v>106</v>
      </c>
      <c r="H387" s="29" t="s">
        <v>428</v>
      </c>
      <c r="I387" s="141" t="s">
        <v>469</v>
      </c>
      <c r="J387" s="133">
        <v>0.952083333333333</v>
      </c>
    </row>
    <row r="388" spans="1:10">
      <c r="A388" s="31">
        <f>VLOOKUP($C388,SKU!$A:$I,3,FALSE)</f>
        <v>10040</v>
      </c>
      <c r="B388" s="31" t="str">
        <f>VLOOKUP($C388,SKU!$A:$I,2,FALSE)</f>
        <v>酷卡文化-线条小狗3弹</v>
      </c>
      <c r="C388" s="29" t="s">
        <v>188</v>
      </c>
      <c r="E388" s="31">
        <f>D388*VLOOKUP(A388,Nhập入库!A:N,8,FALSE)</f>
        <v>0</v>
      </c>
      <c r="F388" s="29">
        <v>30</v>
      </c>
      <c r="G388" s="29" t="s">
        <v>422</v>
      </c>
      <c r="H388" s="29" t="s">
        <v>423</v>
      </c>
      <c r="I388" s="141" t="s">
        <v>470</v>
      </c>
      <c r="J388" s="155">
        <v>0.393055555555556</v>
      </c>
    </row>
    <row r="389" spans="1:10">
      <c r="A389" s="31">
        <f>VLOOKUP($C389,SKU!$A:$I,3,FALSE)</f>
        <v>10039</v>
      </c>
      <c r="B389" s="31" t="str">
        <f>VLOOKUP($C389,SKU!$A:$I,2,FALSE)</f>
        <v>非凡航海王第五弹</v>
      </c>
      <c r="C389" s="29" t="s">
        <v>184</v>
      </c>
      <c r="D389" s="29">
        <v>5</v>
      </c>
      <c r="E389" s="31">
        <f>D389*VLOOKUP(A389,Nhập入库!A:N,8,FALSE)</f>
        <v>100</v>
      </c>
      <c r="G389" s="29" t="s">
        <v>78</v>
      </c>
      <c r="H389" s="29" t="s">
        <v>423</v>
      </c>
      <c r="I389" s="141" t="s">
        <v>470</v>
      </c>
      <c r="J389" s="155">
        <v>0.0583333333333333</v>
      </c>
    </row>
    <row r="390" spans="1:10">
      <c r="A390" s="31">
        <f>VLOOKUP($C390,SKU!$A:$I,3,FALSE)</f>
        <v>10039</v>
      </c>
      <c r="B390" s="31" t="str">
        <f>VLOOKUP($C390,SKU!$A:$I,2,FALSE)</f>
        <v>非凡航海王第五弹</v>
      </c>
      <c r="C390" s="29" t="s">
        <v>184</v>
      </c>
      <c r="D390" s="29">
        <v>1</v>
      </c>
      <c r="E390" s="31">
        <f>D390*VLOOKUP(A390,Nhập入库!A:N,8,FALSE)</f>
        <v>20</v>
      </c>
      <c r="G390" s="29" t="s">
        <v>468</v>
      </c>
      <c r="H390" s="29" t="s">
        <v>423</v>
      </c>
      <c r="I390" s="141" t="s">
        <v>470</v>
      </c>
      <c r="J390" s="155">
        <v>0.0645833333333333</v>
      </c>
    </row>
    <row r="391" spans="1:10">
      <c r="A391" s="31">
        <f>VLOOKUP($C391,SKU!$A:$I,3,FALSE)</f>
        <v>10006</v>
      </c>
      <c r="B391" s="31" t="str">
        <f>VLOOKUP($C391,SKU!$A:$I,2,FALSE)</f>
        <v>云映文化「云之境の夏」第二弹·宫崎骏珍藏卡牌</v>
      </c>
      <c r="C391" s="29" t="s">
        <v>43</v>
      </c>
      <c r="D391" s="29">
        <v>3</v>
      </c>
      <c r="E391" s="31">
        <f>D391*VLOOKUP(A391,Nhập入库!A:N,8,FALSE)</f>
        <v>39</v>
      </c>
      <c r="G391" s="29" t="s">
        <v>33</v>
      </c>
      <c r="H391" s="29" t="s">
        <v>423</v>
      </c>
      <c r="I391" s="141" t="s">
        <v>470</v>
      </c>
      <c r="J391" s="155">
        <v>0.619444444444444</v>
      </c>
    </row>
    <row r="392" spans="1:10">
      <c r="A392" s="31">
        <f>VLOOKUP($C392,SKU!$A:$I,3,FALSE)</f>
        <v>10039</v>
      </c>
      <c r="B392" s="31" t="str">
        <f>VLOOKUP($C392,SKU!$A:$I,2,FALSE)</f>
        <v>非凡航海王第五弹</v>
      </c>
      <c r="C392" s="29" t="s">
        <v>184</v>
      </c>
      <c r="D392" s="29">
        <v>4</v>
      </c>
      <c r="E392" s="31">
        <f>D392*VLOOKUP(A392,Nhập入库!A:N,8,FALSE)</f>
        <v>80</v>
      </c>
      <c r="G392" s="29" t="s">
        <v>78</v>
      </c>
      <c r="H392" s="29" t="s">
        <v>423</v>
      </c>
      <c r="I392" s="141" t="s">
        <v>470</v>
      </c>
      <c r="J392" s="155">
        <v>0.63125</v>
      </c>
    </row>
    <row r="393" spans="1:10">
      <c r="A393" s="31">
        <f>VLOOKUP($C393,SKU!$A:$I,3,FALSE)</f>
        <v>10021</v>
      </c>
      <c r="B393" s="31" t="str">
        <f>VLOOKUP($C393,SKU!$A:$I,2,FALSE)</f>
        <v>新谷动漫名侦探柯南·仲夏夜之恋邮票集</v>
      </c>
      <c r="C393" s="29" t="s">
        <v>111</v>
      </c>
      <c r="E393" s="31">
        <f>D393*VLOOKUP(A393,Nhập入库!A:N,8,FALSE)</f>
        <v>0</v>
      </c>
      <c r="F393" s="29">
        <v>15</v>
      </c>
      <c r="G393" s="29" t="s">
        <v>33</v>
      </c>
      <c r="H393" s="29" t="s">
        <v>424</v>
      </c>
      <c r="I393" s="141" t="s">
        <v>470</v>
      </c>
      <c r="J393" s="133">
        <v>0.636805555555556</v>
      </c>
    </row>
    <row r="394" spans="1:10">
      <c r="A394" s="31">
        <f>VLOOKUP($C394,SKU!$A:$I,3,FALSE)</f>
        <v>10051</v>
      </c>
      <c r="B394" s="31" t="str">
        <f>VLOOKUP($C394,SKU!$A:$I,2,FALSE)</f>
        <v>南卡《魔卡少女樱》</v>
      </c>
      <c r="C394" s="29" t="s">
        <v>222</v>
      </c>
      <c r="D394" s="29">
        <v>18</v>
      </c>
      <c r="E394" s="31">
        <f>D394*VLOOKUP(A394,Nhập入库!A:N,8,FALSE)</f>
        <v>216</v>
      </c>
      <c r="F394" s="158"/>
      <c r="G394" s="29" t="s">
        <v>422</v>
      </c>
      <c r="H394" s="29" t="s">
        <v>424</v>
      </c>
      <c r="I394" s="143" t="s">
        <v>470</v>
      </c>
      <c r="J394" s="133">
        <v>0.604861111111111</v>
      </c>
    </row>
    <row r="395" spans="1:10">
      <c r="A395" s="31">
        <f>VLOOKUP($C395,SKU!$A:$I,3,FALSE)</f>
        <v>10039</v>
      </c>
      <c r="B395" s="31" t="str">
        <f>VLOOKUP($C395,SKU!$A:$I,2,FALSE)</f>
        <v>非凡航海王第五弹</v>
      </c>
      <c r="C395" s="29" t="s">
        <v>184</v>
      </c>
      <c r="D395" s="29">
        <v>19</v>
      </c>
      <c r="E395" s="31">
        <f>D395*VLOOKUP(A395,Nhập入库!A:N,8,FALSE)</f>
        <v>380</v>
      </c>
      <c r="F395" s="159"/>
      <c r="G395" s="29" t="s">
        <v>426</v>
      </c>
      <c r="H395" s="29" t="s">
        <v>423</v>
      </c>
      <c r="I395" s="141" t="s">
        <v>470</v>
      </c>
      <c r="J395" s="133">
        <v>0.604861111111111</v>
      </c>
    </row>
    <row r="396" spans="1:10">
      <c r="A396" s="31">
        <f>VLOOKUP($C396,SKU!$A:$I,3,FALSE)</f>
        <v>10051</v>
      </c>
      <c r="B396" s="31" t="str">
        <f>VLOOKUP($C396,SKU!$A:$I,2,FALSE)</f>
        <v>南卡《魔卡少女樱》</v>
      </c>
      <c r="C396" s="29" t="s">
        <v>222</v>
      </c>
      <c r="D396" s="29">
        <v>5</v>
      </c>
      <c r="E396" s="31">
        <f>D396*VLOOKUP(A396,Nhập入库!A:N,8,FALSE)</f>
        <v>60</v>
      </c>
      <c r="G396" s="29" t="s">
        <v>98</v>
      </c>
      <c r="H396" s="29" t="s">
        <v>424</v>
      </c>
      <c r="I396" s="141" t="s">
        <v>470</v>
      </c>
      <c r="J396" s="133">
        <v>0.715972222222222</v>
      </c>
    </row>
    <row r="397" spans="1:10">
      <c r="A397" s="31">
        <f>VLOOKUP($C397,SKU!$A:$I,3,FALSE)</f>
        <v>10016</v>
      </c>
      <c r="B397" s="31" t="str">
        <f>VLOOKUP($C397,SKU!$A:$I,2,FALSE)</f>
        <v>思梨普文创《hey!国王陛下》集换式艺术家典藏卡</v>
      </c>
      <c r="C397" s="29" t="s">
        <v>91</v>
      </c>
      <c r="D397" s="29">
        <v>5</v>
      </c>
      <c r="E397" s="31">
        <f>D397*VLOOKUP(A397,Nhập入库!A:N,8,FALSE)</f>
        <v>50</v>
      </c>
      <c r="F397" s="158"/>
      <c r="G397" s="29" t="s">
        <v>433</v>
      </c>
      <c r="H397" s="29" t="s">
        <v>428</v>
      </c>
      <c r="I397" s="143" t="s">
        <v>470</v>
      </c>
      <c r="J397" s="133">
        <v>0.761111111111111</v>
      </c>
    </row>
    <row r="398" spans="1:10">
      <c r="A398" s="31">
        <f>VLOOKUP($C398,SKU!$A:$I,3,FALSE)</f>
        <v>10042</v>
      </c>
      <c r="B398" s="31" t="str">
        <f>VLOOKUP($C398,SKU!$A:$I,2,FALSE)</f>
        <v>黄油小熊系列收藏卡第二弹 小熊的观察日记</v>
      </c>
      <c r="C398" s="29" t="s">
        <v>196</v>
      </c>
      <c r="D398" s="29">
        <v>5</v>
      </c>
      <c r="E398" s="31">
        <f>D398*VLOOKUP(A398,Nhập入库!A:N,8,FALSE)</f>
        <v>80</v>
      </c>
      <c r="F398" s="158"/>
      <c r="G398" s="29" t="s">
        <v>429</v>
      </c>
      <c r="H398" s="29" t="s">
        <v>428</v>
      </c>
      <c r="I398" s="143" t="s">
        <v>470</v>
      </c>
      <c r="J398" s="133">
        <v>0.761111111111111</v>
      </c>
    </row>
    <row r="399" spans="1:10">
      <c r="A399" s="31">
        <f>VLOOKUP($C399,SKU!$A:$I,3,FALSE)</f>
        <v>10032</v>
      </c>
      <c r="B399" s="31" t="str">
        <f>VLOOKUP($C399,SKU!$A:$I,2,FALSE)</f>
        <v>绘心阁《魔道祖师—殊途同归》色纸卡牌</v>
      </c>
      <c r="C399" s="29" t="s">
        <v>155</v>
      </c>
      <c r="D399" s="29">
        <v>20</v>
      </c>
      <c r="E399" s="31">
        <f>D399*VLOOKUP(A399,Nhập入库!A:N,8,FALSE)</f>
        <v>20</v>
      </c>
      <c r="F399" s="158"/>
      <c r="G399" s="29" t="s">
        <v>433</v>
      </c>
      <c r="H399" s="29" t="s">
        <v>428</v>
      </c>
      <c r="I399" s="143" t="s">
        <v>470</v>
      </c>
      <c r="J399" s="133">
        <v>0.815277777777778</v>
      </c>
    </row>
    <row r="400" spans="1:10">
      <c r="A400" s="31">
        <f>VLOOKUP($C400,SKU!$A:$I,3,FALSE)</f>
        <v>10016</v>
      </c>
      <c r="B400" s="31" t="str">
        <f>VLOOKUP($C400,SKU!$A:$I,2,FALSE)</f>
        <v>思梨普文创《hey!国王陛下》集换式艺术家典藏卡</v>
      </c>
      <c r="C400" s="29" t="s">
        <v>91</v>
      </c>
      <c r="D400" s="29">
        <v>5</v>
      </c>
      <c r="E400" s="31">
        <f>D400*VLOOKUP(A400,Nhập入库!A:N,8,FALSE)</f>
        <v>50</v>
      </c>
      <c r="F400" s="158"/>
      <c r="G400" s="29" t="s">
        <v>433</v>
      </c>
      <c r="H400" s="29" t="s">
        <v>428</v>
      </c>
      <c r="I400" s="143" t="s">
        <v>470</v>
      </c>
      <c r="J400" s="133">
        <v>0.881944444444444</v>
      </c>
    </row>
    <row r="401" spans="1:10">
      <c r="A401" s="31">
        <f>VLOOKUP($C401,SKU!$A:$I,3,FALSE)</f>
        <v>10029</v>
      </c>
      <c r="B401" s="31" t="str">
        <f>VLOOKUP($C401,SKU!$A:$I,2,FALSE)</f>
        <v>樱花屋魔卡少女樱</v>
      </c>
      <c r="C401" s="29" t="s">
        <v>143</v>
      </c>
      <c r="E401" s="31">
        <f>D401*VLOOKUP(A401,Nhập入库!A:N,8,FALSE)</f>
        <v>0</v>
      </c>
      <c r="F401" s="29">
        <v>66</v>
      </c>
      <c r="G401" s="29" t="s">
        <v>422</v>
      </c>
      <c r="H401" s="29" t="s">
        <v>424</v>
      </c>
      <c r="I401" s="141" t="s">
        <v>471</v>
      </c>
      <c r="J401" s="133">
        <v>0.384722222222222</v>
      </c>
    </row>
    <row r="402" spans="1:10">
      <c r="A402" s="31">
        <f>VLOOKUP($C402,SKU!$A:$I,3,FALSE)</f>
        <v>10029</v>
      </c>
      <c r="B402" s="31" t="str">
        <f>VLOOKUP($C402,SKU!$A:$I,2,FALSE)</f>
        <v>樱花屋魔卡少女樱</v>
      </c>
      <c r="C402" s="29" t="s">
        <v>143</v>
      </c>
      <c r="D402" s="29">
        <v>5</v>
      </c>
      <c r="E402" s="31">
        <f>D402*VLOOKUP(A402,Nhập入库!A:N,8,FALSE)</f>
        <v>60</v>
      </c>
      <c r="G402" s="29" t="s">
        <v>422</v>
      </c>
      <c r="H402" s="29" t="s">
        <v>408</v>
      </c>
      <c r="I402" s="141" t="s">
        <v>471</v>
      </c>
      <c r="J402" s="133">
        <v>0.384722222222222</v>
      </c>
    </row>
    <row r="403" spans="1:10">
      <c r="A403" s="31">
        <f>VLOOKUP($C403,SKU!$A:$I,3,FALSE)</f>
        <v>10039</v>
      </c>
      <c r="B403" s="31" t="str">
        <f>VLOOKUP($C403,SKU!$A:$I,2,FALSE)</f>
        <v>非凡航海王第五弹</v>
      </c>
      <c r="C403" s="29" t="s">
        <v>184</v>
      </c>
      <c r="D403" s="29">
        <v>15</v>
      </c>
      <c r="E403" s="31">
        <f>D403*VLOOKUP(A403,Nhập入库!A:N,8,FALSE)</f>
        <v>300</v>
      </c>
      <c r="G403" s="29" t="s">
        <v>118</v>
      </c>
      <c r="H403" s="29" t="s">
        <v>423</v>
      </c>
      <c r="I403" s="141" t="s">
        <v>471</v>
      </c>
      <c r="J403" s="133">
        <v>0.728472222222222</v>
      </c>
    </row>
    <row r="404" spans="1:10">
      <c r="A404" s="31">
        <f>VLOOKUP($C404,SKU!$A:$I,3,FALSE)</f>
        <v>10046</v>
      </c>
      <c r="B404" s="31" t="str">
        <f>VLOOKUP($C404,SKU!$A:$I,2,FALSE)</f>
        <v>夜灯</v>
      </c>
      <c r="C404" s="29" t="s">
        <v>207</v>
      </c>
      <c r="D404" s="29">
        <v>2</v>
      </c>
      <c r="E404" s="31">
        <f>D404*VLOOKUP(A404,Nhập入库!A:N,8,FALSE)</f>
        <v>2</v>
      </c>
      <c r="G404" s="29" t="s">
        <v>33</v>
      </c>
      <c r="H404" s="29" t="s">
        <v>424</v>
      </c>
      <c r="I404" s="141" t="s">
        <v>471</v>
      </c>
      <c r="J404" s="133">
        <v>0.646527777777778</v>
      </c>
    </row>
    <row r="405" spans="1:10">
      <c r="A405" s="31">
        <f>VLOOKUP($C405,SKU!$A:$I,3,FALSE)</f>
        <v>10052</v>
      </c>
      <c r="B405" s="31" t="str">
        <f>VLOOKUP($C405,SKU!$A:$I,2,FALSE)</f>
        <v>柯南洞悉包第五弹</v>
      </c>
      <c r="C405" s="29" t="s">
        <v>225</v>
      </c>
      <c r="E405" s="31">
        <f>D405*VLOOKUP(A405,Nhập入库!A:N,8,FALSE)</f>
        <v>0</v>
      </c>
      <c r="F405" s="29">
        <v>30</v>
      </c>
      <c r="G405" s="29" t="s">
        <v>98</v>
      </c>
      <c r="H405" s="29" t="s">
        <v>424</v>
      </c>
      <c r="I405" s="141" t="s">
        <v>471</v>
      </c>
      <c r="J405" s="133">
        <v>0.427083333333333</v>
      </c>
    </row>
    <row r="406" spans="1:10">
      <c r="A406" s="31">
        <f>VLOOKUP($C406,SKU!$A:$I,3,FALSE)</f>
        <v>10051</v>
      </c>
      <c r="B406" s="31" t="str">
        <f>VLOOKUP($C406,SKU!$A:$I,2,FALSE)</f>
        <v>南卡《魔卡少女樱》</v>
      </c>
      <c r="C406" s="29" t="s">
        <v>222</v>
      </c>
      <c r="D406" s="29">
        <v>5</v>
      </c>
      <c r="E406" s="31">
        <f>D406*VLOOKUP(A406,Nhập入库!A:N,8,FALSE)</f>
        <v>60</v>
      </c>
      <c r="G406" s="29" t="s">
        <v>98</v>
      </c>
      <c r="H406" s="29" t="s">
        <v>424</v>
      </c>
      <c r="I406" s="141" t="s">
        <v>471</v>
      </c>
      <c r="J406" s="133">
        <v>0.511111111111111</v>
      </c>
    </row>
    <row r="407" spans="1:10">
      <c r="A407" s="31">
        <f>VLOOKUP($C407,SKU!$A:$I,3,FALSE)</f>
        <v>10035</v>
      </c>
      <c r="B407" s="31" t="str">
        <f>VLOOKUP($C407,SKU!$A:$I,2,FALSE)</f>
        <v>KK CARD × 新海诚系列第一弹</v>
      </c>
      <c r="C407" s="29" t="s">
        <v>167</v>
      </c>
      <c r="D407" s="29">
        <v>1</v>
      </c>
      <c r="E407" s="31">
        <f>D407*VLOOKUP(A407,Nhập入库!A:N,8,FALSE)</f>
        <v>14</v>
      </c>
      <c r="F407" s="29">
        <v>2</v>
      </c>
      <c r="G407" s="29" t="s">
        <v>33</v>
      </c>
      <c r="H407" s="29" t="s">
        <v>424</v>
      </c>
      <c r="I407" s="141" t="s">
        <v>471</v>
      </c>
      <c r="J407" s="155">
        <v>0.386111111111111</v>
      </c>
    </row>
    <row r="408" spans="1:10">
      <c r="A408" s="31">
        <f>VLOOKUP($C408,SKU!$A:$I,3,FALSE)</f>
        <v>10035</v>
      </c>
      <c r="B408" s="31" t="str">
        <f>VLOOKUP($C408,SKU!$A:$I,2,FALSE)</f>
        <v>KK CARD × 新海诚系列第一弹</v>
      </c>
      <c r="C408" s="29" t="s">
        <v>167</v>
      </c>
      <c r="D408" s="29">
        <v>5</v>
      </c>
      <c r="E408" s="31">
        <f>D408*VLOOKUP(A408,Nhập入库!A:N,8,FALSE)</f>
        <v>70</v>
      </c>
      <c r="G408" s="29" t="s">
        <v>430</v>
      </c>
      <c r="H408" s="29" t="s">
        <v>431</v>
      </c>
      <c r="I408" s="141" t="s">
        <v>471</v>
      </c>
      <c r="J408" s="155">
        <v>0.844444444444444</v>
      </c>
    </row>
    <row r="409" spans="1:10">
      <c r="A409" s="31">
        <f>VLOOKUP($C409,SKU!$A:$I,3,FALSE)</f>
        <v>10052</v>
      </c>
      <c r="B409" s="31" t="str">
        <f>VLOOKUP($C409,SKU!$A:$I,2,FALSE)</f>
        <v>柯南洞悉包第五弹</v>
      </c>
      <c r="C409" s="29" t="s">
        <v>225</v>
      </c>
      <c r="E409" s="31"/>
      <c r="F409" s="29">
        <v>45</v>
      </c>
      <c r="G409" s="29" t="s">
        <v>430</v>
      </c>
      <c r="H409" s="29" t="s">
        <v>431</v>
      </c>
      <c r="I409" s="141" t="s">
        <v>471</v>
      </c>
      <c r="J409" s="133">
        <v>0.760416666666667</v>
      </c>
    </row>
    <row r="410" spans="1:10">
      <c r="A410" s="31">
        <f>VLOOKUP($C410,SKU!$A:$I,3,FALSE)</f>
        <v>10001</v>
      </c>
      <c r="B410" s="31" t="str">
        <f>VLOOKUP($C410,SKU!$A:$I,2,FALSE)</f>
        <v>《东株社》宝可梦水晶砖</v>
      </c>
      <c r="C410" s="29" t="s">
        <v>12</v>
      </c>
      <c r="E410" s="31">
        <f>D410*VLOOKUP(A410,Nhập入库!A:N,8,FALSE)</f>
        <v>0</v>
      </c>
      <c r="F410" s="29">
        <v>2</v>
      </c>
      <c r="G410" s="29" t="s">
        <v>90</v>
      </c>
      <c r="H410" s="29" t="s">
        <v>428</v>
      </c>
      <c r="I410" s="141" t="s">
        <v>472</v>
      </c>
      <c r="J410" s="155">
        <v>0.261111111111111</v>
      </c>
    </row>
    <row r="411" spans="1:10">
      <c r="A411" s="31">
        <f>VLOOKUP($C411,SKU!$A:$I,3,FALSE)</f>
        <v>10051</v>
      </c>
      <c r="B411" s="31" t="str">
        <f>VLOOKUP($C411,SKU!$A:$I,2,FALSE)</f>
        <v>南卡《魔卡少女樱》</v>
      </c>
      <c r="C411" s="29" t="s">
        <v>222</v>
      </c>
      <c r="D411" s="29">
        <v>6</v>
      </c>
      <c r="E411" s="31">
        <f>D411*VLOOKUP(A411,Nhập入库!A:N,8,FALSE)</f>
        <v>72</v>
      </c>
      <c r="G411" s="29" t="s">
        <v>118</v>
      </c>
      <c r="H411" s="29" t="s">
        <v>423</v>
      </c>
      <c r="I411" s="141" t="s">
        <v>471</v>
      </c>
      <c r="J411" s="133">
        <v>0.728472222222222</v>
      </c>
    </row>
    <row r="412" spans="1:10">
      <c r="A412" s="31">
        <f>VLOOKUP($C412,SKU!$A:$I,3,FALSE)</f>
        <v>10032</v>
      </c>
      <c r="B412" s="31" t="str">
        <f>VLOOKUP($C412,SKU!$A:$I,2,FALSE)</f>
        <v>绘心阁《魔道祖师—殊途同归》色纸卡牌</v>
      </c>
      <c r="C412" s="29" t="s">
        <v>155</v>
      </c>
      <c r="D412" s="29">
        <v>30</v>
      </c>
      <c r="E412" s="31">
        <f>D412*VLOOKUP(A412,Nhập入库!A:N,8,FALSE)</f>
        <v>30</v>
      </c>
      <c r="G412" s="29" t="s">
        <v>118</v>
      </c>
      <c r="H412" s="29" t="s">
        <v>423</v>
      </c>
      <c r="I412" s="141" t="s">
        <v>471</v>
      </c>
      <c r="J412" s="133">
        <v>0.728472222222222</v>
      </c>
    </row>
    <row r="413" spans="1:10">
      <c r="A413" s="31">
        <f>VLOOKUP($C413,SKU!$A:$I,3,FALSE)</f>
        <v>10048</v>
      </c>
      <c r="B413" s="31" t="str">
        <f>VLOOKUP($C413,SKU!$A:$I,2,FALSE)</f>
        <v>奈良社《极昼漫游》美少女战士撕撕乐+异形小卡</v>
      </c>
      <c r="C413" s="29" t="s">
        <v>212</v>
      </c>
      <c r="D413" s="29">
        <v>30</v>
      </c>
      <c r="E413" s="31">
        <f>D413*VLOOKUP(A413,Nhập入库!A:N,8,FALSE)</f>
        <v>30</v>
      </c>
      <c r="G413" s="29" t="s">
        <v>118</v>
      </c>
      <c r="H413" s="29" t="s">
        <v>423</v>
      </c>
      <c r="I413" s="141" t="s">
        <v>471</v>
      </c>
      <c r="J413" s="133">
        <v>0.728472222222222</v>
      </c>
    </row>
    <row r="414" spans="1:10">
      <c r="A414" s="31">
        <f>VLOOKUP($C414,SKU!$A:$I,3,FALSE)</f>
        <v>10014</v>
      </c>
      <c r="B414" s="31" t="str">
        <f>VLOOKUP($C414,SKU!$A:$I,2,FALSE)</f>
        <v>星梦文创-Studio Ghibli宫崎骏撕撕乐系列 </v>
      </c>
      <c r="C414" s="29" t="s">
        <v>83</v>
      </c>
      <c r="D414" s="29">
        <v>30</v>
      </c>
      <c r="E414" s="31">
        <f>D414*VLOOKUP(A414,Nhập入库!A:N,8,FALSE)</f>
        <v>90</v>
      </c>
      <c r="G414" s="29" t="s">
        <v>118</v>
      </c>
      <c r="H414" s="29" t="s">
        <v>423</v>
      </c>
      <c r="I414" s="141" t="s">
        <v>471</v>
      </c>
      <c r="J414" s="133">
        <v>0.728472222222222</v>
      </c>
    </row>
    <row r="415" spans="1:10">
      <c r="A415" s="31">
        <f>VLOOKUP($C415,SKU!$A:$I,3,FALSE)</f>
        <v>10018</v>
      </c>
      <c r="B415" s="31" t="str">
        <f>VLOOKUP($C415,SKU!$A:$I,2,FALSE)</f>
        <v>圣月美少女战士星尘协奏曲长卡</v>
      </c>
      <c r="C415" s="29" t="s">
        <v>99</v>
      </c>
      <c r="D415" s="29">
        <v>6</v>
      </c>
      <c r="E415" s="31">
        <f>D415*VLOOKUP(A415,Nhập入库!A:N,8,FALSE)</f>
        <v>78</v>
      </c>
      <c r="G415" s="29" t="s">
        <v>118</v>
      </c>
      <c r="H415" s="29" t="s">
        <v>423</v>
      </c>
      <c r="I415" s="141" t="s">
        <v>471</v>
      </c>
      <c r="J415" s="133">
        <v>0.728472222222222</v>
      </c>
    </row>
    <row r="416" spans="1:10">
      <c r="A416" s="31">
        <f>VLOOKUP($C416,SKU!$A:$I,3,FALSE)</f>
        <v>10043</v>
      </c>
      <c r="B416" s="31" t="str">
        <f>VLOOKUP($C416,SKU!$A:$I,2,FALSE)</f>
        <v>光恋XR-披荆斩棘-美少女战士</v>
      </c>
      <c r="C416" s="29" t="s">
        <v>199</v>
      </c>
      <c r="D416" s="29">
        <v>6</v>
      </c>
      <c r="E416" s="31">
        <f>D416*VLOOKUP(A416,Nhập入库!A:N,8,FALSE)</f>
        <v>78</v>
      </c>
      <c r="G416" s="29" t="s">
        <v>118</v>
      </c>
      <c r="H416" s="29" t="s">
        <v>423</v>
      </c>
      <c r="I416" s="141" t="s">
        <v>471</v>
      </c>
      <c r="J416" s="133">
        <v>0.728472222222222</v>
      </c>
    </row>
    <row r="417" spans="1:10">
      <c r="A417" s="31">
        <f>VLOOKUP($C417,SKU!$A:$I,3,FALSE)</f>
        <v>10030</v>
      </c>
      <c r="B417" s="31" t="str">
        <f>VLOOKUP($C417,SKU!$A:$I,2,FALSE)</f>
        <v>梦影动漫黑执事-典藏版收藏卡牌</v>
      </c>
      <c r="C417" s="29" t="s">
        <v>147</v>
      </c>
      <c r="D417" s="29">
        <v>10</v>
      </c>
      <c r="E417" s="31">
        <f>D417*VLOOKUP(A417,Nhập入库!A:N,8,FALSE)</f>
        <v>120</v>
      </c>
      <c r="G417" s="29" t="s">
        <v>422</v>
      </c>
      <c r="H417" s="29" t="s">
        <v>423</v>
      </c>
      <c r="I417" s="141" t="s">
        <v>472</v>
      </c>
      <c r="J417" s="155">
        <v>0.471527777777778</v>
      </c>
    </row>
    <row r="418" spans="1:10">
      <c r="A418" s="31">
        <f>VLOOKUP($C418,SKU!$A:$I,3,FALSE)</f>
        <v>10006</v>
      </c>
      <c r="B418" s="31" t="str">
        <f>VLOOKUP($C418,SKU!$A:$I,2,FALSE)</f>
        <v>云映文化「云之境の夏」第二弹·宫崎骏珍藏卡牌</v>
      </c>
      <c r="C418" s="29" t="s">
        <v>43</v>
      </c>
      <c r="D418" s="29">
        <v>5</v>
      </c>
      <c r="E418" s="31">
        <f>D418*VLOOKUP(A418,Nhập入库!A:N,8,FALSE)</f>
        <v>65</v>
      </c>
      <c r="G418" s="29" t="s">
        <v>432</v>
      </c>
      <c r="H418" s="29" t="s">
        <v>423</v>
      </c>
      <c r="I418" s="141" t="s">
        <v>472</v>
      </c>
      <c r="J418" s="155">
        <v>0.0715277777777778</v>
      </c>
    </row>
    <row r="419" spans="1:10">
      <c r="A419" s="31">
        <f>VLOOKUP($C419,SKU!$A:$I,3,FALSE)</f>
        <v>10032</v>
      </c>
      <c r="B419" s="31" t="str">
        <f>VLOOKUP($C419,SKU!$A:$I,2,FALSE)</f>
        <v>绘心阁《魔道祖师—殊途同归》色纸卡牌</v>
      </c>
      <c r="C419" s="29" t="s">
        <v>155</v>
      </c>
      <c r="D419" s="29">
        <v>10</v>
      </c>
      <c r="E419" s="31">
        <f>D419*VLOOKUP(A419,Nhập入库!A:N,8,FALSE)</f>
        <v>10</v>
      </c>
      <c r="G419" s="29" t="s">
        <v>118</v>
      </c>
      <c r="H419" s="29" t="s">
        <v>423</v>
      </c>
      <c r="I419" s="141" t="s">
        <v>472</v>
      </c>
      <c r="J419" s="155">
        <v>0.0715277777777778</v>
      </c>
    </row>
    <row r="420" spans="1:10">
      <c r="A420" s="31">
        <f>VLOOKUP($C420,SKU!$A:$I,3,FALSE)</f>
        <v>10026</v>
      </c>
      <c r="B420" s="31" t="str">
        <f>VLOOKUP($C420,SKU!$A:$I,2,FALSE)</f>
        <v>星恋文创·恋与深空《晦明交错之间》亚克力相框卡</v>
      </c>
      <c r="C420" s="29" t="s">
        <v>131</v>
      </c>
      <c r="D420" s="29">
        <v>10</v>
      </c>
      <c r="E420" s="31">
        <f>D420*VLOOKUP(A420,Nhập入库!A:N,8,FALSE)</f>
        <v>10</v>
      </c>
      <c r="G420" s="29" t="s">
        <v>118</v>
      </c>
      <c r="H420" s="29" t="s">
        <v>423</v>
      </c>
      <c r="I420" s="141" t="s">
        <v>472</v>
      </c>
      <c r="J420" s="155">
        <v>0.0715277777777778</v>
      </c>
    </row>
    <row r="421" spans="1:10">
      <c r="A421" s="31">
        <f>VLOOKUP($C421,SKU!$A:$I,3,FALSE)</f>
        <v>10020</v>
      </c>
      <c r="B421" s="31" t="str">
        <f>VLOOKUP($C421,SKU!$A:$I,2,FALSE)</f>
        <v>集卡社小樱</v>
      </c>
      <c r="C421" s="29" t="s">
        <v>107</v>
      </c>
      <c r="E421" s="31">
        <f>D421*VLOOKUP(A421,Nhập入库!A:N,8,FALSE)</f>
        <v>0</v>
      </c>
      <c r="F421" s="29">
        <v>29</v>
      </c>
      <c r="G421" s="29" t="s">
        <v>422</v>
      </c>
      <c r="H421" s="29" t="s">
        <v>423</v>
      </c>
      <c r="I421" s="141" t="s">
        <v>472</v>
      </c>
      <c r="J421" s="155">
        <v>0.0715277777777778</v>
      </c>
    </row>
    <row r="422" spans="1:10">
      <c r="A422" s="31">
        <f>VLOOKUP($C422,SKU!$A:$I,3,FALSE)</f>
        <v>10029</v>
      </c>
      <c r="B422" s="31" t="str">
        <f>VLOOKUP($C422,SKU!$A:$I,2,FALSE)</f>
        <v>樱花屋魔卡少女樱</v>
      </c>
      <c r="C422" s="29" t="s">
        <v>143</v>
      </c>
      <c r="D422" s="29">
        <v>7</v>
      </c>
      <c r="E422" s="31">
        <f>D422*VLOOKUP(A422,Nhập入库!A:N,8,FALSE)</f>
        <v>84</v>
      </c>
      <c r="G422" s="29" t="s">
        <v>422</v>
      </c>
      <c r="H422" s="29" t="s">
        <v>423</v>
      </c>
      <c r="I422" s="141" t="s">
        <v>472</v>
      </c>
      <c r="J422" s="155">
        <v>0.113194444444444</v>
      </c>
    </row>
    <row r="423" spans="1:10">
      <c r="A423" s="31">
        <f>VLOOKUP($C423,SKU!$A:$I,3,FALSE)</f>
        <v>10005</v>
      </c>
      <c r="B423" s="31" t="str">
        <f>VLOOKUP($C423,SKU!$A:$I,2,FALSE)</f>
        <v>椿柚文创宫崎骏 被风吹散的秘密邮票第一弹</v>
      </c>
      <c r="C423" s="29" t="s">
        <v>36</v>
      </c>
      <c r="D423" s="29">
        <v>13</v>
      </c>
      <c r="E423" s="31">
        <f>D423*VLOOKUP(A423,Nhập入库!A:N,8,FALSE)</f>
        <v>13</v>
      </c>
      <c r="G423" s="29" t="s">
        <v>432</v>
      </c>
      <c r="H423" s="29" t="s">
        <v>424</v>
      </c>
      <c r="I423" s="141" t="s">
        <v>472</v>
      </c>
      <c r="J423" s="133">
        <v>0.380555555555556</v>
      </c>
    </row>
    <row r="424" spans="1:10">
      <c r="A424" s="31">
        <f>VLOOKUP($C424,SKU!$A:$I,3,FALSE)</f>
        <v>10052</v>
      </c>
      <c r="B424" s="31" t="str">
        <f>VLOOKUP($C424,SKU!$A:$I,2,FALSE)</f>
        <v>柯南洞悉包第五弹</v>
      </c>
      <c r="C424" s="29" t="s">
        <v>225</v>
      </c>
      <c r="E424" s="31">
        <f>D424*VLOOKUP(A424,Nhập入库!A:N,8,FALSE)</f>
        <v>0</v>
      </c>
      <c r="F424" s="29">
        <v>42</v>
      </c>
      <c r="G424" s="29" t="s">
        <v>33</v>
      </c>
      <c r="H424" s="29" t="s">
        <v>424</v>
      </c>
      <c r="I424" s="141" t="s">
        <v>472</v>
      </c>
      <c r="J424" s="133">
        <v>0.518055555555556</v>
      </c>
    </row>
    <row r="425" spans="1:10">
      <c r="A425" s="31">
        <f>VLOOKUP($C425,SKU!$A:$I,3,FALSE)</f>
        <v>10052</v>
      </c>
      <c r="B425" s="31" t="str">
        <f>VLOOKUP($C425,SKU!$A:$I,2,FALSE)</f>
        <v>柯南洞悉包第五弹</v>
      </c>
      <c r="C425" s="29" t="s">
        <v>225</v>
      </c>
      <c r="E425" s="31">
        <f>D425*VLOOKUP(A425,Nhập入库!A:N,8,FALSE)</f>
        <v>0</v>
      </c>
      <c r="F425" s="29">
        <v>27</v>
      </c>
      <c r="G425" s="29" t="s">
        <v>33</v>
      </c>
      <c r="H425" s="29" t="s">
        <v>424</v>
      </c>
      <c r="I425" s="141" t="s">
        <v>472</v>
      </c>
      <c r="J425" s="133">
        <v>0.518055555555556</v>
      </c>
    </row>
    <row r="426" spans="1:10">
      <c r="A426" s="31">
        <f>VLOOKUP($C426,SKU!$A:$I,3,FALSE)</f>
        <v>10004</v>
      </c>
      <c r="B426" s="31" t="str">
        <f>VLOOKUP($C426,SKU!$A:$I,2,FALSE)</f>
        <v>初见花海咒术回战第一弹</v>
      </c>
      <c r="C426" s="29" t="s">
        <v>30</v>
      </c>
      <c r="D426" s="29">
        <v>20</v>
      </c>
      <c r="E426" s="31">
        <f>D426*VLOOKUP(A426,Nhập入库!A:N,8,FALSE)</f>
        <v>20</v>
      </c>
      <c r="G426" s="29" t="s">
        <v>426</v>
      </c>
      <c r="H426" s="29" t="s">
        <v>424</v>
      </c>
      <c r="I426" s="141" t="s">
        <v>472</v>
      </c>
      <c r="J426" s="133">
        <v>0.518055555555556</v>
      </c>
    </row>
    <row r="427" spans="1:10">
      <c r="A427" s="31">
        <f>VLOOKUP($C427,SKU!$A:$I,3,FALSE)</f>
        <v>10035</v>
      </c>
      <c r="B427" s="31" t="str">
        <f>VLOOKUP($C427,SKU!$A:$I,2,FALSE)</f>
        <v>KK CARD × 新海诚系列第一弹</v>
      </c>
      <c r="C427" s="29" t="s">
        <v>167</v>
      </c>
      <c r="D427" s="29">
        <v>4</v>
      </c>
      <c r="E427" s="31">
        <f>D427*VLOOKUP(A427,Nhập入库!A:N,8,FALSE)</f>
        <v>56</v>
      </c>
      <c r="G427" s="29" t="s">
        <v>33</v>
      </c>
      <c r="H427" s="29" t="s">
        <v>424</v>
      </c>
      <c r="I427" s="141" t="s">
        <v>472</v>
      </c>
      <c r="J427" s="133">
        <v>0.595138888888889</v>
      </c>
    </row>
    <row r="428" spans="1:10">
      <c r="A428" s="31">
        <f>VLOOKUP($C428,SKU!$A:$I,3,FALSE)</f>
        <v>10052</v>
      </c>
      <c r="B428" s="31" t="str">
        <f>VLOOKUP($C428,SKU!$A:$I,2,FALSE)</f>
        <v>柯南洞悉包第五弹</v>
      </c>
      <c r="C428" s="29" t="s">
        <v>225</v>
      </c>
      <c r="E428" s="31">
        <f>D428*VLOOKUP(A428,Nhập入库!A:N,8,FALSE)</f>
        <v>0</v>
      </c>
      <c r="F428" s="29">
        <v>28</v>
      </c>
      <c r="G428" s="29" t="s">
        <v>118</v>
      </c>
      <c r="H428" s="29" t="s">
        <v>424</v>
      </c>
      <c r="I428" s="141" t="s">
        <v>472</v>
      </c>
      <c r="J428" s="133">
        <v>0.6375</v>
      </c>
    </row>
    <row r="429" spans="1:10">
      <c r="A429" s="31">
        <f>VLOOKUP($C429,SKU!$A:$I,3,FALSE)</f>
        <v>10006</v>
      </c>
      <c r="B429" s="31" t="str">
        <f>VLOOKUP($C429,SKU!$A:$I,2,FALSE)</f>
        <v>云映文化「云之境の夏」第二弹·宫崎骏珍藏卡牌</v>
      </c>
      <c r="C429" s="29" t="s">
        <v>43</v>
      </c>
      <c r="D429" s="29">
        <v>10</v>
      </c>
      <c r="E429" s="31">
        <f>D429*VLOOKUP(A429,Nhập入库!A:N,8,FALSE)</f>
        <v>130</v>
      </c>
      <c r="G429" s="29" t="s">
        <v>429</v>
      </c>
      <c r="H429" s="29" t="s">
        <v>428</v>
      </c>
      <c r="I429" s="141" t="s">
        <v>473</v>
      </c>
      <c r="J429" s="155">
        <v>0.779861111111111</v>
      </c>
    </row>
    <row r="430" spans="1:10">
      <c r="A430" s="31">
        <f>VLOOKUP($C430,SKU!$A:$I,3,FALSE)</f>
        <v>10042</v>
      </c>
      <c r="B430" s="31" t="str">
        <f>VLOOKUP($C430,SKU!$A:$I,2,FALSE)</f>
        <v>黄油小熊系列收藏卡第二弹 小熊的观察日记</v>
      </c>
      <c r="C430" s="29" t="s">
        <v>196</v>
      </c>
      <c r="D430" s="29">
        <v>5</v>
      </c>
      <c r="E430" s="31">
        <f>D430*VLOOKUP(A430,Nhập入库!A:N,8,FALSE)</f>
        <v>80</v>
      </c>
      <c r="G430" s="29" t="s">
        <v>433</v>
      </c>
      <c r="H430" s="29" t="s">
        <v>431</v>
      </c>
      <c r="I430" s="141" t="s">
        <v>472</v>
      </c>
      <c r="J430" s="155">
        <v>0.756944444444444</v>
      </c>
    </row>
    <row r="431" spans="1:10">
      <c r="A431" s="31">
        <f>VLOOKUP($C431,SKU!$A:$I,3,FALSE)</f>
        <v>10032</v>
      </c>
      <c r="B431" s="31" t="str">
        <f>VLOOKUP($C431,SKU!$A:$I,2,FALSE)</f>
        <v>绘心阁《魔道祖师—殊途同归》色纸卡牌</v>
      </c>
      <c r="C431" s="29" t="s">
        <v>155</v>
      </c>
      <c r="E431" s="31">
        <f>D431*VLOOKUP(A431,Nhập入库!A:N,8,FALSE)</f>
        <v>0</v>
      </c>
      <c r="F431" s="29">
        <v>48</v>
      </c>
      <c r="G431" s="29" t="s">
        <v>433</v>
      </c>
      <c r="H431" s="29" t="s">
        <v>431</v>
      </c>
      <c r="I431" s="141" t="s">
        <v>472</v>
      </c>
      <c r="J431" s="155">
        <v>0.798611111111111</v>
      </c>
    </row>
    <row r="432" spans="1:10">
      <c r="A432" s="31">
        <f>VLOOKUP($C432,SKU!$A:$I,3,FALSE)</f>
        <v>10032</v>
      </c>
      <c r="B432" s="31" t="str">
        <f>VLOOKUP($C432,SKU!$A:$I,2,FALSE)</f>
        <v>绘心阁《魔道祖师—殊途同归》色纸卡牌</v>
      </c>
      <c r="C432" s="29" t="s">
        <v>155</v>
      </c>
      <c r="E432" s="31">
        <f>D432*VLOOKUP(A432,Nhập入库!A:N,8,FALSE)</f>
        <v>0</v>
      </c>
      <c r="F432" s="29">
        <v>30</v>
      </c>
      <c r="G432" s="29" t="s">
        <v>433</v>
      </c>
      <c r="H432" s="29" t="s">
        <v>431</v>
      </c>
      <c r="I432" s="141" t="s">
        <v>472</v>
      </c>
      <c r="J432" s="133">
        <v>0.886805555555556</v>
      </c>
    </row>
    <row r="433" spans="1:10">
      <c r="A433" s="31">
        <f>VLOOKUP($C433,SKU!$A:$I,3,FALSE)</f>
        <v>10007</v>
      </c>
      <c r="B433" s="31" t="str">
        <f>VLOOKUP($C433,SKU!$A:$I,2,FALSE)</f>
        <v>kawaii宫崎骏梦幻之国</v>
      </c>
      <c r="C433" s="29" t="s">
        <v>49</v>
      </c>
      <c r="E433" s="31">
        <f>D433*VLOOKUP(A433,Nhập入库!A:N,8,FALSE)</f>
        <v>0</v>
      </c>
      <c r="F433" s="29">
        <v>40</v>
      </c>
      <c r="G433" s="29" t="s">
        <v>90</v>
      </c>
      <c r="H433" s="29" t="s">
        <v>59</v>
      </c>
      <c r="I433" s="141" t="s">
        <v>474</v>
      </c>
      <c r="J433" s="155">
        <v>0.208333333333333</v>
      </c>
    </row>
    <row r="434" spans="1:10">
      <c r="A434" s="31">
        <f>VLOOKUP($C434,SKU!$A:$I,3,FALSE)</f>
        <v>10030</v>
      </c>
      <c r="B434" s="31" t="str">
        <f>VLOOKUP($C434,SKU!$A:$I,2,FALSE)</f>
        <v>梦影动漫黑执事-典藏版收藏卡牌</v>
      </c>
      <c r="C434" s="29" t="s">
        <v>147</v>
      </c>
      <c r="D434" s="29">
        <v>11</v>
      </c>
      <c r="E434" s="31">
        <f>D434*VLOOKUP(A434,Nhập入库!A:N,8,FALSE)</f>
        <v>132</v>
      </c>
      <c r="G434" s="29" t="s">
        <v>422</v>
      </c>
      <c r="H434" s="29" t="s">
        <v>423</v>
      </c>
      <c r="I434" s="141" t="s">
        <v>474</v>
      </c>
      <c r="J434" s="155">
        <v>0.445138888888889</v>
      </c>
    </row>
    <row r="435" spans="1:10">
      <c r="A435" s="31">
        <f>VLOOKUP($C435,SKU!$A:$I,3,FALSE)</f>
        <v>10051</v>
      </c>
      <c r="B435" s="31" t="str">
        <f>VLOOKUP($C435,SKU!$A:$I,2,FALSE)</f>
        <v>南卡《魔卡少女樱》</v>
      </c>
      <c r="C435" s="29" t="s">
        <v>222</v>
      </c>
      <c r="D435" s="29">
        <v>4</v>
      </c>
      <c r="E435" s="31">
        <f>D435*VLOOKUP(A435,Nhập入库!A:N,8,FALSE)</f>
        <v>48</v>
      </c>
      <c r="G435" s="29" t="s">
        <v>33</v>
      </c>
      <c r="H435" s="29" t="s">
        <v>423</v>
      </c>
      <c r="I435" s="141" t="s">
        <v>474</v>
      </c>
      <c r="J435" s="155">
        <v>0.589583333333333</v>
      </c>
    </row>
    <row r="436" spans="1:10">
      <c r="A436" s="31">
        <f>VLOOKUP($C436,SKU!$A:$I,3,FALSE)</f>
        <v>10052</v>
      </c>
      <c r="B436" s="31" t="str">
        <f>VLOOKUP($C436,SKU!$A:$I,2,FALSE)</f>
        <v>柯南洞悉包第五弹</v>
      </c>
      <c r="C436" s="29" t="s">
        <v>225</v>
      </c>
      <c r="E436" s="31">
        <f>D436*VLOOKUP(A436,Nhập入库!A:N,8,FALSE)</f>
        <v>0</v>
      </c>
      <c r="F436" s="29">
        <v>25</v>
      </c>
      <c r="G436" s="29" t="s">
        <v>33</v>
      </c>
      <c r="H436" s="29" t="s">
        <v>423</v>
      </c>
      <c r="I436" s="141" t="s">
        <v>474</v>
      </c>
      <c r="J436" s="155">
        <v>0.589583333333333</v>
      </c>
    </row>
    <row r="437" spans="1:10">
      <c r="A437" s="31">
        <f>VLOOKUP($C437,SKU!$A:$I,3,FALSE)</f>
        <v>10051</v>
      </c>
      <c r="B437" s="31" t="str">
        <f>VLOOKUP($C437,SKU!$A:$I,2,FALSE)</f>
        <v>南卡《魔卡少女樱》</v>
      </c>
      <c r="C437" s="29" t="s">
        <v>222</v>
      </c>
      <c r="D437" s="29">
        <v>3</v>
      </c>
      <c r="E437" s="31">
        <f>D437*VLOOKUP(A437,Nhập入库!A:N,8,FALSE)</f>
        <v>36</v>
      </c>
      <c r="G437" s="29" t="s">
        <v>33</v>
      </c>
      <c r="H437" s="29" t="s">
        <v>424</v>
      </c>
      <c r="I437" s="141" t="s">
        <v>474</v>
      </c>
      <c r="J437" s="133">
        <v>0.381944444444444</v>
      </c>
    </row>
    <row r="438" spans="1:10">
      <c r="A438" s="31">
        <f>VLOOKUP($C438,SKU!$A:$I,3,FALSE)</f>
        <v>10051</v>
      </c>
      <c r="B438" s="31" t="str">
        <f>VLOOKUP($C438,SKU!$A:$I,2,FALSE)</f>
        <v>南卡《魔卡少女樱》</v>
      </c>
      <c r="C438" s="29" t="s">
        <v>222</v>
      </c>
      <c r="E438" s="31">
        <f>D438*VLOOKUP(A438,Nhập入库!A:N,8,FALSE)</f>
        <v>0</v>
      </c>
      <c r="F438" s="29">
        <v>1</v>
      </c>
      <c r="G438" s="29" t="s">
        <v>33</v>
      </c>
      <c r="H438" s="29" t="s">
        <v>424</v>
      </c>
      <c r="I438" s="141" t="s">
        <v>474</v>
      </c>
      <c r="J438" s="133">
        <v>0.417361111111111</v>
      </c>
    </row>
    <row r="439" spans="1:10">
      <c r="A439" s="31">
        <f>VLOOKUP($C439,SKU!$A:$I,3,FALSE)</f>
        <v>10030</v>
      </c>
      <c r="B439" s="31" t="str">
        <f>VLOOKUP($C439,SKU!$A:$I,2,FALSE)</f>
        <v>梦影动漫黑执事-典藏版收藏卡牌</v>
      </c>
      <c r="C439" s="29" t="s">
        <v>147</v>
      </c>
      <c r="D439" s="29">
        <v>3</v>
      </c>
      <c r="E439" s="31">
        <f>D439*VLOOKUP(A439,Nhập入库!A:N,8,FALSE)</f>
        <v>36</v>
      </c>
      <c r="G439" s="29" t="s">
        <v>433</v>
      </c>
      <c r="H439" s="29" t="s">
        <v>431</v>
      </c>
      <c r="I439" s="141" t="s">
        <v>474</v>
      </c>
      <c r="J439" s="133">
        <v>0.750694444444444</v>
      </c>
    </row>
    <row r="440" spans="1:10">
      <c r="A440" s="31">
        <f>VLOOKUP($C440,SKU!$A:$I,3,FALSE)</f>
        <v>10048</v>
      </c>
      <c r="B440" s="31" t="str">
        <f>VLOOKUP($C440,SKU!$A:$I,2,FALSE)</f>
        <v>奈良社《极昼漫游》美少女战士撕撕乐+异形小卡</v>
      </c>
      <c r="C440" s="29" t="s">
        <v>212</v>
      </c>
      <c r="E440" s="31">
        <f>D440*VLOOKUP(A440,Nhập入库!A:N,8,FALSE)</f>
        <v>0</v>
      </c>
      <c r="F440" s="29">
        <v>32</v>
      </c>
      <c r="G440" s="29" t="s">
        <v>430</v>
      </c>
      <c r="H440" s="29" t="s">
        <v>431</v>
      </c>
      <c r="I440" s="141" t="s">
        <v>474</v>
      </c>
      <c r="J440" s="133">
        <v>0.875694444444444</v>
      </c>
    </row>
    <row r="441" spans="1:10">
      <c r="A441" s="31">
        <f>VLOOKUP($C441,SKU!$A:$I,3,FALSE)</f>
        <v>10025</v>
      </c>
      <c r="B441" s="31" t="str">
        <f>VLOOKUP($C441,SKU!$A:$I,2,FALSE)</f>
        <v>君屹文化耽美古风收藏新纪元《言辞忆梦》撕撕乐</v>
      </c>
      <c r="C441" s="29" t="s">
        <v>127</v>
      </c>
      <c r="E441" s="31">
        <f>D441*VLOOKUP(A441,Nhập入库!A:N,8,FALSE)</f>
        <v>0</v>
      </c>
      <c r="F441" s="29">
        <v>90</v>
      </c>
      <c r="G441" s="29" t="s">
        <v>90</v>
      </c>
      <c r="H441" s="29" t="s">
        <v>59</v>
      </c>
      <c r="I441" s="141" t="s">
        <v>474</v>
      </c>
      <c r="J441" s="133">
        <v>0.989583333333333</v>
      </c>
    </row>
    <row r="442" spans="1:10">
      <c r="A442" s="31">
        <f>VLOOKUP($C442,SKU!$A:$I,3,FALSE)</f>
        <v>10048</v>
      </c>
      <c r="B442" s="31" t="str">
        <f>VLOOKUP($C442,SKU!$A:$I,2,FALSE)</f>
        <v>奈良社《极昼漫游》美少女战士撕撕乐+异形小卡</v>
      </c>
      <c r="C442" s="29" t="s">
        <v>212</v>
      </c>
      <c r="E442" s="31">
        <f>D442*VLOOKUP(A442,Nhập入库!A:N,8,FALSE)</f>
        <v>0</v>
      </c>
      <c r="F442" s="29">
        <v>97</v>
      </c>
      <c r="G442" s="29" t="s">
        <v>430</v>
      </c>
      <c r="H442" s="29" t="s">
        <v>431</v>
      </c>
      <c r="I442" s="141" t="s">
        <v>474</v>
      </c>
      <c r="J442" s="133">
        <v>0.875694444444444</v>
      </c>
    </row>
    <row r="443" spans="1:10">
      <c r="A443" s="31">
        <f>VLOOKUP($C443,SKU!$A:$I,3,FALSE)</f>
        <v>10048</v>
      </c>
      <c r="B443" s="31" t="str">
        <f>VLOOKUP($C443,SKU!$A:$I,2,FALSE)</f>
        <v>奈良社《极昼漫游》美少女战士撕撕乐+异形小卡</v>
      </c>
      <c r="C443" s="29" t="s">
        <v>212</v>
      </c>
      <c r="E443" s="31">
        <f>D443*VLOOKUP(A443,Nhập入库!A:N,8,FALSE)</f>
        <v>0</v>
      </c>
      <c r="F443" s="29">
        <v>40</v>
      </c>
      <c r="G443" s="29" t="s">
        <v>430</v>
      </c>
      <c r="H443" s="29" t="s">
        <v>431</v>
      </c>
      <c r="I443" s="141" t="s">
        <v>474</v>
      </c>
      <c r="J443" s="133">
        <v>0.875694444444444</v>
      </c>
    </row>
    <row r="444" spans="1:10">
      <c r="A444" s="31">
        <f>VLOOKUP($C444,SKU!$A:$I,3,FALSE)</f>
        <v>10002</v>
      </c>
      <c r="B444" s="31" t="str">
        <f>VLOOKUP($C444,SKU!$A:$I,2,FALSE)</f>
        <v>MoonCard月卡《美少女战士》第三弹</v>
      </c>
      <c r="C444" s="29" t="s">
        <v>18</v>
      </c>
      <c r="D444" s="29">
        <v>5</v>
      </c>
      <c r="E444" s="31">
        <f>D444*VLOOKUP(A444,Nhập入库!A:N,8,FALSE)</f>
        <v>65</v>
      </c>
      <c r="G444" s="29" t="s">
        <v>90</v>
      </c>
      <c r="H444" s="29" t="s">
        <v>59</v>
      </c>
      <c r="I444" s="141" t="s">
        <v>475</v>
      </c>
      <c r="J444" s="133">
        <v>0.120138888888889</v>
      </c>
    </row>
    <row r="445" spans="1:10">
      <c r="A445" s="31">
        <f>VLOOKUP($C445,SKU!$A:$I,3,FALSE)</f>
        <v>10029</v>
      </c>
      <c r="B445" s="31" t="str">
        <f>VLOOKUP($C445,SKU!$A:$I,2,FALSE)</f>
        <v>樱花屋魔卡少女樱</v>
      </c>
      <c r="C445" s="29" t="s">
        <v>143</v>
      </c>
      <c r="D445" s="29">
        <v>5</v>
      </c>
      <c r="E445" s="31">
        <f>D445*VLOOKUP(A445,Nhập入库!A:N,8,FALSE)</f>
        <v>60</v>
      </c>
      <c r="G445" s="29" t="s">
        <v>422</v>
      </c>
      <c r="H445" s="29" t="s">
        <v>408</v>
      </c>
      <c r="I445" s="141" t="s">
        <v>471</v>
      </c>
      <c r="J445" s="133">
        <v>0.453472222222222</v>
      </c>
    </row>
    <row r="446" spans="1:10">
      <c r="A446" s="31">
        <f>VLOOKUP($C446,SKU!$A:$I,3,FALSE)</f>
        <v>10029</v>
      </c>
      <c r="B446" s="31" t="str">
        <f>VLOOKUP($C446,SKU!$A:$I,2,FALSE)</f>
        <v>樱花屋魔卡少女樱</v>
      </c>
      <c r="C446" s="29" t="s">
        <v>143</v>
      </c>
      <c r="E446" s="31">
        <f>D446*VLOOKUP(A446,Nhập入库!A:N,8,FALSE)</f>
        <v>0</v>
      </c>
      <c r="F446" s="29">
        <v>54</v>
      </c>
      <c r="G446" s="29" t="s">
        <v>422</v>
      </c>
      <c r="H446" s="29" t="s">
        <v>408</v>
      </c>
      <c r="I446" s="141" t="s">
        <v>471</v>
      </c>
      <c r="J446" s="133">
        <v>0.384722222222222</v>
      </c>
    </row>
    <row r="447" spans="1:10">
      <c r="A447" s="31">
        <f>VLOOKUP($C447,SKU!$A:$I,3,FALSE)</f>
        <v>10002</v>
      </c>
      <c r="B447" s="31" t="str">
        <f>VLOOKUP($C447,SKU!$A:$I,2,FALSE)</f>
        <v>MoonCard月卡《美少女战士》第三弹</v>
      </c>
      <c r="C447" s="29" t="s">
        <v>18</v>
      </c>
      <c r="D447" s="29">
        <v>10</v>
      </c>
      <c r="E447" s="31">
        <f>D447*VLOOKUP(A447,Nhập入库!A:N,8,FALSE)</f>
        <v>130</v>
      </c>
      <c r="G447" s="29" t="s">
        <v>422</v>
      </c>
      <c r="H447" s="29" t="s">
        <v>423</v>
      </c>
      <c r="I447" s="141" t="s">
        <v>475</v>
      </c>
      <c r="J447" s="133">
        <v>0.44375</v>
      </c>
    </row>
    <row r="448" spans="1:10">
      <c r="A448" s="31">
        <f>VLOOKUP($C448,SKU!$A:$I,3,FALSE)</f>
        <v>10006</v>
      </c>
      <c r="B448" s="31" t="str">
        <f>VLOOKUP($C448,SKU!$A:$I,2,FALSE)</f>
        <v>云映文化「云之境の夏」第二弹·宫崎骏珍藏卡牌</v>
      </c>
      <c r="C448" s="29" t="s">
        <v>43</v>
      </c>
      <c r="D448" s="29">
        <v>4</v>
      </c>
      <c r="E448" s="31">
        <f>D448*VLOOKUP(A448,Nhập入库!A:N,8,FALSE)</f>
        <v>52</v>
      </c>
      <c r="F448" s="29">
        <v>14</v>
      </c>
      <c r="G448" s="29" t="s">
        <v>432</v>
      </c>
      <c r="H448" s="29" t="s">
        <v>408</v>
      </c>
      <c r="I448" s="141" t="s">
        <v>475</v>
      </c>
      <c r="J448" s="133">
        <v>0.572222222222222</v>
      </c>
    </row>
    <row r="449" spans="1:10">
      <c r="A449" s="31">
        <f>VLOOKUP($C449,SKU!$A:$I,3,FALSE)</f>
        <v>10005</v>
      </c>
      <c r="B449" s="31" t="str">
        <f>VLOOKUP($C449,SKU!$A:$I,2,FALSE)</f>
        <v>椿柚文创宫崎骏 被风吹散的秘密邮票第一弹</v>
      </c>
      <c r="C449" s="29" t="s">
        <v>36</v>
      </c>
      <c r="D449" s="29">
        <v>1</v>
      </c>
      <c r="E449" s="31">
        <f>D449*VLOOKUP(A449,Nhập入库!A:N,8,FALSE)</f>
        <v>1</v>
      </c>
      <c r="G449" s="29" t="s">
        <v>432</v>
      </c>
      <c r="H449" s="29" t="s">
        <v>408</v>
      </c>
      <c r="I449" s="141" t="s">
        <v>475</v>
      </c>
      <c r="J449" s="133">
        <v>0.572222222222222</v>
      </c>
    </row>
    <row r="450" spans="1:10">
      <c r="A450" s="31">
        <f>VLOOKUP($C450,SKU!$A:$I,3,FALSE)</f>
        <v>10006</v>
      </c>
      <c r="B450" s="31" t="str">
        <f>VLOOKUP($C450,SKU!$A:$I,2,FALSE)</f>
        <v>云映文化「云之境の夏」第二弹·宫崎骏珍藏卡牌</v>
      </c>
      <c r="C450" s="29" t="s">
        <v>43</v>
      </c>
      <c r="E450" s="31">
        <f>D450*VLOOKUP(A450,Nhập入库!A:N,8,FALSE)</f>
        <v>0</v>
      </c>
      <c r="F450" s="29">
        <v>140</v>
      </c>
      <c r="G450" s="29" t="s">
        <v>432</v>
      </c>
      <c r="H450" s="29" t="s">
        <v>423</v>
      </c>
      <c r="I450" s="141" t="s">
        <v>475</v>
      </c>
      <c r="J450" s="133">
        <v>0.572222222222222</v>
      </c>
    </row>
    <row r="451" spans="1:10">
      <c r="A451" s="31">
        <f>VLOOKUP($C451,SKU!$A:$I,3,FALSE)</f>
        <v>10016</v>
      </c>
      <c r="B451" s="31" t="str">
        <f>VLOOKUP($C451,SKU!$A:$I,2,FALSE)</f>
        <v>思梨普文创《hey!国王陛下》集换式艺术家典藏卡</v>
      </c>
      <c r="C451" s="29" t="s">
        <v>91</v>
      </c>
      <c r="D451" s="29">
        <v>5</v>
      </c>
      <c r="E451" s="31">
        <f>D451*VLOOKUP(A451,Nhập入库!A:N,8,FALSE)</f>
        <v>50</v>
      </c>
      <c r="G451" s="29" t="s">
        <v>98</v>
      </c>
      <c r="H451" s="29" t="s">
        <v>424</v>
      </c>
      <c r="I451" s="141" t="s">
        <v>475</v>
      </c>
      <c r="J451" s="133">
        <v>0.546527777777778</v>
      </c>
    </row>
    <row r="452" spans="1:10">
      <c r="A452" s="31">
        <f>VLOOKUP($C452,SKU!$A:$I,3,FALSE)</f>
        <v>10030</v>
      </c>
      <c r="B452" s="31" t="str">
        <f>VLOOKUP($C452,SKU!$A:$I,2,FALSE)</f>
        <v>梦影动漫黑执事-典藏版收藏卡牌</v>
      </c>
      <c r="C452" s="29" t="s">
        <v>147</v>
      </c>
      <c r="D452" s="29">
        <v>2</v>
      </c>
      <c r="E452" s="31">
        <f>D452*VLOOKUP(A452,Nhập入库!A:N,8,FALSE)</f>
        <v>24</v>
      </c>
      <c r="G452" s="29" t="s">
        <v>433</v>
      </c>
      <c r="H452" s="29" t="s">
        <v>431</v>
      </c>
      <c r="I452" s="141" t="s">
        <v>475</v>
      </c>
      <c r="J452" s="133">
        <v>0.838194444444444</v>
      </c>
    </row>
    <row r="453" spans="1:10">
      <c r="A453" s="31">
        <f>VLOOKUP($C453,SKU!$A:$I,3,FALSE)</f>
        <v>10038</v>
      </c>
      <c r="B453" s="31" t="str">
        <f>VLOOKUP($C453,SKU!$A:$I,2,FALSE)</f>
        <v>浮光工作室❤第三弹【夏风吻过你的睫毛】</v>
      </c>
      <c r="C453" s="29" t="s">
        <v>179</v>
      </c>
      <c r="E453" s="31">
        <f>D453*VLOOKUP(A453,Nhập入库!A:N,8,FALSE)</f>
        <v>0</v>
      </c>
      <c r="F453" s="29">
        <v>24</v>
      </c>
      <c r="G453" s="29" t="s">
        <v>433</v>
      </c>
      <c r="H453" s="29" t="s">
        <v>431</v>
      </c>
      <c r="I453" s="141" t="s">
        <v>475</v>
      </c>
      <c r="J453" s="133">
        <v>0.859027777777778</v>
      </c>
    </row>
    <row r="454" spans="1:10">
      <c r="A454" s="31">
        <f>VLOOKUP($C454,SKU!$A:$I,3,FALSE)</f>
        <v>10030</v>
      </c>
      <c r="B454" s="31" t="str">
        <f>VLOOKUP($C454,SKU!$A:$I,2,FALSE)</f>
        <v>梦影动漫黑执事-典藏版收藏卡牌</v>
      </c>
      <c r="C454" s="29" t="s">
        <v>147</v>
      </c>
      <c r="E454" s="31">
        <f>D454*VLOOKUP(A454,Nhập入库!A:N,8,FALSE)</f>
        <v>0</v>
      </c>
      <c r="F454" s="29">
        <v>11</v>
      </c>
      <c r="G454" s="29" t="s">
        <v>433</v>
      </c>
      <c r="H454" s="29" t="s">
        <v>431</v>
      </c>
      <c r="I454" s="141" t="s">
        <v>475</v>
      </c>
      <c r="J454" s="133">
        <v>0.930555555555556</v>
      </c>
    </row>
    <row r="455" spans="1:10">
      <c r="A455" s="31">
        <f>VLOOKUP($C455,SKU!$A:$I,3,FALSE)</f>
        <v>10038</v>
      </c>
      <c r="B455" s="31" t="str">
        <f>VLOOKUP($C455,SKU!$A:$I,2,FALSE)</f>
        <v>浮光工作室❤第三弹【夏风吻过你的睫毛】</v>
      </c>
      <c r="C455" s="29" t="s">
        <v>179</v>
      </c>
      <c r="E455" s="31">
        <f>D455*VLOOKUP(A455,Nhập入库!A:N,8,FALSE)</f>
        <v>0</v>
      </c>
      <c r="F455" s="29">
        <v>17</v>
      </c>
      <c r="G455" s="29" t="s">
        <v>433</v>
      </c>
      <c r="H455" s="29" t="s">
        <v>431</v>
      </c>
      <c r="I455" s="141" t="s">
        <v>475</v>
      </c>
      <c r="J455" s="133">
        <v>0.94375</v>
      </c>
    </row>
    <row r="456" spans="1:10">
      <c r="A456" s="31">
        <f>VLOOKUP($C456,SKU!$A:$I,3,FALSE)</f>
        <v>10006</v>
      </c>
      <c r="B456" s="31" t="str">
        <f>VLOOKUP($C456,SKU!$A:$I,2,FALSE)</f>
        <v>云映文化「云之境の夏」第二弹·宫崎骏珍藏卡牌</v>
      </c>
      <c r="C456" s="29" t="s">
        <v>43</v>
      </c>
      <c r="D456" s="29">
        <v>2</v>
      </c>
      <c r="E456" s="31">
        <f>D456*VLOOKUP(A456,Nhập入库!A:N,8,FALSE)</f>
        <v>26</v>
      </c>
      <c r="G456" s="29" t="s">
        <v>430</v>
      </c>
      <c r="H456" s="29" t="s">
        <v>431</v>
      </c>
      <c r="I456" s="141" t="s">
        <v>475</v>
      </c>
      <c r="J456" s="133">
        <v>0.944444444444444</v>
      </c>
    </row>
    <row r="457" spans="1:10">
      <c r="A457" s="31">
        <f>VLOOKUP($C457,SKU!$A:$I,3,FALSE)</f>
        <v>10012</v>
      </c>
      <c r="B457" s="31" t="str">
        <f>VLOOKUP($C457,SKU!$A:$I,2,FALSE)</f>
        <v>卡文化进击的巨人</v>
      </c>
      <c r="C457" s="29" t="s">
        <v>75</v>
      </c>
      <c r="D457" s="29">
        <v>5</v>
      </c>
      <c r="E457" s="31">
        <f>D457*VLOOKUP(A457,Nhập入库!A:N,8,FALSE)</f>
        <v>150</v>
      </c>
      <c r="G457" s="29" t="s">
        <v>90</v>
      </c>
      <c r="H457" s="29" t="s">
        <v>59</v>
      </c>
      <c r="I457" s="141" t="s">
        <v>476</v>
      </c>
      <c r="J457" s="133">
        <v>0.236111111111111</v>
      </c>
    </row>
    <row r="458" spans="1:10">
      <c r="A458" s="31">
        <f>VLOOKUP($C458,SKU!$A:$I,3,FALSE)</f>
        <v>10012</v>
      </c>
      <c r="B458" s="31" t="str">
        <f>VLOOKUP($C458,SKU!$A:$I,2,FALSE)</f>
        <v>卡文化进击的巨人</v>
      </c>
      <c r="C458" s="29" t="s">
        <v>75</v>
      </c>
      <c r="D458" s="29">
        <v>5</v>
      </c>
      <c r="E458" s="31">
        <f>D458*VLOOKUP(A458,Nhập入库!A:N,8,FALSE)</f>
        <v>150</v>
      </c>
      <c r="G458" s="29" t="s">
        <v>426</v>
      </c>
      <c r="H458" s="29" t="s">
        <v>423</v>
      </c>
      <c r="I458" s="141" t="s">
        <v>476</v>
      </c>
      <c r="J458" s="133">
        <v>0.479861111111111</v>
      </c>
    </row>
    <row r="459" spans="1:10">
      <c r="A459" s="31">
        <f>VLOOKUP($C459,SKU!$A:$I,3,FALSE)</f>
        <v>10001</v>
      </c>
      <c r="B459" s="31" t="str">
        <f>VLOOKUP($C459,SKU!$A:$I,2,FALSE)</f>
        <v>《东株社》宝可梦水晶砖</v>
      </c>
      <c r="C459" s="29" t="s">
        <v>12</v>
      </c>
      <c r="D459" s="29">
        <v>10</v>
      </c>
      <c r="E459" s="31">
        <f>D459*VLOOKUP(A459,Nhập入库!A:N,8,FALSE)</f>
        <v>10</v>
      </c>
      <c r="G459" s="29" t="s">
        <v>33</v>
      </c>
      <c r="H459" s="29" t="s">
        <v>423</v>
      </c>
      <c r="I459" s="141" t="s">
        <v>476</v>
      </c>
      <c r="J459" s="133">
        <v>0.479861111111111</v>
      </c>
    </row>
    <row r="460" spans="1:10">
      <c r="A460" s="31">
        <f>VLOOKUP($C460,SKU!$A:$I,3,FALSE)</f>
        <v>10051</v>
      </c>
      <c r="B460" s="31" t="str">
        <f>VLOOKUP($C460,SKU!$A:$I,2,FALSE)</f>
        <v>南卡《魔卡少女樱》</v>
      </c>
      <c r="C460" s="29" t="s">
        <v>222</v>
      </c>
      <c r="E460" s="31">
        <f>D460*VLOOKUP(A460,Nhập入库!A:N,8,FALSE)</f>
        <v>0</v>
      </c>
      <c r="F460" s="29">
        <v>18</v>
      </c>
      <c r="G460" s="29" t="s">
        <v>477</v>
      </c>
      <c r="H460" s="29" t="s">
        <v>423</v>
      </c>
      <c r="I460" s="141" t="s">
        <v>476</v>
      </c>
      <c r="J460" s="133">
        <v>0.479861111111111</v>
      </c>
    </row>
    <row r="461" spans="1:10">
      <c r="A461" s="31">
        <f>VLOOKUP($C461,SKU!$A:$I,3,FALSE)</f>
        <v>10039</v>
      </c>
      <c r="B461" s="31" t="str">
        <f>VLOOKUP($C461,SKU!$A:$I,2,FALSE)</f>
        <v>非凡航海王第五弹</v>
      </c>
      <c r="C461" s="29" t="s">
        <v>184</v>
      </c>
      <c r="D461" s="29">
        <v>5</v>
      </c>
      <c r="E461" s="31">
        <f>D461*VLOOKUP(A461,Nhập入库!A:N,8,FALSE)</f>
        <v>100</v>
      </c>
      <c r="G461" s="29" t="s">
        <v>477</v>
      </c>
      <c r="H461" s="29" t="s">
        <v>423</v>
      </c>
      <c r="I461" s="141" t="s">
        <v>476</v>
      </c>
      <c r="J461" s="133">
        <v>0.479861111111111</v>
      </c>
    </row>
    <row r="462" spans="1:10">
      <c r="A462" s="31">
        <f>VLOOKUP($C462,SKU!$A:$I,3,FALSE)</f>
        <v>10043</v>
      </c>
      <c r="B462" s="31" t="str">
        <f>VLOOKUP($C462,SKU!$A:$I,2,FALSE)</f>
        <v>光恋XR-披荆斩棘-美少女战士</v>
      </c>
      <c r="C462" s="29" t="s">
        <v>199</v>
      </c>
      <c r="D462" s="29">
        <v>2</v>
      </c>
      <c r="E462" s="31">
        <f>D462*VLOOKUP(A462,Nhập入库!A:N,8,FALSE)</f>
        <v>26</v>
      </c>
      <c r="G462" s="29" t="s">
        <v>477</v>
      </c>
      <c r="H462" s="29" t="s">
        <v>423</v>
      </c>
      <c r="I462" s="141" t="s">
        <v>476</v>
      </c>
      <c r="J462" s="133">
        <v>0.479861111111111</v>
      </c>
    </row>
    <row r="463" spans="1:10">
      <c r="A463" s="31">
        <f>VLOOKUP($C463,SKU!$A:$I,3,FALSE)</f>
        <v>10018</v>
      </c>
      <c r="B463" s="31" t="str">
        <f>VLOOKUP($C463,SKU!$A:$I,2,FALSE)</f>
        <v>圣月美少女战士星尘协奏曲长卡</v>
      </c>
      <c r="C463" s="29" t="s">
        <v>99</v>
      </c>
      <c r="D463" s="29">
        <v>2</v>
      </c>
      <c r="E463" s="31">
        <f>D463*VLOOKUP(A463,Nhập入库!A:N,8,FALSE)</f>
        <v>26</v>
      </c>
      <c r="G463" s="29" t="s">
        <v>477</v>
      </c>
      <c r="H463" s="29" t="s">
        <v>423</v>
      </c>
      <c r="I463" s="141" t="s">
        <v>476</v>
      </c>
      <c r="J463" s="133">
        <v>0.479861111111111</v>
      </c>
    </row>
    <row r="464" spans="1:10">
      <c r="A464" s="31">
        <f>VLOOKUP($C464,SKU!$A:$I,3,FALSE)</f>
        <v>10014</v>
      </c>
      <c r="B464" s="31" t="str">
        <f>VLOOKUP($C464,SKU!$A:$I,2,FALSE)</f>
        <v>星梦文创-Studio Ghibli宫崎骏撕撕乐系列 </v>
      </c>
      <c r="C464" s="29" t="s">
        <v>83</v>
      </c>
      <c r="D464" s="29">
        <v>10</v>
      </c>
      <c r="E464" s="31">
        <f>D464*VLOOKUP(A464,Nhập入库!A:N,8,FALSE)</f>
        <v>30</v>
      </c>
      <c r="G464" s="29" t="s">
        <v>477</v>
      </c>
      <c r="H464" s="29" t="s">
        <v>423</v>
      </c>
      <c r="I464" s="141" t="s">
        <v>476</v>
      </c>
      <c r="J464" s="133">
        <v>0.479861111111111</v>
      </c>
    </row>
    <row r="465" spans="1:10">
      <c r="A465" s="31">
        <f>VLOOKUP($C465,SKU!$A:$I,3,FALSE)</f>
        <v>10051</v>
      </c>
      <c r="B465" s="31" t="str">
        <f>VLOOKUP($C465,SKU!$A:$I,2,FALSE)</f>
        <v>南卡《魔卡少女樱》</v>
      </c>
      <c r="C465" s="29" t="s">
        <v>222</v>
      </c>
      <c r="D465" s="29">
        <v>2</v>
      </c>
      <c r="E465" s="31">
        <f>D465*VLOOKUP(A465,Nhập入库!A:N,8,FALSE)</f>
        <v>24</v>
      </c>
      <c r="G465" s="29" t="s">
        <v>118</v>
      </c>
      <c r="H465" s="29" t="s">
        <v>423</v>
      </c>
      <c r="I465" s="141" t="s">
        <v>476</v>
      </c>
      <c r="J465" s="133">
        <v>0.479861111111111</v>
      </c>
    </row>
    <row r="466" spans="1:10">
      <c r="A466" s="31">
        <f>VLOOKUP($C466,SKU!$A:$I,3,FALSE)</f>
        <v>10035</v>
      </c>
      <c r="B466" s="31" t="str">
        <f>VLOOKUP($C466,SKU!$A:$I,2,FALSE)</f>
        <v>KK CARD × 新海诚系列第一弹</v>
      </c>
      <c r="C466" s="29" t="s">
        <v>167</v>
      </c>
      <c r="D466" s="29">
        <v>1</v>
      </c>
      <c r="E466" s="31">
        <f>D466*VLOOKUP(A466,Nhập入库!A:N,8,FALSE)</f>
        <v>14</v>
      </c>
      <c r="G466" s="29" t="s">
        <v>118</v>
      </c>
      <c r="H466" s="29" t="s">
        <v>408</v>
      </c>
      <c r="I466" s="141" t="s">
        <v>476</v>
      </c>
      <c r="J466" s="133">
        <v>0.604166666666667</v>
      </c>
    </row>
    <row r="467" spans="1:10">
      <c r="A467" s="31">
        <f>VLOOKUP($C467,SKU!$A:$I,3,FALSE)</f>
        <v>10051</v>
      </c>
      <c r="B467" s="31" t="str">
        <f>VLOOKUP($C467,SKU!$A:$I,2,FALSE)</f>
        <v>南卡《魔卡少女樱》</v>
      </c>
      <c r="C467" s="29" t="s">
        <v>222</v>
      </c>
      <c r="D467" s="29">
        <v>5</v>
      </c>
      <c r="E467" s="31">
        <f>D467*VLOOKUP(A467,Nhập入库!A:N,8,FALSE)</f>
        <v>60</v>
      </c>
      <c r="G467" s="29" t="s">
        <v>118</v>
      </c>
      <c r="H467" s="29" t="s">
        <v>408</v>
      </c>
      <c r="I467" s="141" t="s">
        <v>476</v>
      </c>
      <c r="J467" s="133">
        <v>0.6875</v>
      </c>
    </row>
    <row r="468" spans="1:10">
      <c r="A468" s="31">
        <f>VLOOKUP($C468,SKU!$A:$I,3,FALSE)</f>
        <v>10030</v>
      </c>
      <c r="B468" s="31" t="str">
        <f>VLOOKUP($C468,SKU!$A:$I,2,FALSE)</f>
        <v>梦影动漫黑执事-典藏版收藏卡牌</v>
      </c>
      <c r="C468" s="29" t="s">
        <v>147</v>
      </c>
      <c r="E468" s="31">
        <f>D468*VLOOKUP(A468,Nhập入库!A:N,8,FALSE)</f>
        <v>0</v>
      </c>
      <c r="F468" s="29">
        <v>32</v>
      </c>
      <c r="G468" s="29" t="s">
        <v>422</v>
      </c>
      <c r="H468" s="29" t="s">
        <v>424</v>
      </c>
      <c r="I468" s="141" t="s">
        <v>476</v>
      </c>
      <c r="J468" s="133">
        <v>0.416666666666667</v>
      </c>
    </row>
    <row r="469" spans="1:10">
      <c r="A469" s="31">
        <f>VLOOKUP($C469,SKU!$A:$I,3,FALSE)</f>
        <v>10039</v>
      </c>
      <c r="B469" s="31" t="str">
        <f>VLOOKUP($C469,SKU!$A:$I,2,FALSE)</f>
        <v>非凡航海王第五弹</v>
      </c>
      <c r="C469" s="29" t="s">
        <v>184</v>
      </c>
      <c r="E469" s="31">
        <f>D469*VLOOKUP(A469,Nhập入库!A:N,8,FALSE)</f>
        <v>0</v>
      </c>
      <c r="F469" s="29">
        <v>811</v>
      </c>
      <c r="G469" s="29" t="s">
        <v>122</v>
      </c>
      <c r="H469" s="29" t="s">
        <v>408</v>
      </c>
      <c r="I469" s="141" t="s">
        <v>476</v>
      </c>
      <c r="J469" s="133">
        <v>0.6875</v>
      </c>
    </row>
    <row r="470" spans="1:10">
      <c r="A470" s="31">
        <f>VLOOKUP($C470,SKU!$A:$I,3,FALSE)</f>
        <v>10002</v>
      </c>
      <c r="B470" s="31" t="str">
        <f>VLOOKUP($C470,SKU!$A:$I,2,FALSE)</f>
        <v>MoonCard月卡《美少女战士》第三弹</v>
      </c>
      <c r="C470" s="29" t="s">
        <v>18</v>
      </c>
      <c r="D470" s="29">
        <v>5</v>
      </c>
      <c r="E470" s="31">
        <f>D470*VLOOKUP(A470,Nhập入库!A:N,8,FALSE)</f>
        <v>65</v>
      </c>
      <c r="G470" s="29" t="s">
        <v>422</v>
      </c>
      <c r="H470" s="29" t="s">
        <v>424</v>
      </c>
      <c r="I470" s="141" t="s">
        <v>476</v>
      </c>
      <c r="J470" s="133">
        <v>0.416666666666667</v>
      </c>
    </row>
    <row r="471" spans="1:10">
      <c r="A471" s="31">
        <f>VLOOKUP($C471,SKU!$A:$I,3,FALSE)</f>
        <v>10023</v>
      </c>
      <c r="B471" s="31" t="str">
        <f>VLOOKUP($C471,SKU!$A:$I,2,FALSE)</f>
        <v>风信文创尘世相逢之约星光来信原神邮票第一弹</v>
      </c>
      <c r="C471" s="29" t="s">
        <v>119</v>
      </c>
      <c r="E471" s="31">
        <f>D471*VLOOKUP(A471,Nhập入库!A:N,8,FALSE)</f>
        <v>0</v>
      </c>
      <c r="F471" s="29">
        <v>7</v>
      </c>
      <c r="G471" s="29" t="s">
        <v>122</v>
      </c>
      <c r="H471" s="29" t="s">
        <v>408</v>
      </c>
      <c r="I471" s="141" t="s">
        <v>476</v>
      </c>
      <c r="J471" s="133">
        <v>0.6875</v>
      </c>
    </row>
    <row r="472" spans="1:10">
      <c r="A472" s="31">
        <f>VLOOKUP($C472,SKU!$A:$I,3,FALSE)</f>
        <v>10032</v>
      </c>
      <c r="B472" s="31" t="str">
        <f>VLOOKUP($C472,SKU!$A:$I,2,FALSE)</f>
        <v>绘心阁《魔道祖师—殊途同归》色纸卡牌</v>
      </c>
      <c r="C472" s="29" t="s">
        <v>155</v>
      </c>
      <c r="E472" s="31">
        <f>D472*VLOOKUP(A472,Nhập入库!A:N,8,FALSE)</f>
        <v>0</v>
      </c>
      <c r="F472" s="29">
        <v>18</v>
      </c>
      <c r="G472" s="29" t="s">
        <v>433</v>
      </c>
      <c r="H472" s="29" t="s">
        <v>431</v>
      </c>
      <c r="I472" s="141" t="s">
        <v>476</v>
      </c>
      <c r="J472" s="133">
        <v>0.770833333333333</v>
      </c>
    </row>
    <row r="473" spans="1:10">
      <c r="A473" s="31">
        <f>VLOOKUP($C473,SKU!$A:$I,3,FALSE)</f>
        <v>10039</v>
      </c>
      <c r="B473" s="31" t="str">
        <f>VLOOKUP($C473,SKU!$A:$I,2,FALSE)</f>
        <v>非凡航海王第五弹</v>
      </c>
      <c r="C473" s="29" t="s">
        <v>184</v>
      </c>
      <c r="D473" s="29">
        <v>24</v>
      </c>
      <c r="E473" s="31">
        <f>D473*VLOOKUP(A473,Nhập入库!A:N,8,FALSE)</f>
        <v>480</v>
      </c>
      <c r="G473" s="29" t="s">
        <v>429</v>
      </c>
      <c r="H473" s="29" t="s">
        <v>428</v>
      </c>
      <c r="I473" s="141" t="s">
        <v>476</v>
      </c>
      <c r="J473" s="133">
        <v>0.846527777777778</v>
      </c>
    </row>
    <row r="474" spans="1:10">
      <c r="A474" s="31">
        <f>VLOOKUP($C474,SKU!$A:$I,3,FALSE)</f>
        <v>10042</v>
      </c>
      <c r="B474" s="31" t="str">
        <f>VLOOKUP($C474,SKU!$A:$I,2,FALSE)</f>
        <v>黄油小熊系列收藏卡第二弹 小熊的观察日记</v>
      </c>
      <c r="C474" s="29" t="s">
        <v>196</v>
      </c>
      <c r="D474" s="29">
        <v>4</v>
      </c>
      <c r="E474" s="31">
        <f>D474*VLOOKUP(A474,Nhập入库!A:N,8,FALSE)</f>
        <v>64</v>
      </c>
      <c r="G474" s="29" t="s">
        <v>430</v>
      </c>
      <c r="H474" s="29" t="s">
        <v>431</v>
      </c>
      <c r="I474" s="141" t="s">
        <v>476</v>
      </c>
      <c r="J474" s="133">
        <v>0.846527777777778</v>
      </c>
    </row>
    <row r="475" spans="1:10">
      <c r="A475" s="31">
        <f>VLOOKUP($C475,SKU!$A:$I,3,FALSE)</f>
        <v>10051</v>
      </c>
      <c r="B475" s="31" t="str">
        <f>VLOOKUP($C475,SKU!$A:$I,2,FALSE)</f>
        <v>南卡《魔卡少女樱》</v>
      </c>
      <c r="C475" s="29" t="s">
        <v>222</v>
      </c>
      <c r="D475" s="29">
        <v>3</v>
      </c>
      <c r="E475" s="31">
        <f>D475*VLOOKUP(A475,Nhập入库!A:N,8,FALSE)</f>
        <v>36</v>
      </c>
      <c r="G475" s="29" t="s">
        <v>430</v>
      </c>
      <c r="H475" s="29" t="s">
        <v>431</v>
      </c>
      <c r="I475" s="141" t="s">
        <v>476</v>
      </c>
      <c r="J475" s="133">
        <v>0.958333333333333</v>
      </c>
    </row>
    <row r="476" spans="1:10">
      <c r="A476" s="31">
        <f>VLOOKUP($C476,SKU!$A:$I,3,FALSE)</f>
        <v>10051</v>
      </c>
      <c r="B476" s="31" t="str">
        <f>VLOOKUP($C476,SKU!$A:$I,2,FALSE)</f>
        <v>南卡《魔卡少女樱》</v>
      </c>
      <c r="C476" s="29" t="s">
        <v>222</v>
      </c>
      <c r="D476" s="29">
        <v>3</v>
      </c>
      <c r="E476" s="31">
        <f>D476*VLOOKUP(A476,Nhập入库!A:N,8,FALSE)</f>
        <v>36</v>
      </c>
      <c r="G476" s="29" t="s">
        <v>430</v>
      </c>
      <c r="H476" s="29" t="s">
        <v>431</v>
      </c>
      <c r="I476" s="141" t="s">
        <v>476</v>
      </c>
      <c r="J476" s="133">
        <v>0.958333333333333</v>
      </c>
    </row>
    <row r="477" spans="1:10">
      <c r="A477" s="31">
        <f>VLOOKUP($C477,SKU!$A:$I,3,FALSE)</f>
        <v>10051</v>
      </c>
      <c r="B477" s="31" t="str">
        <f>VLOOKUP($C477,SKU!$A:$I,2,FALSE)</f>
        <v>南卡《魔卡少女樱》</v>
      </c>
      <c r="C477" s="29" t="s">
        <v>222</v>
      </c>
      <c r="D477" s="29">
        <v>2</v>
      </c>
      <c r="E477" s="31">
        <f>D477*VLOOKUP(A477,Nhập入库!A:N,8,FALSE)</f>
        <v>24</v>
      </c>
      <c r="G477" s="29" t="s">
        <v>433</v>
      </c>
      <c r="H477" s="29" t="s">
        <v>431</v>
      </c>
      <c r="I477" s="141" t="s">
        <v>476</v>
      </c>
      <c r="J477" s="133">
        <v>0.958333333333333</v>
      </c>
    </row>
    <row r="478" spans="1:10">
      <c r="A478" s="31">
        <f>VLOOKUP($C478,SKU!$A:$I,3,FALSE)</f>
        <v>10039</v>
      </c>
      <c r="B478" s="31" t="str">
        <f>VLOOKUP($C478,SKU!$A:$I,2,FALSE)</f>
        <v>非凡航海王第五弹</v>
      </c>
      <c r="C478" s="29" t="s">
        <v>184</v>
      </c>
      <c r="D478" s="29">
        <v>10</v>
      </c>
      <c r="E478" s="31">
        <f>D478*VLOOKUP(A478,Nhập入库!A:N,8,FALSE)</f>
        <v>200</v>
      </c>
      <c r="G478" s="29" t="s">
        <v>90</v>
      </c>
      <c r="H478" s="29" t="s">
        <v>59</v>
      </c>
      <c r="I478" s="141" t="s">
        <v>478</v>
      </c>
      <c r="J478" s="133">
        <v>0.153472222222222</v>
      </c>
    </row>
    <row r="479" spans="1:10">
      <c r="A479" s="31">
        <f>VLOOKUP($C479,SKU!$A:$I,3,FALSE)</f>
        <v>10038</v>
      </c>
      <c r="B479" s="31" t="str">
        <f>VLOOKUP($C479,SKU!$A:$I,2,FALSE)</f>
        <v>浮光工作室❤第三弹【夏风吻过你的睫毛】</v>
      </c>
      <c r="C479" s="29" t="s">
        <v>179</v>
      </c>
      <c r="E479" s="31">
        <f>D479*VLOOKUP(A479,Nhập入库!A:N,8,FALSE)</f>
        <v>0</v>
      </c>
      <c r="F479" s="29">
        <v>10</v>
      </c>
      <c r="G479" s="29" t="s">
        <v>130</v>
      </c>
      <c r="H479" s="29" t="s">
        <v>424</v>
      </c>
      <c r="I479" s="141" t="s">
        <v>476</v>
      </c>
      <c r="J479" s="133">
        <v>0.478472222222222</v>
      </c>
    </row>
    <row r="480" spans="1:10">
      <c r="A480" s="31">
        <f>VLOOKUP($C480,SKU!$A:$I,3,FALSE)</f>
        <v>10018</v>
      </c>
      <c r="B480" s="31" t="str">
        <f>VLOOKUP($C480,SKU!$A:$I,2,FALSE)</f>
        <v>圣月美少女战士星尘协奏曲长卡</v>
      </c>
      <c r="C480" s="29" t="s">
        <v>99</v>
      </c>
      <c r="D480" s="29">
        <v>2</v>
      </c>
      <c r="E480" s="31">
        <f>D480*VLOOKUP(A480,Nhập入库!A:N,8,FALSE)</f>
        <v>26</v>
      </c>
      <c r="G480" s="29" t="s">
        <v>130</v>
      </c>
      <c r="H480" s="29" t="s">
        <v>424</v>
      </c>
      <c r="I480" s="141" t="s">
        <v>476</v>
      </c>
      <c r="J480" s="133">
        <v>0.478472222222222</v>
      </c>
    </row>
    <row r="481" spans="1:10">
      <c r="A481" s="31">
        <f>VLOOKUP($C481,SKU!$A:$I,3,FALSE)</f>
        <v>10043</v>
      </c>
      <c r="B481" s="31" t="str">
        <f>VLOOKUP($C481,SKU!$A:$I,2,FALSE)</f>
        <v>光恋XR-披荆斩棘-美少女战士</v>
      </c>
      <c r="C481" s="29" t="s">
        <v>199</v>
      </c>
      <c r="D481" s="29">
        <v>2</v>
      </c>
      <c r="E481" s="31">
        <f>D481*VLOOKUP(A481,Nhập入库!A:N,8,FALSE)</f>
        <v>26</v>
      </c>
      <c r="G481" s="29" t="s">
        <v>130</v>
      </c>
      <c r="H481" s="29" t="s">
        <v>424</v>
      </c>
      <c r="I481" s="141" t="s">
        <v>476</v>
      </c>
      <c r="J481" s="133">
        <v>0.478472222222222</v>
      </c>
    </row>
    <row r="482" spans="1:10">
      <c r="A482" s="31">
        <f>VLOOKUP($C482,SKU!$A:$I,3,FALSE)</f>
        <v>10032</v>
      </c>
      <c r="B482" s="31" t="str">
        <f>VLOOKUP($C482,SKU!$A:$I,2,FALSE)</f>
        <v>绘心阁《魔道祖师—殊途同归》色纸卡牌</v>
      </c>
      <c r="C482" s="29" t="s">
        <v>155</v>
      </c>
      <c r="E482" s="31">
        <f>D482*VLOOKUP(A482,Nhập入库!A:N,8,FALSE)</f>
        <v>0</v>
      </c>
      <c r="F482" s="29">
        <v>10</v>
      </c>
      <c r="G482" s="29" t="s">
        <v>130</v>
      </c>
      <c r="H482" s="29" t="s">
        <v>424</v>
      </c>
      <c r="I482" s="141" t="s">
        <v>476</v>
      </c>
      <c r="J482" s="133">
        <v>0.478472222222222</v>
      </c>
    </row>
    <row r="483" spans="1:10">
      <c r="A483" s="31">
        <f>VLOOKUP($C483,SKU!$A:$I,3,FALSE)</f>
        <v>10051</v>
      </c>
      <c r="B483" s="31" t="str">
        <f>VLOOKUP($C483,SKU!$A:$I,2,FALSE)</f>
        <v>南卡《魔卡少女樱》</v>
      </c>
      <c r="C483" s="29" t="s">
        <v>222</v>
      </c>
      <c r="D483" s="29">
        <v>1</v>
      </c>
      <c r="E483" s="31">
        <f>D483*VLOOKUP(A483,Nhập入库!A:N,8,FALSE)</f>
        <v>12</v>
      </c>
      <c r="G483" s="29" t="s">
        <v>130</v>
      </c>
      <c r="H483" s="29" t="s">
        <v>424</v>
      </c>
      <c r="I483" s="141" t="s">
        <v>476</v>
      </c>
      <c r="J483" s="133">
        <v>0.478472222222222</v>
      </c>
    </row>
    <row r="484" spans="1:10">
      <c r="A484" s="31">
        <f>VLOOKUP($C484,SKU!$A:$I,3,FALSE)</f>
        <v>10036</v>
      </c>
      <c r="B484" s="31" t="str">
        <f>VLOOKUP($C484,SKU!$A:$I,2,FALSE)</f>
        <v>《研卡文创》第三弹收藏色纸</v>
      </c>
      <c r="C484" s="29" t="s">
        <v>171</v>
      </c>
      <c r="D484" s="29">
        <v>5</v>
      </c>
      <c r="E484" s="31">
        <f>D484*VLOOKUP(A484,Nhập入库!A:N,8,FALSE)</f>
        <v>30</v>
      </c>
      <c r="G484" s="29" t="s">
        <v>130</v>
      </c>
      <c r="H484" s="29" t="s">
        <v>424</v>
      </c>
      <c r="I484" s="141" t="s">
        <v>476</v>
      </c>
      <c r="J484" s="133">
        <v>0.478472222222222</v>
      </c>
    </row>
    <row r="485" spans="1:10">
      <c r="A485" s="31">
        <f>VLOOKUP($C485,SKU!$A:$I,3,FALSE)</f>
        <v>10014</v>
      </c>
      <c r="B485" s="31" t="str">
        <f>VLOOKUP($C485,SKU!$A:$I,2,FALSE)</f>
        <v>星梦文创-Studio Ghibli宫崎骏撕撕乐系列 </v>
      </c>
      <c r="C485" s="29" t="s">
        <v>83</v>
      </c>
      <c r="D485" s="29">
        <v>10</v>
      </c>
      <c r="E485" s="31">
        <f>D485*VLOOKUP(A485,Nhập入库!A:N,8,FALSE)</f>
        <v>30</v>
      </c>
      <c r="F485" s="29">
        <v>29</v>
      </c>
      <c r="G485" s="29" t="s">
        <v>130</v>
      </c>
      <c r="H485" s="29" t="s">
        <v>424</v>
      </c>
      <c r="I485" s="141" t="s">
        <v>476</v>
      </c>
      <c r="J485" s="133">
        <v>0.478472222222222</v>
      </c>
    </row>
    <row r="486" spans="1:10">
      <c r="A486" s="31">
        <f>VLOOKUP($C486,SKU!$A:$I,3,FALSE)</f>
        <v>10043</v>
      </c>
      <c r="B486" s="31" t="str">
        <f>VLOOKUP($C486,SKU!$A:$I,2,FALSE)</f>
        <v>光恋XR-披荆斩棘-美少女战士</v>
      </c>
      <c r="C486" s="34" t="s">
        <v>199</v>
      </c>
      <c r="D486" s="29">
        <v>5</v>
      </c>
      <c r="E486" s="31">
        <f>D486*VLOOKUP(A486,Nhập入库!A:N,8,FALSE)</f>
        <v>65</v>
      </c>
      <c r="G486" s="34" t="s">
        <v>422</v>
      </c>
      <c r="H486" s="34" t="s">
        <v>406</v>
      </c>
      <c r="I486" s="141" t="s">
        <v>478</v>
      </c>
      <c r="J486" s="133">
        <v>0.483333333333333</v>
      </c>
    </row>
    <row r="487" spans="1:10">
      <c r="A487" s="31">
        <f>VLOOKUP($C487,SKU!$A:$I,3,FALSE)</f>
        <v>10043</v>
      </c>
      <c r="B487" s="31" t="str">
        <f>VLOOKUP($C487,SKU!$A:$I,2,FALSE)</f>
        <v>光恋XR-披荆斩棘-美少女战士</v>
      </c>
      <c r="C487" s="34" t="s">
        <v>199</v>
      </c>
      <c r="D487" s="29">
        <v>5</v>
      </c>
      <c r="E487" s="31">
        <f>D487*VLOOKUP(A487,Nhập入库!A:N,8,FALSE)</f>
        <v>65</v>
      </c>
      <c r="G487" s="34" t="s">
        <v>422</v>
      </c>
      <c r="H487" s="34" t="s">
        <v>406</v>
      </c>
      <c r="I487" s="141" t="s">
        <v>478</v>
      </c>
      <c r="J487" s="133">
        <v>0.493055555555556</v>
      </c>
    </row>
    <row r="488" spans="1:10">
      <c r="A488" s="31">
        <f>VLOOKUP($C488,SKU!$A:$I,3,FALSE)</f>
        <v>10002</v>
      </c>
      <c r="B488" s="31" t="str">
        <f>VLOOKUP($C488,SKU!$A:$I,2,FALSE)</f>
        <v>MoonCard月卡《美少女战士》第三弹</v>
      </c>
      <c r="C488" s="34" t="s">
        <v>18</v>
      </c>
      <c r="D488" s="29">
        <v>5</v>
      </c>
      <c r="E488" s="31">
        <f>D488*VLOOKUP(A488,Nhập入库!A:N,8,FALSE)</f>
        <v>65</v>
      </c>
      <c r="G488" s="34" t="s">
        <v>422</v>
      </c>
      <c r="H488" s="34" t="s">
        <v>406</v>
      </c>
      <c r="I488" s="141" t="s">
        <v>478</v>
      </c>
      <c r="J488" s="133">
        <v>0.505555555555556</v>
      </c>
    </row>
    <row r="489" spans="1:10">
      <c r="A489" s="31">
        <f>VLOOKUP($C489,SKU!$A:$I,3,FALSE)</f>
        <v>10018</v>
      </c>
      <c r="B489" s="31" t="str">
        <f>VLOOKUP($C489,SKU!$A:$I,2,FALSE)</f>
        <v>圣月美少女战士星尘协奏曲长卡</v>
      </c>
      <c r="C489" s="34" t="s">
        <v>99</v>
      </c>
      <c r="D489" s="29">
        <v>5</v>
      </c>
      <c r="E489" s="31">
        <f>D489*VLOOKUP(A489,Nhập入库!A:N,8,FALSE)</f>
        <v>65</v>
      </c>
      <c r="G489" s="34" t="s">
        <v>422</v>
      </c>
      <c r="H489" s="34" t="s">
        <v>423</v>
      </c>
      <c r="I489" s="141" t="s">
        <v>478</v>
      </c>
      <c r="J489" s="133">
        <v>1.38888888888889</v>
      </c>
    </row>
    <row r="490" spans="1:10">
      <c r="A490" s="31">
        <f>VLOOKUP($C490,SKU!$A:$I,3,FALSE)</f>
        <v>10051</v>
      </c>
      <c r="B490" s="31" t="str">
        <f>VLOOKUP($C490,SKU!$A:$I,2,FALSE)</f>
        <v>南卡《魔卡少女樱》</v>
      </c>
      <c r="C490" s="29" t="s">
        <v>222</v>
      </c>
      <c r="D490" s="29">
        <v>4</v>
      </c>
      <c r="E490" s="31">
        <f>D490*VLOOKUP(A490,Nhập入库!A:N,8,FALSE)</f>
        <v>48</v>
      </c>
      <c r="G490" s="29" t="s">
        <v>477</v>
      </c>
      <c r="H490" s="29" t="s">
        <v>423</v>
      </c>
      <c r="I490" s="141" t="s">
        <v>478</v>
      </c>
      <c r="J490" s="133">
        <v>0.625</v>
      </c>
    </row>
    <row r="491" spans="1:10">
      <c r="A491" s="31">
        <f>VLOOKUP($C491,SKU!$A:$I,3,FALSE)</f>
        <v>10048</v>
      </c>
      <c r="B491" s="31" t="str">
        <f>VLOOKUP($C491,SKU!$A:$I,2,FALSE)</f>
        <v>奈良社《极昼漫游》美少女战士撕撕乐+异形小卡</v>
      </c>
      <c r="C491" s="34" t="s">
        <v>212</v>
      </c>
      <c r="D491" s="29">
        <v>9</v>
      </c>
      <c r="E491" s="31">
        <f>D491*VLOOKUP(A491,Nhập入库!A:N,8,FALSE)</f>
        <v>9</v>
      </c>
      <c r="G491" s="34" t="s">
        <v>426</v>
      </c>
      <c r="H491" s="34" t="s">
        <v>406</v>
      </c>
      <c r="I491" s="141" t="s">
        <v>478</v>
      </c>
      <c r="J491" s="133">
        <v>0.655555555555556</v>
      </c>
    </row>
    <row r="492" spans="1:10">
      <c r="A492" s="31">
        <f>VLOOKUP($C492,SKU!$A:$I,3,FALSE)</f>
        <v>10039</v>
      </c>
      <c r="B492" s="31" t="str">
        <f>VLOOKUP($C492,SKU!$A:$I,2,FALSE)</f>
        <v>非凡航海王第五弹</v>
      </c>
      <c r="C492" s="29" t="s">
        <v>184</v>
      </c>
      <c r="D492" s="29">
        <v>2</v>
      </c>
      <c r="E492" s="31">
        <f>D492*VLOOKUP(A492,Nhập入库!A:N,8,FALSE)</f>
        <v>40</v>
      </c>
      <c r="G492" s="29" t="s">
        <v>98</v>
      </c>
      <c r="H492" s="29" t="s">
        <v>424</v>
      </c>
      <c r="I492" s="141" t="s">
        <v>478</v>
      </c>
      <c r="J492" s="133">
        <v>0.563194444444444</v>
      </c>
    </row>
    <row r="493" spans="1:10">
      <c r="A493" s="31">
        <f>VLOOKUP($C493,SKU!$A:$I,3,FALSE)</f>
        <v>10025</v>
      </c>
      <c r="B493" s="31" t="str">
        <f>VLOOKUP($C493,SKU!$A:$I,2,FALSE)</f>
        <v>君屹文化耽美古风收藏新纪元《言辞忆梦》撕撕乐</v>
      </c>
      <c r="C493" s="29" t="s">
        <v>127</v>
      </c>
      <c r="E493" s="31">
        <f>D493*VLOOKUP(A493,Nhập入库!A:N,8,FALSE)</f>
        <v>0</v>
      </c>
      <c r="F493" s="29">
        <v>91</v>
      </c>
      <c r="G493" s="29" t="s">
        <v>130</v>
      </c>
      <c r="H493" s="29" t="s">
        <v>423</v>
      </c>
      <c r="I493" s="141" t="s">
        <v>478</v>
      </c>
      <c r="J493" s="133">
        <v>0.61875</v>
      </c>
    </row>
    <row r="494" spans="1:10">
      <c r="A494" s="31">
        <f>VLOOKUP($C494,SKU!$A:$I,3,FALSE)</f>
        <v>10051</v>
      </c>
      <c r="B494" s="31" t="str">
        <f>VLOOKUP($C494,SKU!$A:$I,2,FALSE)</f>
        <v>南卡《魔卡少女樱》</v>
      </c>
      <c r="C494" s="29" t="s">
        <v>222</v>
      </c>
      <c r="D494" s="29">
        <v>3</v>
      </c>
      <c r="E494" s="31">
        <f>D494*VLOOKUP(A494,Nhập入库!A:N,8,FALSE)</f>
        <v>36</v>
      </c>
      <c r="G494" s="29" t="s">
        <v>477</v>
      </c>
      <c r="H494" s="29" t="s">
        <v>424</v>
      </c>
      <c r="I494" s="141" t="s">
        <v>478</v>
      </c>
      <c r="J494" s="133">
        <v>0.546527777777778</v>
      </c>
    </row>
    <row r="495" spans="1:10">
      <c r="A495" s="31">
        <f>VLOOKUP($C495,SKU!$A:$I,3,FALSE)</f>
        <v>10051</v>
      </c>
      <c r="B495" s="31" t="str">
        <f>VLOOKUP($C495,SKU!$A:$I,2,FALSE)</f>
        <v>南卡《魔卡少女樱》</v>
      </c>
      <c r="C495" s="29" t="s">
        <v>222</v>
      </c>
      <c r="D495" s="29">
        <v>1</v>
      </c>
      <c r="E495" s="31">
        <f>D495*VLOOKUP(A495,Nhập入库!A:N,8,FALSE)</f>
        <v>12</v>
      </c>
      <c r="G495" s="29" t="s">
        <v>477</v>
      </c>
      <c r="H495" s="29" t="s">
        <v>424</v>
      </c>
      <c r="I495" s="141" t="s">
        <v>478</v>
      </c>
      <c r="J495" s="133">
        <v>0.546527777777778</v>
      </c>
    </row>
    <row r="496" spans="1:10">
      <c r="A496" s="31">
        <f>VLOOKUP($C496,SKU!$A:$I,3,FALSE)</f>
        <v>10051</v>
      </c>
      <c r="B496" s="31" t="str">
        <f>VLOOKUP($C496,SKU!$A:$I,2,FALSE)</f>
        <v>南卡《魔卡少女樱》</v>
      </c>
      <c r="C496" s="29" t="s">
        <v>222</v>
      </c>
      <c r="E496" s="31">
        <f>D496*VLOOKUP(A496,Nhập入库!A:N,8,FALSE)</f>
        <v>0</v>
      </c>
      <c r="F496" s="29">
        <v>26</v>
      </c>
      <c r="G496" s="29" t="s">
        <v>477</v>
      </c>
      <c r="H496" s="29" t="s">
        <v>424</v>
      </c>
      <c r="I496" s="141" t="s">
        <v>478</v>
      </c>
      <c r="J496" s="133">
        <v>0.546527777777778</v>
      </c>
    </row>
    <row r="497" spans="1:10">
      <c r="A497" s="31">
        <f>VLOOKUP($C497,SKU!$A:$I,3,FALSE)</f>
        <v>10042</v>
      </c>
      <c r="B497" s="31" t="str">
        <f>VLOOKUP($C497,SKU!$A:$I,2,FALSE)</f>
        <v>黄油小熊系列收藏卡第二弹 小熊的观察日记</v>
      </c>
      <c r="C497" s="34" t="s">
        <v>196</v>
      </c>
      <c r="D497" s="29">
        <v>5</v>
      </c>
      <c r="E497" s="31">
        <f>D497*VLOOKUP(A497,Nhập入库!A:N,8,FALSE)</f>
        <v>80</v>
      </c>
      <c r="G497" s="34" t="s">
        <v>78</v>
      </c>
      <c r="H497" s="34" t="s">
        <v>428</v>
      </c>
      <c r="I497" s="141" t="s">
        <v>478</v>
      </c>
      <c r="J497" s="133">
        <v>0.799305555555556</v>
      </c>
    </row>
    <row r="498" spans="1:10">
      <c r="A498" s="31">
        <f>VLOOKUP($C498,SKU!$A:$I,3,FALSE)</f>
        <v>10039</v>
      </c>
      <c r="B498" s="31" t="str">
        <f>VLOOKUP($C498,SKU!$A:$I,2,FALSE)</f>
        <v>非凡航海王第五弹</v>
      </c>
      <c r="C498" s="34" t="s">
        <v>184</v>
      </c>
      <c r="D498" s="29">
        <v>10</v>
      </c>
      <c r="E498" s="31">
        <f>D498*VLOOKUP(A498,Nhập入库!A:N,8,FALSE)</f>
        <v>200</v>
      </c>
      <c r="G498" s="34" t="s">
        <v>78</v>
      </c>
      <c r="H498" s="34" t="s">
        <v>428</v>
      </c>
      <c r="I498" s="141" t="s">
        <v>478</v>
      </c>
      <c r="J498" s="133">
        <v>0.799305555555556</v>
      </c>
    </row>
    <row r="499" spans="1:10">
      <c r="A499" s="31">
        <f>VLOOKUP($C499,SKU!$A:$I,3,FALSE)</f>
        <v>10033</v>
      </c>
      <c r="B499" s="31" t="str">
        <f>VLOOKUP($C499,SKU!$A:$I,2,FALSE)</f>
        <v>慕光文创「一千次心动」系列撕撕乐</v>
      </c>
      <c r="C499" s="34" t="s">
        <v>159</v>
      </c>
      <c r="E499" s="31">
        <f>D499*VLOOKUP(A499,Nhập入库!A:N,8,FALSE)</f>
        <v>0</v>
      </c>
      <c r="F499" s="29">
        <v>30</v>
      </c>
      <c r="G499" s="34" t="s">
        <v>433</v>
      </c>
      <c r="H499" s="34" t="s">
        <v>431</v>
      </c>
      <c r="I499" s="141" t="s">
        <v>478</v>
      </c>
      <c r="J499" s="133">
        <v>0.80625</v>
      </c>
    </row>
    <row r="500" spans="1:10">
      <c r="A500" s="31">
        <f>VLOOKUP($C500,SKU!$A:$I,3,FALSE)</f>
        <v>10039</v>
      </c>
      <c r="B500" s="31" t="str">
        <f>VLOOKUP($C500,SKU!$A:$I,2,FALSE)</f>
        <v>非凡航海王第五弹</v>
      </c>
      <c r="C500" s="34" t="s">
        <v>184</v>
      </c>
      <c r="D500" s="29">
        <v>5</v>
      </c>
      <c r="E500" s="31">
        <f>D500*VLOOKUP(A500,Nhập入库!A:N,8,FALSE)</f>
        <v>100</v>
      </c>
      <c r="G500" s="34" t="s">
        <v>433</v>
      </c>
      <c r="H500" s="34" t="s">
        <v>431</v>
      </c>
      <c r="I500" s="141" t="s">
        <v>478</v>
      </c>
      <c r="J500" s="133">
        <v>0.80625</v>
      </c>
    </row>
    <row r="501" spans="1:10">
      <c r="A501" s="31">
        <f>VLOOKUP($C501,SKU!$A:$I,3,FALSE)</f>
        <v>10051</v>
      </c>
      <c r="B501" s="31" t="str">
        <f>VLOOKUP($C501,SKU!$A:$I,2,FALSE)</f>
        <v>南卡《魔卡少女樱》</v>
      </c>
      <c r="C501" s="34" t="s">
        <v>222</v>
      </c>
      <c r="D501" s="29">
        <v>3</v>
      </c>
      <c r="E501" s="31">
        <f>D501*VLOOKUP(A501,Nhập入库!A:N,8,FALSE)</f>
        <v>36</v>
      </c>
      <c r="G501" s="29" t="s">
        <v>118</v>
      </c>
      <c r="H501" s="34" t="s">
        <v>423</v>
      </c>
      <c r="I501" s="141" t="s">
        <v>476</v>
      </c>
      <c r="J501" s="133">
        <v>0.639583333333333</v>
      </c>
    </row>
    <row r="502" spans="1:10">
      <c r="A502" s="31">
        <f>VLOOKUP($C502,SKU!$A:$I,3,FALSE)</f>
        <v>10039</v>
      </c>
      <c r="B502" s="31" t="str">
        <f>VLOOKUP($C502,SKU!$A:$I,2,FALSE)</f>
        <v>非凡航海王第五弹</v>
      </c>
      <c r="C502" s="34" t="s">
        <v>184</v>
      </c>
      <c r="D502" s="29">
        <v>5</v>
      </c>
      <c r="E502" s="31">
        <f>D502*VLOOKUP(A502,Nhập入库!A:N,8,FALSE)</f>
        <v>100</v>
      </c>
      <c r="G502" s="34" t="s">
        <v>122</v>
      </c>
      <c r="H502" s="34" t="s">
        <v>423</v>
      </c>
      <c r="I502" s="141" t="s">
        <v>478</v>
      </c>
      <c r="J502" s="133">
        <v>0.639583333333333</v>
      </c>
    </row>
    <row r="503" spans="1:10">
      <c r="A503" s="31">
        <f>VLOOKUP($C503,SKU!$A:$I,3,FALSE)</f>
        <v>10051</v>
      </c>
      <c r="B503" s="31" t="str">
        <f>VLOOKUP($C503,SKU!$A:$I,2,FALSE)</f>
        <v>南卡《魔卡少女樱》</v>
      </c>
      <c r="C503" s="34" t="s">
        <v>222</v>
      </c>
      <c r="E503" s="31">
        <f>D503*VLOOKUP(A503,Nhập入库!A:N,8,FALSE)</f>
        <v>0</v>
      </c>
      <c r="F503" s="29">
        <v>24</v>
      </c>
      <c r="G503" s="34" t="s">
        <v>98</v>
      </c>
      <c r="H503" s="34" t="s">
        <v>423</v>
      </c>
      <c r="I503" s="141" t="s">
        <v>479</v>
      </c>
      <c r="J503" s="133">
        <v>0.639583333333333</v>
      </c>
    </row>
    <row r="504" spans="1:10">
      <c r="A504" s="31">
        <f>VLOOKUP($C504,SKU!$A:$I,3,FALSE)</f>
        <v>10051</v>
      </c>
      <c r="B504" s="31" t="str">
        <f>VLOOKUP($C504,SKU!$A:$I,2,FALSE)</f>
        <v>南卡《魔卡少女樱》</v>
      </c>
      <c r="C504" s="34" t="s">
        <v>222</v>
      </c>
      <c r="D504" s="29">
        <v>1</v>
      </c>
      <c r="E504" s="31">
        <f>D504*VLOOKUP(A504,Nhập入库!A:N,8,FALSE)</f>
        <v>12</v>
      </c>
      <c r="G504" s="34" t="s">
        <v>138</v>
      </c>
      <c r="H504" s="34" t="s">
        <v>423</v>
      </c>
      <c r="I504" s="141" t="s">
        <v>479</v>
      </c>
      <c r="J504" s="133">
        <v>0.639583333333333</v>
      </c>
    </row>
    <row r="505" spans="1:10">
      <c r="A505" s="31">
        <f>VLOOKUP($C505,SKU!$A:$I,3,FALSE)</f>
        <v>10018</v>
      </c>
      <c r="B505" s="31" t="str">
        <f>VLOOKUP($C505,SKU!$A:$I,2,FALSE)</f>
        <v>圣月美少女战士星尘协奏曲长卡</v>
      </c>
      <c r="C505" s="34" t="s">
        <v>99</v>
      </c>
      <c r="D505" s="29">
        <v>2</v>
      </c>
      <c r="E505" s="31">
        <f>D505*VLOOKUP(A505,Nhập入库!A:N,8,FALSE)</f>
        <v>26</v>
      </c>
      <c r="G505" s="34" t="s">
        <v>138</v>
      </c>
      <c r="H505" s="34" t="s">
        <v>423</v>
      </c>
      <c r="I505" s="141" t="s">
        <v>479</v>
      </c>
      <c r="J505" s="133">
        <v>0.639583333333333</v>
      </c>
    </row>
    <row r="506" spans="1:10">
      <c r="A506" s="31">
        <f>VLOOKUP($C506,SKU!$A:$I,3,FALSE)</f>
        <v>10043</v>
      </c>
      <c r="B506" s="31" t="str">
        <f>VLOOKUP($C506,SKU!$A:$I,2,FALSE)</f>
        <v>光恋XR-披荆斩棘-美少女战士</v>
      </c>
      <c r="C506" s="34" t="s">
        <v>199</v>
      </c>
      <c r="D506" s="29">
        <v>2</v>
      </c>
      <c r="E506" s="31">
        <f>D506*VLOOKUP(A506,Nhập入库!A:N,8,FALSE)</f>
        <v>26</v>
      </c>
      <c r="G506" s="34" t="s">
        <v>138</v>
      </c>
      <c r="H506" s="34" t="s">
        <v>423</v>
      </c>
      <c r="I506" s="141" t="s">
        <v>479</v>
      </c>
      <c r="J506" s="133">
        <v>0.639583333333333</v>
      </c>
    </row>
    <row r="507" spans="1:10">
      <c r="A507" s="31">
        <f>VLOOKUP($C507,SKU!$A:$I,3,FALSE)</f>
        <v>10039</v>
      </c>
      <c r="B507" s="31" t="str">
        <f>VLOOKUP($C507,SKU!$A:$I,2,FALSE)</f>
        <v>非凡航海王第五弹</v>
      </c>
      <c r="C507" s="34" t="s">
        <v>184</v>
      </c>
      <c r="D507" s="29">
        <v>4</v>
      </c>
      <c r="E507" s="31">
        <f>D507*VLOOKUP(A507,Nhập入库!A:N,8,FALSE)</f>
        <v>80</v>
      </c>
      <c r="G507" s="34" t="s">
        <v>138</v>
      </c>
      <c r="H507" s="34" t="s">
        <v>423</v>
      </c>
      <c r="I507" s="141" t="s">
        <v>479</v>
      </c>
      <c r="J507" s="133">
        <v>0.639583333333333</v>
      </c>
    </row>
    <row r="508" spans="1:10">
      <c r="A508" s="31">
        <f>VLOOKUP($C508,SKU!$A:$I,3,FALSE)</f>
        <v>10014</v>
      </c>
      <c r="B508" s="31" t="str">
        <f>VLOOKUP($C508,SKU!$A:$I,2,FALSE)</f>
        <v>星梦文创-Studio Ghibli宫崎骏撕撕乐系列 </v>
      </c>
      <c r="C508" s="34" t="s">
        <v>83</v>
      </c>
      <c r="D508" s="29">
        <v>10</v>
      </c>
      <c r="E508" s="31">
        <f>D508*VLOOKUP(A508,Nhập入库!A:N,8,FALSE)</f>
        <v>30</v>
      </c>
      <c r="G508" s="34" t="s">
        <v>138</v>
      </c>
      <c r="H508" s="34" t="s">
        <v>423</v>
      </c>
      <c r="I508" s="141" t="s">
        <v>479</v>
      </c>
      <c r="J508" s="133">
        <v>0.639583333333333</v>
      </c>
    </row>
    <row r="509" spans="1:10">
      <c r="A509" s="31">
        <f>VLOOKUP($C509,SKU!$A:$I,3,FALSE)</f>
        <v>10051</v>
      </c>
      <c r="B509" s="31" t="str">
        <f>VLOOKUP($C509,SKU!$A:$I,2,FALSE)</f>
        <v>南卡《魔卡少女樱》</v>
      </c>
      <c r="C509" s="34" t="s">
        <v>222</v>
      </c>
      <c r="E509" s="31">
        <f>D509*VLOOKUP(A509,Nhập入库!A:N,8,FALSE)</f>
        <v>0</v>
      </c>
      <c r="F509" s="29">
        <v>48</v>
      </c>
      <c r="G509" s="34" t="s">
        <v>134</v>
      </c>
      <c r="H509" s="34" t="s">
        <v>423</v>
      </c>
      <c r="I509" s="141" t="s">
        <v>479</v>
      </c>
      <c r="J509" s="133">
        <v>0.639583333333333</v>
      </c>
    </row>
    <row r="510" spans="1:10">
      <c r="A510" s="31">
        <f>VLOOKUP($C510,SKU!$A:$I,3,FALSE)</f>
        <v>10018</v>
      </c>
      <c r="B510" s="31" t="str">
        <f>VLOOKUP($C510,SKU!$A:$I,2,FALSE)</f>
        <v>圣月美少女战士星尘协奏曲长卡</v>
      </c>
      <c r="C510" s="34" t="s">
        <v>99</v>
      </c>
      <c r="D510" s="29">
        <v>2</v>
      </c>
      <c r="E510" s="31">
        <f>D510*VLOOKUP(A510,Nhập入库!A:N,8,FALSE)</f>
        <v>26</v>
      </c>
      <c r="G510" s="34" t="s">
        <v>134</v>
      </c>
      <c r="H510" s="34" t="s">
        <v>423</v>
      </c>
      <c r="I510" s="141" t="s">
        <v>479</v>
      </c>
      <c r="J510" s="133">
        <v>0.639583333333333</v>
      </c>
    </row>
    <row r="511" spans="1:10">
      <c r="A511" s="31">
        <f>VLOOKUP($C511,SKU!$A:$I,3,FALSE)</f>
        <v>10035</v>
      </c>
      <c r="B511" s="31" t="str">
        <f>VLOOKUP($C511,SKU!$A:$I,2,FALSE)</f>
        <v>KK CARD × 新海诚系列第一弹</v>
      </c>
      <c r="C511" s="34" t="s">
        <v>167</v>
      </c>
      <c r="D511" s="29">
        <v>1</v>
      </c>
      <c r="E511" s="31">
        <f>D511*VLOOKUP(A511,Nhập入库!A:N,8,FALSE)</f>
        <v>14</v>
      </c>
      <c r="G511" s="34" t="s">
        <v>134</v>
      </c>
      <c r="H511" s="34" t="s">
        <v>423</v>
      </c>
      <c r="I511" s="141" t="s">
        <v>479</v>
      </c>
      <c r="J511" s="133">
        <v>0.639583333333333</v>
      </c>
    </row>
    <row r="512" spans="1:10">
      <c r="A512" s="31">
        <f>VLOOKUP($C512,SKU!$A:$I,3,FALSE)</f>
        <v>10023</v>
      </c>
      <c r="B512" s="31" t="str">
        <f>VLOOKUP($C512,SKU!$A:$I,2,FALSE)</f>
        <v>风信文创尘世相逢之约星光来信原神邮票第一弹</v>
      </c>
      <c r="C512" s="34" t="s">
        <v>119</v>
      </c>
      <c r="D512" s="34"/>
      <c r="E512" s="31">
        <f>D512*VLOOKUP(A512,Nhập入库!A:N,8,FALSE)</f>
        <v>0</v>
      </c>
      <c r="F512" s="29">
        <v>10</v>
      </c>
      <c r="G512" s="29" t="s">
        <v>426</v>
      </c>
      <c r="H512" s="29" t="s">
        <v>424</v>
      </c>
      <c r="I512" s="141" t="s">
        <v>479</v>
      </c>
      <c r="J512" s="133">
        <v>0.452083333333333</v>
      </c>
    </row>
    <row r="513" spans="1:10">
      <c r="A513" s="31">
        <f>VLOOKUP($C513,SKU!$A:$I,3,FALSE)</f>
        <v>10048</v>
      </c>
      <c r="B513" s="31" t="str">
        <f>VLOOKUP($C513,SKU!$A:$I,2,FALSE)</f>
        <v>奈良社《极昼漫游》美少女战士撕撕乐+异形小卡</v>
      </c>
      <c r="C513" s="34" t="s">
        <v>212</v>
      </c>
      <c r="D513" s="29">
        <v>3</v>
      </c>
      <c r="E513" s="31">
        <f>D513*VLOOKUP(A513,Nhập入库!A:N,8,FALSE)</f>
        <v>3</v>
      </c>
      <c r="G513" s="34" t="s">
        <v>426</v>
      </c>
      <c r="H513" s="34" t="s">
        <v>406</v>
      </c>
      <c r="I513" s="141" t="s">
        <v>479</v>
      </c>
      <c r="J513" s="133">
        <v>0.655555555555556</v>
      </c>
    </row>
    <row r="514" spans="1:10">
      <c r="A514" s="31">
        <f>VLOOKUP($C514,SKU!$A:$I,3,FALSE)</f>
        <v>10051</v>
      </c>
      <c r="B514" s="31" t="str">
        <f>VLOOKUP($C514,SKU!$A:$I,2,FALSE)</f>
        <v>南卡《魔卡少女樱》</v>
      </c>
      <c r="C514" s="29" t="s">
        <v>222</v>
      </c>
      <c r="D514" s="29">
        <v>1</v>
      </c>
      <c r="E514" s="31">
        <f>D514*VLOOKUP(A514,Nhập入库!A:N,8,FALSE)</f>
        <v>12</v>
      </c>
      <c r="F514" s="29">
        <v>26</v>
      </c>
      <c r="G514" s="29" t="s">
        <v>98</v>
      </c>
      <c r="H514" s="29" t="s">
        <v>424</v>
      </c>
      <c r="I514" s="141" t="s">
        <v>479</v>
      </c>
      <c r="J514" s="133">
        <v>0.6375</v>
      </c>
    </row>
    <row r="515" spans="1:10">
      <c r="A515" s="31">
        <f>VLOOKUP($C515,SKU!$A:$I,3,FALSE)</f>
        <v>10051</v>
      </c>
      <c r="B515" s="31" t="str">
        <f>VLOOKUP($C515,SKU!$A:$I,2,FALSE)</f>
        <v>南卡《魔卡少女樱》</v>
      </c>
      <c r="C515" s="29" t="s">
        <v>222</v>
      </c>
      <c r="E515" s="31">
        <f>D515*VLOOKUP(A515,Nhập入库!A:N,8,FALSE)</f>
        <v>0</v>
      </c>
      <c r="F515" s="29">
        <v>50</v>
      </c>
      <c r="G515" s="29" t="s">
        <v>98</v>
      </c>
      <c r="H515" s="29" t="s">
        <v>424</v>
      </c>
      <c r="I515" s="141" t="s">
        <v>479</v>
      </c>
      <c r="J515" s="133">
        <v>0.6375</v>
      </c>
    </row>
    <row r="516" spans="1:10">
      <c r="A516" s="31">
        <f>VLOOKUP($C516,SKU!$A:$I,3,FALSE)</f>
        <v>10039</v>
      </c>
      <c r="B516" s="31" t="str">
        <f>VLOOKUP($C516,SKU!$A:$I,2,FALSE)</f>
        <v>非凡航海王第五弹</v>
      </c>
      <c r="C516" s="29" t="s">
        <v>184</v>
      </c>
      <c r="E516" s="31">
        <f>D516*VLOOKUP(A516,Nhập入库!A:N,8,FALSE)</f>
        <v>0</v>
      </c>
      <c r="F516" s="29">
        <v>54</v>
      </c>
      <c r="G516" s="29" t="s">
        <v>98</v>
      </c>
      <c r="H516" s="29" t="s">
        <v>424</v>
      </c>
      <c r="I516" s="141" t="s">
        <v>479</v>
      </c>
      <c r="J516" s="133">
        <v>0.6375</v>
      </c>
    </row>
    <row r="517" spans="1:10">
      <c r="A517" s="31">
        <f>VLOOKUP($C517,SKU!$A:$I,3,FALSE)</f>
        <v>10033</v>
      </c>
      <c r="B517" s="31" t="str">
        <f>VLOOKUP($C517,SKU!$A:$I,2,FALSE)</f>
        <v>慕光文创「一千次心动」系列撕撕乐</v>
      </c>
      <c r="C517" s="29" t="s">
        <v>159</v>
      </c>
      <c r="E517" s="31">
        <f>D517*VLOOKUP(A517,Nhập入库!A:N,8,FALSE)</f>
        <v>0</v>
      </c>
      <c r="F517" s="29">
        <v>10</v>
      </c>
      <c r="G517" s="29" t="s">
        <v>130</v>
      </c>
      <c r="H517" s="29" t="s">
        <v>424</v>
      </c>
      <c r="I517" s="141" t="s">
        <v>479</v>
      </c>
      <c r="J517" s="133">
        <v>0.618055555555556</v>
      </c>
    </row>
    <row r="518" spans="1:10">
      <c r="A518" s="31">
        <f>VLOOKUP($C518,SKU!$A:$I,3,FALSE)</f>
        <v>10051</v>
      </c>
      <c r="B518" s="31" t="str">
        <f>VLOOKUP($C518,SKU!$A:$I,2,FALSE)</f>
        <v>南卡《魔卡少女樱》</v>
      </c>
      <c r="C518" s="34" t="s">
        <v>222</v>
      </c>
      <c r="E518" s="31">
        <f>D518*VLOOKUP(A518,Nhập入库!A:N,8,FALSE)</f>
        <v>0</v>
      </c>
      <c r="F518" s="29">
        <v>113</v>
      </c>
      <c r="G518" s="34" t="s">
        <v>430</v>
      </c>
      <c r="H518" s="34" t="s">
        <v>431</v>
      </c>
      <c r="I518" s="141" t="s">
        <v>479</v>
      </c>
      <c r="J518" s="133">
        <v>0.813194444444444</v>
      </c>
    </row>
    <row r="519" spans="1:10">
      <c r="A519" s="31">
        <f>VLOOKUP($C519,SKU!$A:$I,3,FALSE)</f>
        <v>10033</v>
      </c>
      <c r="B519" s="31" t="str">
        <f>VLOOKUP($C519,SKU!$A:$I,2,FALSE)</f>
        <v>慕光文创「一千次心动」系列撕撕乐</v>
      </c>
      <c r="C519" s="29" t="s">
        <v>159</v>
      </c>
      <c r="E519" s="31">
        <f>D519*VLOOKUP(A519,Nhập入库!A:N,8,FALSE)</f>
        <v>0</v>
      </c>
      <c r="F519" s="29">
        <v>20</v>
      </c>
      <c r="G519" s="29" t="s">
        <v>433</v>
      </c>
      <c r="H519" s="29" t="s">
        <v>431</v>
      </c>
      <c r="I519" s="141" t="s">
        <v>479</v>
      </c>
      <c r="J519" s="133">
        <v>0.854861111111111</v>
      </c>
    </row>
    <row r="520" spans="1:10">
      <c r="A520" s="31">
        <f>VLOOKUP($C520,SKU!$A:$I,3,FALSE)</f>
        <v>10056</v>
      </c>
      <c r="B520" s="31" t="str">
        <f>VLOOKUP($C520,SKU!$A:$I,2,FALSE)</f>
        <v>集卡社天官赐福动画周年纪念版</v>
      </c>
      <c r="C520" s="34" t="s">
        <v>238</v>
      </c>
      <c r="D520" s="29">
        <v>5</v>
      </c>
      <c r="E520" s="31">
        <f>D520*VLOOKUP(A520,Nhập入库!A:N,8,FALSE)</f>
        <v>50</v>
      </c>
      <c r="G520" s="34" t="s">
        <v>422</v>
      </c>
      <c r="H520" s="34" t="s">
        <v>423</v>
      </c>
      <c r="I520" s="141" t="s">
        <v>479</v>
      </c>
      <c r="J520" s="133">
        <v>0.49375</v>
      </c>
    </row>
    <row r="521" spans="1:10">
      <c r="A521" s="31">
        <f>VLOOKUP($C521,SKU!$A:$I,3,FALSE)</f>
        <v>10058</v>
      </c>
      <c r="B521" s="31" t="str">
        <f>VLOOKUP($C521,SKU!$A:$I,2,FALSE)</f>
        <v>三丽鸥家族hello kitty梦境巡礼</v>
      </c>
      <c r="C521" s="34" t="s">
        <v>244</v>
      </c>
      <c r="D521" s="29">
        <v>5</v>
      </c>
      <c r="E521" s="31">
        <f>D521*VLOOKUP(A521,Nhập入库!A:N,8,FALSE)</f>
        <v>75</v>
      </c>
      <c r="G521" s="34" t="s">
        <v>422</v>
      </c>
      <c r="H521" s="34" t="s">
        <v>423</v>
      </c>
      <c r="I521" s="141" t="s">
        <v>479</v>
      </c>
      <c r="J521" s="133">
        <v>0.500694444444444</v>
      </c>
    </row>
    <row r="522" spans="1:10">
      <c r="A522" s="31">
        <f>VLOOKUP($C522,SKU!$A:$I,3,FALSE)</f>
        <v>10060</v>
      </c>
      <c r="B522" s="31" t="str">
        <f>VLOOKUP($C522,SKU!$A:$I,2,FALSE)</f>
        <v>漫の森《宫崎骏第三弹·奇幻之旅》</v>
      </c>
      <c r="C522" s="34" t="s">
        <v>249</v>
      </c>
      <c r="D522" s="29">
        <v>5</v>
      </c>
      <c r="E522" s="31">
        <f>D522*VLOOKUP(A522,Nhập入库!A:N,8,FALSE)</f>
        <v>65</v>
      </c>
      <c r="G522" s="34" t="s">
        <v>432</v>
      </c>
      <c r="H522" s="34" t="s">
        <v>406</v>
      </c>
      <c r="I522" s="141" t="s">
        <v>479</v>
      </c>
      <c r="J522" s="133">
        <v>0.511111111111111</v>
      </c>
    </row>
    <row r="523" spans="1:10">
      <c r="A523" s="31">
        <f>VLOOKUP($C523,SKU!$A:$I,3,FALSE)</f>
        <v>10057</v>
      </c>
      <c r="B523" s="31" t="str">
        <f>VLOOKUP($C523,SKU!$A:$I,2,FALSE)</f>
        <v>三丽鸥家族暖冬</v>
      </c>
      <c r="C523" s="34" t="s">
        <v>241</v>
      </c>
      <c r="D523" s="29">
        <v>3</v>
      </c>
      <c r="E523" s="31">
        <f>D523*VLOOKUP(A523,Nhập入库!A:N,8,FALSE)</f>
        <v>30</v>
      </c>
      <c r="G523" s="34" t="s">
        <v>426</v>
      </c>
      <c r="H523" s="34" t="s">
        <v>406</v>
      </c>
      <c r="I523" s="141" t="s">
        <v>479</v>
      </c>
      <c r="J523" s="133">
        <v>0.511111111111111</v>
      </c>
    </row>
    <row r="524" spans="1:10">
      <c r="A524" s="31">
        <f>VLOOKUP($C524,SKU!$A:$I,3,FALSE)</f>
        <v>10057</v>
      </c>
      <c r="B524" s="31" t="str">
        <f>VLOOKUP($C524,SKU!$A:$I,2,FALSE)</f>
        <v>三丽鸥家族暖冬</v>
      </c>
      <c r="C524" s="34" t="s">
        <v>241</v>
      </c>
      <c r="D524" s="29">
        <v>5</v>
      </c>
      <c r="E524" s="31">
        <f>D524*VLOOKUP(A524,Nhập入库!A:N,8,FALSE)</f>
        <v>50</v>
      </c>
      <c r="G524" s="34" t="s">
        <v>422</v>
      </c>
      <c r="H524" s="34" t="s">
        <v>406</v>
      </c>
      <c r="I524" s="141" t="s">
        <v>479</v>
      </c>
      <c r="J524" s="133">
        <v>0.511111111111111</v>
      </c>
    </row>
    <row r="525" spans="1:10">
      <c r="A525" s="31">
        <f>VLOOKUP($C525,SKU!$A:$I,3,FALSE)</f>
        <v>10058</v>
      </c>
      <c r="B525" s="31" t="str">
        <f>VLOOKUP($C525,SKU!$A:$I,2,FALSE)</f>
        <v>三丽鸥家族hello kitty梦境巡礼</v>
      </c>
      <c r="C525" s="34" t="s">
        <v>244</v>
      </c>
      <c r="D525" s="29">
        <v>6</v>
      </c>
      <c r="E525" s="31">
        <f>D525*VLOOKUP(A525,Nhập入库!A:N,8,FALSE)</f>
        <v>90</v>
      </c>
      <c r="G525" s="34" t="s">
        <v>422</v>
      </c>
      <c r="H525" s="34" t="s">
        <v>406</v>
      </c>
      <c r="I525" s="141" t="s">
        <v>479</v>
      </c>
      <c r="J525" s="133">
        <v>0.500694444444444</v>
      </c>
    </row>
    <row r="526" spans="1:10">
      <c r="A526" s="31">
        <f>VLOOKUP($C526,SKU!$A:$I,3,FALSE)</f>
        <v>10056</v>
      </c>
      <c r="B526" s="31" t="str">
        <f>VLOOKUP($C526,SKU!$A:$I,2,FALSE)</f>
        <v>集卡社天官赐福动画周年纪念版</v>
      </c>
      <c r="C526" s="34" t="s">
        <v>238</v>
      </c>
      <c r="D526" s="29">
        <v>5</v>
      </c>
      <c r="E526" s="31">
        <f>D526*VLOOKUP(A526,Nhập入库!A:N,8,FALSE)</f>
        <v>50</v>
      </c>
      <c r="G526" s="34" t="s">
        <v>422</v>
      </c>
      <c r="H526" s="34" t="s">
        <v>406</v>
      </c>
      <c r="I526" s="141" t="s">
        <v>479</v>
      </c>
      <c r="J526" s="133">
        <v>0.511111111111111</v>
      </c>
    </row>
    <row r="527" spans="1:10">
      <c r="A527" s="31">
        <f>VLOOKUP($C527,SKU!$A:$I,3,FALSE)</f>
        <v>10056</v>
      </c>
      <c r="B527" s="31" t="str">
        <f>VLOOKUP($C527,SKU!$A:$I,2,FALSE)</f>
        <v>集卡社天官赐福动画周年纪念版</v>
      </c>
      <c r="C527" s="34" t="s">
        <v>238</v>
      </c>
      <c r="D527" s="29">
        <v>5</v>
      </c>
      <c r="E527" s="31">
        <f>D527*VLOOKUP(A527,Nhập入库!A:N,8,FALSE)</f>
        <v>50</v>
      </c>
      <c r="G527" s="34" t="s">
        <v>422</v>
      </c>
      <c r="H527" s="34" t="s">
        <v>406</v>
      </c>
      <c r="I527" s="141" t="s">
        <v>479</v>
      </c>
      <c r="J527" s="133">
        <v>0.6</v>
      </c>
    </row>
    <row r="528" spans="1:10">
      <c r="A528" s="31">
        <f>VLOOKUP($C528,SKU!$A:$I,3,FALSE)</f>
        <v>10060</v>
      </c>
      <c r="B528" s="31" t="str">
        <f>VLOOKUP($C528,SKU!$A:$I,2,FALSE)</f>
        <v>漫の森《宫崎骏第三弹·奇幻之旅》</v>
      </c>
      <c r="C528" s="34" t="s">
        <v>249</v>
      </c>
      <c r="D528" s="29">
        <v>6</v>
      </c>
      <c r="E528" s="31">
        <f>D528*VLOOKUP(A528,Nhập入库!A:N,8,FALSE)</f>
        <v>78</v>
      </c>
      <c r="G528" s="34" t="s">
        <v>432</v>
      </c>
      <c r="H528" s="34" t="s">
        <v>406</v>
      </c>
      <c r="I528" s="141" t="s">
        <v>480</v>
      </c>
      <c r="J528" s="133">
        <v>0.476388888888889</v>
      </c>
    </row>
    <row r="529" spans="1:10">
      <c r="A529" s="31">
        <f>VLOOKUP($C529,SKU!$A:$I,3,FALSE)</f>
        <v>10035</v>
      </c>
      <c r="B529" s="31" t="str">
        <f>VLOOKUP($C529,SKU!$A:$I,2,FALSE)</f>
        <v>KK CARD × 新海诚系列第一弹</v>
      </c>
      <c r="C529" s="34" t="s">
        <v>167</v>
      </c>
      <c r="D529" s="29">
        <v>6</v>
      </c>
      <c r="E529" s="31">
        <f>D529*VLOOKUP(A529,Nhập入库!A:N,8,FALSE)</f>
        <v>84</v>
      </c>
      <c r="G529" s="34" t="s">
        <v>432</v>
      </c>
      <c r="H529" s="34" t="s">
        <v>406</v>
      </c>
      <c r="I529" s="141" t="s">
        <v>480</v>
      </c>
      <c r="J529" s="133">
        <v>0.517361111111111</v>
      </c>
    </row>
    <row r="530" spans="1:10">
      <c r="A530" s="31">
        <f>VLOOKUP($C530,SKU!$A:$I,3,FALSE)</f>
        <v>10043</v>
      </c>
      <c r="B530" s="31" t="str">
        <f>VLOOKUP($C530,SKU!$A:$I,2,FALSE)</f>
        <v>光恋XR-披荆斩棘-美少女战士</v>
      </c>
      <c r="C530" s="34" t="s">
        <v>199</v>
      </c>
      <c r="D530" s="29">
        <v>5</v>
      </c>
      <c r="E530" s="31">
        <f>D530*VLOOKUP(A530,Nhập入库!A:N,8,FALSE)</f>
        <v>65</v>
      </c>
      <c r="G530" s="34" t="s">
        <v>422</v>
      </c>
      <c r="H530" s="34" t="s">
        <v>406</v>
      </c>
      <c r="I530" s="141" t="s">
        <v>479</v>
      </c>
      <c r="J530" s="133">
        <v>0.597916666666667</v>
      </c>
    </row>
    <row r="531" spans="1:10">
      <c r="A531" s="31">
        <f>VLOOKUP($C531,SKU!$A:$I,3,FALSE)</f>
        <v>10051</v>
      </c>
      <c r="B531" s="31" t="str">
        <f>VLOOKUP($C531,SKU!$A:$I,2,FALSE)</f>
        <v>南卡《魔卡少女樱》</v>
      </c>
      <c r="C531" s="34" t="s">
        <v>222</v>
      </c>
      <c r="E531" s="31">
        <f>D531*VLOOKUP(A531,Nhập入库!A:N,8,FALSE)</f>
        <v>0</v>
      </c>
      <c r="F531" s="29">
        <v>3</v>
      </c>
      <c r="G531" s="34" t="s">
        <v>138</v>
      </c>
      <c r="H531" s="34" t="s">
        <v>406</v>
      </c>
      <c r="I531" s="141" t="s">
        <v>479</v>
      </c>
      <c r="J531" s="133">
        <v>0.597916666666667</v>
      </c>
    </row>
    <row r="532" spans="1:10">
      <c r="A532" s="31">
        <f>VLOOKUP($C532,SKU!$A:$I,3,FALSE)</f>
        <v>10046</v>
      </c>
      <c r="B532" s="31" t="str">
        <f>VLOOKUP($C532,SKU!$A:$I,2,FALSE)</f>
        <v>夜灯</v>
      </c>
      <c r="C532" s="34" t="s">
        <v>207</v>
      </c>
      <c r="D532" s="29">
        <v>1</v>
      </c>
      <c r="E532" s="31">
        <f>D532*VLOOKUP(A532,Nhập入库!A:N,8,FALSE)</f>
        <v>1</v>
      </c>
      <c r="G532" s="34" t="s">
        <v>422</v>
      </c>
      <c r="H532" s="34" t="s">
        <v>406</v>
      </c>
      <c r="I532" s="141" t="s">
        <v>480</v>
      </c>
      <c r="J532" s="133">
        <v>0.661111111111111</v>
      </c>
    </row>
    <row r="533" spans="1:10">
      <c r="A533" s="31">
        <f>VLOOKUP($C533,SKU!$A:$I,3,FALSE)</f>
        <v>10048</v>
      </c>
      <c r="B533" s="31" t="str">
        <f>VLOOKUP($C533,SKU!$A:$I,2,FALSE)</f>
        <v>奈良社《极昼漫游》美少女战士撕撕乐+异形小卡</v>
      </c>
      <c r="C533" s="34" t="s">
        <v>212</v>
      </c>
      <c r="D533" s="29">
        <v>10</v>
      </c>
      <c r="E533" s="31">
        <f>D533*VLOOKUP(A533,Nhập入库!A:N,8,FALSE)</f>
        <v>10</v>
      </c>
      <c r="G533" s="34" t="s">
        <v>134</v>
      </c>
      <c r="H533" s="34" t="s">
        <v>408</v>
      </c>
      <c r="I533" s="141" t="s">
        <v>478</v>
      </c>
      <c r="J533" s="133"/>
    </row>
    <row r="534" spans="1:10">
      <c r="A534" s="31">
        <f>VLOOKUP($C534,SKU!$A:$I,3,FALSE)</f>
        <v>10002</v>
      </c>
      <c r="B534" s="31" t="str">
        <f>VLOOKUP($C534,SKU!$A:$I,2,FALSE)</f>
        <v>MoonCard月卡《美少女战士》第三弹</v>
      </c>
      <c r="C534" s="29" t="s">
        <v>18</v>
      </c>
      <c r="D534" s="29">
        <v>1</v>
      </c>
      <c r="E534" s="31">
        <f>D534*VLOOKUP(A534,Nhập入库!A:N,8,FALSE)</f>
        <v>13</v>
      </c>
      <c r="G534" s="29" t="s">
        <v>130</v>
      </c>
      <c r="H534" s="29" t="s">
        <v>424</v>
      </c>
      <c r="I534" s="141" t="s">
        <v>478</v>
      </c>
      <c r="J534" s="133">
        <v>0.702777777777778</v>
      </c>
    </row>
    <row r="535" spans="1:10">
      <c r="A535" s="31">
        <f>VLOOKUP($C535,SKU!$A:$I,3,FALSE)</f>
        <v>10059</v>
      </c>
      <c r="B535" s="31" t="str">
        <f>VLOOKUP($C535,SKU!$A:$I,2,FALSE)</f>
        <v>鬼灭之刃·炽阳文创《未眠之夜 》限定双闪色纸</v>
      </c>
      <c r="C535" s="29" t="s">
        <v>246</v>
      </c>
      <c r="D535" s="29">
        <v>90</v>
      </c>
      <c r="E535" s="31">
        <f>D535*VLOOKUP(A535,Nhập入库!A:N,8,FALSE)</f>
        <v>90</v>
      </c>
      <c r="G535" s="29" t="s">
        <v>429</v>
      </c>
      <c r="H535" s="29" t="s">
        <v>428</v>
      </c>
      <c r="I535" s="141" t="s">
        <v>479</v>
      </c>
      <c r="J535" s="133">
        <v>0.708333333333333</v>
      </c>
    </row>
    <row r="536" spans="1:10">
      <c r="A536" s="31">
        <f>VLOOKUP($C536,SKU!$A:$I,3,FALSE)</f>
        <v>10059</v>
      </c>
      <c r="B536" s="31" t="str">
        <f>VLOOKUP($C536,SKU!$A:$I,2,FALSE)</f>
        <v>鬼灭之刃·炽阳文创《未眠之夜 》限定双闪色纸</v>
      </c>
      <c r="C536" s="34" t="s">
        <v>246</v>
      </c>
      <c r="D536" s="29">
        <v>1</v>
      </c>
      <c r="E536" s="31">
        <f>D536*VLOOKUP(A536,Nhập入库!A:N,8,FALSE)</f>
        <v>1</v>
      </c>
      <c r="G536" s="34" t="s">
        <v>78</v>
      </c>
      <c r="H536" s="34" t="s">
        <v>428</v>
      </c>
      <c r="I536" s="141" t="s">
        <v>479</v>
      </c>
      <c r="J536" s="133">
        <v>0.744444444444444</v>
      </c>
    </row>
    <row r="537" spans="1:10">
      <c r="A537" s="31">
        <f>VLOOKUP($C537,SKU!$A:$I,3,FALSE)</f>
        <v>10055</v>
      </c>
      <c r="B537" s="31" t="str">
        <f>VLOOKUP($C537,SKU!$A:$I,2,FALSE)</f>
        <v>绘卷文创 - 梦境入画【鬼灭之刃系列收藏卡砖】</v>
      </c>
      <c r="C537" s="34" t="s">
        <v>234</v>
      </c>
      <c r="D537" s="29">
        <v>5</v>
      </c>
      <c r="E537" s="31">
        <f>D537*VLOOKUP(A537,Nhập入库!A:N,8,FALSE)</f>
        <v>25</v>
      </c>
      <c r="G537" s="34" t="s">
        <v>429</v>
      </c>
      <c r="H537" s="34" t="s">
        <v>428</v>
      </c>
      <c r="I537" s="141" t="s">
        <v>480</v>
      </c>
      <c r="J537" s="133">
        <v>0.755555555555556</v>
      </c>
    </row>
    <row r="538" spans="1:10">
      <c r="A538" s="31">
        <f>VLOOKUP($C538,SKU!$A:$I,3,FALSE)</f>
        <v>10061</v>
      </c>
      <c r="B538" s="31" t="str">
        <f>VLOOKUP($C538,SKU!$A:$I,2,FALSE)</f>
        <v>灵漫社《耽于美涩》古风系列收藏卡牌第三弹</v>
      </c>
      <c r="C538" s="34" t="s">
        <v>252</v>
      </c>
      <c r="D538" s="29">
        <v>10</v>
      </c>
      <c r="E538" s="31">
        <f>D538*VLOOKUP(A538,Nhập入库!A:N,8,FALSE)</f>
        <v>110</v>
      </c>
      <c r="G538" s="34" t="s">
        <v>433</v>
      </c>
      <c r="H538" s="34" t="s">
        <v>431</v>
      </c>
      <c r="I538" s="141" t="s">
        <v>480</v>
      </c>
      <c r="J538" s="133">
        <v>0.880555555555556</v>
      </c>
    </row>
    <row r="539" spans="1:10">
      <c r="A539" s="31">
        <f>VLOOKUP($C539,SKU!$A:$I,3,FALSE)</f>
        <v>10061</v>
      </c>
      <c r="B539" s="31" t="str">
        <f>VLOOKUP($C539,SKU!$A:$I,2,FALSE)</f>
        <v>灵漫社《耽于美涩》古风系列收藏卡牌第三弹</v>
      </c>
      <c r="C539" s="34" t="s">
        <v>252</v>
      </c>
      <c r="D539" s="29">
        <v>20</v>
      </c>
      <c r="E539" s="31">
        <f>D539*VLOOKUP(A539,Nhập入库!A:N,8,FALSE)</f>
        <v>220</v>
      </c>
      <c r="G539" s="34" t="s">
        <v>433</v>
      </c>
      <c r="H539" s="34" t="s">
        <v>431</v>
      </c>
      <c r="I539" s="141" t="s">
        <v>479</v>
      </c>
      <c r="J539" s="133">
        <v>0.880555555555556</v>
      </c>
    </row>
    <row r="540" spans="1:10">
      <c r="A540" s="31">
        <f>VLOOKUP($C540,SKU!$A:$I,3,FALSE)</f>
        <v>10055</v>
      </c>
      <c r="B540" s="31" t="str">
        <f>VLOOKUP($C540,SKU!$A:$I,2,FALSE)</f>
        <v>绘卷文创 - 梦境入画【鬼灭之刃系列收藏卡砖】</v>
      </c>
      <c r="C540" s="34" t="s">
        <v>234</v>
      </c>
      <c r="D540" s="29">
        <v>5</v>
      </c>
      <c r="E540" s="31">
        <f>D540*VLOOKUP(A540,Nhập入库!A:N,8,FALSE)</f>
        <v>25</v>
      </c>
      <c r="G540" s="34" t="s">
        <v>430</v>
      </c>
      <c r="H540" s="34" t="s">
        <v>431</v>
      </c>
      <c r="I540" s="141" t="s">
        <v>479</v>
      </c>
      <c r="J540" s="133">
        <v>0.880555555555556</v>
      </c>
    </row>
    <row r="541" spans="1:10">
      <c r="A541" s="31">
        <f>VLOOKUP($C541,SKU!$A:$I,3,FALSE)</f>
        <v>10055</v>
      </c>
      <c r="B541" s="31" t="str">
        <f>VLOOKUP($C541,SKU!$A:$I,2,FALSE)</f>
        <v>绘卷文创 - 梦境入画【鬼灭之刃系列收藏卡砖】</v>
      </c>
      <c r="C541" s="34" t="s">
        <v>234</v>
      </c>
      <c r="D541" s="29">
        <v>5</v>
      </c>
      <c r="E541" s="31">
        <f>D541*VLOOKUP(A541,Nhập入库!A:N,8,FALSE)</f>
        <v>25</v>
      </c>
      <c r="G541" s="34" t="s">
        <v>430</v>
      </c>
      <c r="H541" s="34" t="s">
        <v>431</v>
      </c>
      <c r="I541" s="141" t="s">
        <v>480</v>
      </c>
      <c r="J541" s="133">
        <v>0.880555555555556</v>
      </c>
    </row>
    <row r="542" spans="1:10">
      <c r="A542" s="31">
        <f>VLOOKUP($C542,SKU!$A:$I,3,FALSE)</f>
        <v>10057</v>
      </c>
      <c r="B542" s="31" t="str">
        <f>VLOOKUP($C542,SKU!$A:$I,2,FALSE)</f>
        <v>三丽鸥家族暖冬</v>
      </c>
      <c r="C542" s="34" t="s">
        <v>241</v>
      </c>
      <c r="D542" s="29">
        <v>3</v>
      </c>
      <c r="E542" s="31">
        <f>D542*VLOOKUP(A542,Nhập入库!A:N,8,FALSE)</f>
        <v>30</v>
      </c>
      <c r="G542" s="34" t="s">
        <v>422</v>
      </c>
      <c r="H542" s="34" t="s">
        <v>406</v>
      </c>
      <c r="I542" s="141" t="s">
        <v>481</v>
      </c>
      <c r="J542" s="133">
        <v>0.368055555555556</v>
      </c>
    </row>
    <row r="543" spans="1:10">
      <c r="A543" s="31">
        <f>VLOOKUP($C543,SKU!$A:$I,3,FALSE)</f>
        <v>10057</v>
      </c>
      <c r="B543" s="31" t="str">
        <f>VLOOKUP($C543,SKU!$A:$I,2,FALSE)</f>
        <v>三丽鸥家族暖冬</v>
      </c>
      <c r="C543" s="34" t="s">
        <v>241</v>
      </c>
      <c r="D543" s="29">
        <v>2</v>
      </c>
      <c r="E543" s="31">
        <f>D543*VLOOKUP(A543,Nhập入库!A:N,8,FALSE)</f>
        <v>20</v>
      </c>
      <c r="G543" s="34" t="s">
        <v>426</v>
      </c>
      <c r="H543" s="34" t="s">
        <v>406</v>
      </c>
      <c r="I543" s="141" t="s">
        <v>481</v>
      </c>
      <c r="J543" s="133">
        <v>0.368055555555556</v>
      </c>
    </row>
    <row r="544" spans="1:10">
      <c r="A544" s="31">
        <f>VLOOKUP($C544,SKU!$A:$I,3,FALSE)</f>
        <v>10056</v>
      </c>
      <c r="B544" s="31" t="str">
        <f>VLOOKUP($C544,SKU!$A:$I,2,FALSE)</f>
        <v>集卡社天官赐福动画周年纪念版</v>
      </c>
      <c r="C544" s="34" t="s">
        <v>238</v>
      </c>
      <c r="D544" s="29">
        <v>10</v>
      </c>
      <c r="E544" s="31">
        <f>D544*VLOOKUP(A544,Nhập入库!A:N,8,FALSE)</f>
        <v>100</v>
      </c>
      <c r="G544" s="34" t="s">
        <v>422</v>
      </c>
      <c r="H544" s="29" t="s">
        <v>406</v>
      </c>
      <c r="I544" s="150" t="s">
        <v>481</v>
      </c>
      <c r="J544" s="133">
        <v>0.368055555555556</v>
      </c>
    </row>
    <row r="545" spans="1:10">
      <c r="A545" s="31">
        <f>VLOOKUP($C545,SKU!$A:$I,3,FALSE)</f>
        <v>10058</v>
      </c>
      <c r="B545" s="31" t="str">
        <f>VLOOKUP($C545,SKU!$A:$I,2,FALSE)</f>
        <v>三丽鸥家族hello kitty梦境巡礼</v>
      </c>
      <c r="C545" s="34" t="s">
        <v>244</v>
      </c>
      <c r="D545" s="29">
        <v>6</v>
      </c>
      <c r="E545" s="31">
        <f>D545*VLOOKUP(A545,Nhập入库!A:N,8,FALSE)</f>
        <v>90</v>
      </c>
      <c r="G545" s="34" t="s">
        <v>422</v>
      </c>
      <c r="H545" s="29" t="s">
        <v>406</v>
      </c>
      <c r="I545" s="150" t="s">
        <v>481</v>
      </c>
      <c r="J545" s="133">
        <v>0.368055555555556</v>
      </c>
    </row>
    <row r="546" spans="1:10">
      <c r="A546" s="31">
        <f>VLOOKUP($C546,SKU!$A:$I,3,FALSE)</f>
        <v>10060</v>
      </c>
      <c r="B546" s="31" t="str">
        <f>VLOOKUP($C546,SKU!$A:$I,2,FALSE)</f>
        <v>漫の森《宫崎骏第三弹·奇幻之旅》</v>
      </c>
      <c r="C546" s="34" t="s">
        <v>249</v>
      </c>
      <c r="D546" s="29">
        <v>5</v>
      </c>
      <c r="E546" s="31">
        <f>D546*VLOOKUP(A546,Nhập入库!A:N,8,FALSE)</f>
        <v>65</v>
      </c>
      <c r="G546" s="34" t="s">
        <v>432</v>
      </c>
      <c r="H546" s="29" t="s">
        <v>406</v>
      </c>
      <c r="I546" s="150" t="s">
        <v>481</v>
      </c>
      <c r="J546" s="133">
        <v>0.368055555555556</v>
      </c>
    </row>
    <row r="547" spans="1:10">
      <c r="A547" s="31">
        <f>VLOOKUP($C547,SKU!$A:$I,3,FALSE)</f>
        <v>10012</v>
      </c>
      <c r="B547" s="31" t="str">
        <f>VLOOKUP($C547,SKU!$A:$I,2,FALSE)</f>
        <v>卡文化进击的巨人</v>
      </c>
      <c r="C547" s="34" t="s">
        <v>75</v>
      </c>
      <c r="D547" s="29">
        <v>5</v>
      </c>
      <c r="E547" s="31">
        <f>D547*VLOOKUP(A547,Nhập入库!A:N,8,FALSE)</f>
        <v>150</v>
      </c>
      <c r="G547" s="34" t="s">
        <v>122</v>
      </c>
      <c r="H547" s="29" t="s">
        <v>408</v>
      </c>
      <c r="I547" s="150" t="s">
        <v>481</v>
      </c>
      <c r="J547" s="133">
        <v>0.404861111111111</v>
      </c>
    </row>
    <row r="548" spans="1:10">
      <c r="A548" s="31">
        <f>VLOOKUP($C548,SKU!$A:$I,3,FALSE)</f>
        <v>10016</v>
      </c>
      <c r="B548" s="31" t="str">
        <f>VLOOKUP($C548,SKU!$A:$I,2,FALSE)</f>
        <v>思梨普文创《hey!国王陛下》集换式艺术家典藏卡</v>
      </c>
      <c r="C548" s="29" t="s">
        <v>91</v>
      </c>
      <c r="D548" s="29">
        <v>5</v>
      </c>
      <c r="E548" s="31">
        <f>D548*VLOOKUP(A548,Nhập入库!A:N,8,FALSE)</f>
        <v>50</v>
      </c>
      <c r="G548" s="29" t="s">
        <v>33</v>
      </c>
      <c r="H548" s="29" t="s">
        <v>424</v>
      </c>
      <c r="I548" s="150" t="s">
        <v>481</v>
      </c>
      <c r="J548" s="133">
        <v>0.545833333333333</v>
      </c>
    </row>
    <row r="549" spans="1:10">
      <c r="A549" s="31">
        <f>VLOOKUP($C549,SKU!$A:$I,3,FALSE)</f>
        <v>10002</v>
      </c>
      <c r="B549" s="31" t="str">
        <f>VLOOKUP($C549,SKU!$A:$I,2,FALSE)</f>
        <v>MoonCard月卡《美少女战士》第三弹</v>
      </c>
      <c r="C549" s="29" t="s">
        <v>18</v>
      </c>
      <c r="D549" s="29">
        <v>3</v>
      </c>
      <c r="E549" s="31">
        <f>D549*VLOOKUP(A549,Nhập入库!A:N,8,FALSE)</f>
        <v>39</v>
      </c>
      <c r="G549" s="29" t="s">
        <v>33</v>
      </c>
      <c r="H549" s="29" t="s">
        <v>424</v>
      </c>
      <c r="I549" s="150" t="s">
        <v>481</v>
      </c>
      <c r="J549" s="133">
        <v>0.420833333333333</v>
      </c>
    </row>
    <row r="550" spans="1:10">
      <c r="A550" s="31">
        <f>VLOOKUP($C550,SKU!$A:$I,3,FALSE)</f>
        <v>10039</v>
      </c>
      <c r="B550" s="31" t="str">
        <f>VLOOKUP($C550,SKU!$A:$I,2,FALSE)</f>
        <v>非凡航海王第五弹</v>
      </c>
      <c r="C550" s="29" t="s">
        <v>184</v>
      </c>
      <c r="D550" s="29">
        <v>3</v>
      </c>
      <c r="E550" s="31">
        <f>D550*VLOOKUP(A550,Nhập入库!A:N,8,FALSE)</f>
        <v>60</v>
      </c>
      <c r="G550" s="29" t="s">
        <v>134</v>
      </c>
      <c r="H550" s="29" t="s">
        <v>423</v>
      </c>
      <c r="I550" s="141" t="s">
        <v>476</v>
      </c>
      <c r="J550" s="133">
        <v>0.375</v>
      </c>
    </row>
    <row r="551" spans="1:10">
      <c r="A551" s="31">
        <f>VLOOKUP($C551,SKU!$A:$I,3,FALSE)</f>
        <v>10061</v>
      </c>
      <c r="B551" s="31" t="str">
        <f>VLOOKUP($C551,SKU!$A:$I,2,FALSE)</f>
        <v>灵漫社《耽于美涩》古风系列收藏卡牌第三弹</v>
      </c>
      <c r="C551" s="29" t="s">
        <v>252</v>
      </c>
      <c r="D551" s="130">
        <v>6</v>
      </c>
      <c r="E551" s="31">
        <f>D551*VLOOKUP(A551,Nhập入库!A:N,8,FALSE)</f>
        <v>66</v>
      </c>
      <c r="G551" s="29" t="s">
        <v>433</v>
      </c>
      <c r="H551" s="29" t="s">
        <v>428</v>
      </c>
      <c r="I551" s="141" t="s">
        <v>481</v>
      </c>
      <c r="J551" s="133">
        <v>0.958333333333333</v>
      </c>
    </row>
    <row r="552" spans="1:10">
      <c r="A552" s="31">
        <f>VLOOKUP($C552,SKU!$A:$I,3,FALSE)</f>
        <v>10055</v>
      </c>
      <c r="B552" s="31" t="str">
        <f>VLOOKUP($C552,SKU!$A:$I,2,FALSE)</f>
        <v>绘卷文创 - 梦境入画【鬼灭之刃系列收藏卡砖】</v>
      </c>
      <c r="C552" s="29" t="s">
        <v>234</v>
      </c>
      <c r="D552" s="29">
        <v>5</v>
      </c>
      <c r="E552" s="31">
        <f>D552*VLOOKUP(A552,Nhập入库!A:N,8,FALSE)</f>
        <v>25</v>
      </c>
      <c r="G552" s="29" t="s">
        <v>430</v>
      </c>
      <c r="H552" s="29" t="s">
        <v>428</v>
      </c>
      <c r="I552" s="141" t="s">
        <v>481</v>
      </c>
      <c r="J552" s="133">
        <v>0.979861111111111</v>
      </c>
    </row>
    <row r="553" spans="1:10">
      <c r="A553" s="31">
        <f>VLOOKUP($C553,SKU!$A:$I,3,FALSE)</f>
        <v>10055</v>
      </c>
      <c r="B553" s="31" t="str">
        <f>VLOOKUP($C553,SKU!$A:$I,2,FALSE)</f>
        <v>绘卷文创 - 梦境入画【鬼灭之刃系列收藏卡砖】</v>
      </c>
      <c r="C553" s="29" t="s">
        <v>234</v>
      </c>
      <c r="D553" s="29">
        <v>8</v>
      </c>
      <c r="E553" s="31">
        <f>D553*VLOOKUP(A553,Nhập入库!A:N,8,FALSE)</f>
        <v>40</v>
      </c>
      <c r="G553" s="34" t="s">
        <v>426</v>
      </c>
      <c r="H553" s="34" t="s">
        <v>406</v>
      </c>
      <c r="I553" s="141" t="s">
        <v>482</v>
      </c>
      <c r="J553" s="133">
        <v>0.354166666666667</v>
      </c>
    </row>
    <row r="554" spans="1:10">
      <c r="A554" s="31">
        <f>VLOOKUP($C554,SKU!$A:$I,3,FALSE)</f>
        <v>10055</v>
      </c>
      <c r="B554" s="31" t="str">
        <f>VLOOKUP($C554,SKU!$A:$I,2,FALSE)</f>
        <v>绘卷文创 - 梦境入画【鬼灭之刃系列收藏卡砖】</v>
      </c>
      <c r="C554" s="29" t="s">
        <v>234</v>
      </c>
      <c r="D554" s="29">
        <v>5</v>
      </c>
      <c r="E554" s="31">
        <f>D554*VLOOKUP(A554,Nhập入库!A:N,8,FALSE)</f>
        <v>25</v>
      </c>
      <c r="G554" s="34" t="s">
        <v>33</v>
      </c>
      <c r="H554" s="34" t="s">
        <v>424</v>
      </c>
      <c r="I554" s="141" t="s">
        <v>482</v>
      </c>
      <c r="J554" s="133">
        <v>0.395833333333333</v>
      </c>
    </row>
    <row r="555" spans="1:10">
      <c r="A555" s="31">
        <f>VLOOKUP($C555,SKU!$A:$I,3,FALSE)</f>
        <v>10056</v>
      </c>
      <c r="B555" s="31" t="str">
        <f>VLOOKUP($C555,SKU!$A:$I,2,FALSE)</f>
        <v>集卡社天官赐福动画周年纪念版</v>
      </c>
      <c r="C555" s="29" t="s">
        <v>238</v>
      </c>
      <c r="D555" s="29">
        <v>5</v>
      </c>
      <c r="E555" s="31">
        <f>D555*VLOOKUP(A555,Nhập入库!A:N,8,FALSE)</f>
        <v>50</v>
      </c>
      <c r="G555" s="34" t="s">
        <v>130</v>
      </c>
      <c r="H555" s="34" t="s">
        <v>424</v>
      </c>
      <c r="I555" s="141" t="s">
        <v>482</v>
      </c>
      <c r="J555" s="133">
        <v>0.395833333333333</v>
      </c>
    </row>
    <row r="556" spans="1:10">
      <c r="A556" s="31">
        <f>VLOOKUP($C556,SKU!$A:$I,3,FALSE)</f>
        <v>10057</v>
      </c>
      <c r="B556" s="31" t="str">
        <f>VLOOKUP($C556,SKU!$A:$I,2,FALSE)</f>
        <v>三丽鸥家族暖冬</v>
      </c>
      <c r="C556" s="29" t="s">
        <v>241</v>
      </c>
      <c r="D556" s="29">
        <v>3</v>
      </c>
      <c r="E556" s="31">
        <f>D556*VLOOKUP(A556,Nhập入库!A:N,8,FALSE)</f>
        <v>30</v>
      </c>
      <c r="G556" s="34" t="s">
        <v>477</v>
      </c>
      <c r="H556" s="34" t="s">
        <v>424</v>
      </c>
      <c r="I556" s="141" t="s">
        <v>482</v>
      </c>
      <c r="J556" s="133">
        <v>0.395833333333333</v>
      </c>
    </row>
    <row r="557" spans="1:10">
      <c r="A557" s="31">
        <f>VLOOKUP($C557,SKU!$A:$I,3,FALSE)</f>
        <v>10058</v>
      </c>
      <c r="B557" s="31" t="str">
        <f>VLOOKUP($C557,SKU!$A:$I,2,FALSE)</f>
        <v>三丽鸥家族hello kitty梦境巡礼</v>
      </c>
      <c r="C557" s="29" t="s">
        <v>244</v>
      </c>
      <c r="D557" s="29">
        <v>5</v>
      </c>
      <c r="E557" s="31">
        <f>D557*VLOOKUP(A557,Nhập入库!A:N,8,FALSE)</f>
        <v>75</v>
      </c>
      <c r="G557" s="34" t="s">
        <v>98</v>
      </c>
      <c r="H557" s="34" t="s">
        <v>424</v>
      </c>
      <c r="I557" s="141" t="s">
        <v>482</v>
      </c>
      <c r="J557" s="133">
        <v>0.395833333333333</v>
      </c>
    </row>
    <row r="558" spans="1:10">
      <c r="A558" s="31">
        <f>VLOOKUP($C558,SKU!$A:$I,3,FALSE)</f>
        <v>10058</v>
      </c>
      <c r="B558" s="31" t="str">
        <f>VLOOKUP($C558,SKU!$A:$I,2,FALSE)</f>
        <v>三丽鸥家族hello kitty梦境巡礼</v>
      </c>
      <c r="C558" s="29" t="s">
        <v>244</v>
      </c>
      <c r="D558" s="29">
        <v>3</v>
      </c>
      <c r="E558" s="31">
        <f>D558*VLOOKUP(A558,Nhập入库!A:N,8,FALSE)</f>
        <v>45</v>
      </c>
      <c r="G558" s="34" t="s">
        <v>122</v>
      </c>
      <c r="H558" s="34" t="s">
        <v>408</v>
      </c>
      <c r="I558" s="141" t="s">
        <v>482</v>
      </c>
      <c r="J558" s="133">
        <v>0.434027777777778</v>
      </c>
    </row>
    <row r="559" spans="1:10">
      <c r="A559" s="31">
        <f>VLOOKUP($C559,SKU!$A:$I,3,FALSE)</f>
        <v>10014</v>
      </c>
      <c r="B559" s="31" t="str">
        <f>VLOOKUP($C559,SKU!$A:$I,2,FALSE)</f>
        <v>星梦文创-Studio Ghibli宫崎骏撕撕乐系列 </v>
      </c>
      <c r="C559" s="29" t="s">
        <v>83</v>
      </c>
      <c r="E559" s="31">
        <f>D559*VLOOKUP(A559,Nhập入库!A:N,8,FALSE)</f>
        <v>0</v>
      </c>
      <c r="F559" s="29">
        <v>75</v>
      </c>
      <c r="G559" s="34" t="s">
        <v>122</v>
      </c>
      <c r="H559" s="34" t="s">
        <v>408</v>
      </c>
      <c r="I559" s="141" t="s">
        <v>482</v>
      </c>
      <c r="J559" s="133">
        <v>0.434027777777778</v>
      </c>
    </row>
    <row r="560" spans="1:10">
      <c r="A560" s="31">
        <f>VLOOKUP($C560,SKU!$A:$I,3,FALSE)</f>
        <v>10058</v>
      </c>
      <c r="B560" s="31" t="str">
        <f>VLOOKUP($C560,SKU!$A:$I,2,FALSE)</f>
        <v>三丽鸥家族hello kitty梦境巡礼</v>
      </c>
      <c r="C560" s="34" t="s">
        <v>244</v>
      </c>
      <c r="D560" s="29">
        <v>5</v>
      </c>
      <c r="E560" s="31">
        <f>D560*VLOOKUP(A560,Nhập入库!A:N,8,FALSE)</f>
        <v>75</v>
      </c>
      <c r="G560" s="34" t="s">
        <v>422</v>
      </c>
      <c r="H560" s="34" t="s">
        <v>406</v>
      </c>
      <c r="I560" s="141" t="s">
        <v>482</v>
      </c>
      <c r="J560" s="133">
        <v>0.434722222222222</v>
      </c>
    </row>
    <row r="561" spans="1:10">
      <c r="A561" s="31">
        <f>VLOOKUP($C561,SKU!$A:$I,3,FALSE)</f>
        <v>10051</v>
      </c>
      <c r="B561" s="31" t="str">
        <f>VLOOKUP($C561,SKU!$A:$I,2,FALSE)</f>
        <v>南卡《魔卡少女樱》</v>
      </c>
      <c r="C561" s="29" t="s">
        <v>222</v>
      </c>
      <c r="E561" s="31">
        <f>D561*VLOOKUP(A561,Nhập入库!A:N,8,FALSE)</f>
        <v>0</v>
      </c>
      <c r="F561" s="29">
        <v>23</v>
      </c>
      <c r="G561" s="34" t="s">
        <v>422</v>
      </c>
      <c r="H561" s="34" t="s">
        <v>406</v>
      </c>
      <c r="I561" s="141" t="s">
        <v>479</v>
      </c>
    </row>
    <row r="562" spans="1:10">
      <c r="A562" s="31">
        <f>VLOOKUP($C562,SKU!$A:$I,3,FALSE)</f>
        <v>10035</v>
      </c>
      <c r="B562" s="31" t="str">
        <f>VLOOKUP($C562,SKU!$A:$I,2,FALSE)</f>
        <v>KK CARD × 新海诚系列第一弹</v>
      </c>
      <c r="C562" s="29" t="s">
        <v>167</v>
      </c>
      <c r="E562" s="31">
        <f>D562*VLOOKUP(A562,Nhập入库!A:N,8,FALSE)</f>
        <v>0</v>
      </c>
      <c r="F562" s="29">
        <v>6</v>
      </c>
      <c r="G562" s="29" t="s">
        <v>432</v>
      </c>
      <c r="H562" s="29" t="s">
        <v>424</v>
      </c>
      <c r="I562" s="141" t="s">
        <v>482</v>
      </c>
      <c r="J562" s="133">
        <v>0.4875</v>
      </c>
    </row>
    <row r="563" spans="1:10">
      <c r="A563" s="31">
        <f>VLOOKUP($C563,SKU!$A:$I,3,FALSE)</f>
        <v>10061</v>
      </c>
      <c r="B563" s="31" t="str">
        <f>VLOOKUP($C563,SKU!$A:$I,2,FALSE)</f>
        <v>灵漫社《耽于美涩》古风系列收藏卡牌第三弹</v>
      </c>
      <c r="C563" s="29" t="s">
        <v>252</v>
      </c>
      <c r="D563" s="29">
        <v>1</v>
      </c>
      <c r="E563" s="31">
        <f>D563*VLOOKUP(A563,Nhập入库!A:N,8,FALSE)</f>
        <v>11</v>
      </c>
      <c r="G563" s="29" t="s">
        <v>130</v>
      </c>
      <c r="H563" s="29" t="s">
        <v>424</v>
      </c>
      <c r="I563" s="141" t="s">
        <v>482</v>
      </c>
      <c r="J563" s="133">
        <v>0.4875</v>
      </c>
    </row>
    <row r="564" spans="1:10">
      <c r="A564" s="31">
        <f>VLOOKUP($C564,SKU!$A:$I,3,FALSE)</f>
        <v>10061</v>
      </c>
      <c r="B564" s="31" t="str">
        <f>VLOOKUP($C564,SKU!$A:$I,2,FALSE)</f>
        <v>灵漫社《耽于美涩》古风系列收藏卡牌第三弹</v>
      </c>
      <c r="C564" s="29" t="s">
        <v>252</v>
      </c>
      <c r="D564" s="29">
        <v>1</v>
      </c>
      <c r="E564" s="31">
        <f>D564*VLOOKUP(A564,Nhập入库!A:N,8,FALSE)</f>
        <v>11</v>
      </c>
      <c r="G564" s="29" t="s">
        <v>433</v>
      </c>
      <c r="H564" s="29" t="s">
        <v>431</v>
      </c>
      <c r="I564" s="141" t="s">
        <v>482</v>
      </c>
      <c r="J564" s="133">
        <v>0.7375</v>
      </c>
    </row>
    <row r="565" spans="1:10">
      <c r="A565" s="31">
        <f>VLOOKUP($C565,SKU!$A:$I,3,FALSE)</f>
        <v>10056</v>
      </c>
      <c r="B565" s="31" t="str">
        <f>VLOOKUP($C565,SKU!$A:$I,2,FALSE)</f>
        <v>集卡社天官赐福动画周年纪念版</v>
      </c>
      <c r="C565" s="29" t="s">
        <v>238</v>
      </c>
      <c r="D565" s="29">
        <v>10</v>
      </c>
      <c r="E565" s="31">
        <f>D565*VLOOKUP(A565,Nhập入库!A:N,8,FALSE)</f>
        <v>100</v>
      </c>
      <c r="G565" s="29" t="s">
        <v>433</v>
      </c>
      <c r="H565" s="29" t="s">
        <v>431</v>
      </c>
      <c r="I565" s="141" t="s">
        <v>482</v>
      </c>
      <c r="J565" s="133">
        <v>0.797916666666667</v>
      </c>
    </row>
    <row r="566" spans="1:10">
      <c r="A566" s="31">
        <f>VLOOKUP($C566,SKU!$A:$I,3,FALSE)</f>
        <v>10007</v>
      </c>
      <c r="B566" s="31" t="str">
        <f>VLOOKUP($C566,SKU!$A:$I,2,FALSE)</f>
        <v>kawaii宫崎骏梦幻之国</v>
      </c>
      <c r="C566" s="29" t="s">
        <v>49</v>
      </c>
      <c r="E566" s="31">
        <f>D566*VLOOKUP(A566,Nhập入库!A:N,8,FALSE)</f>
        <v>0</v>
      </c>
      <c r="F566" s="29">
        <v>3</v>
      </c>
      <c r="G566" s="29" t="s">
        <v>433</v>
      </c>
      <c r="H566" s="29" t="s">
        <v>431</v>
      </c>
      <c r="I566" s="141" t="s">
        <v>482</v>
      </c>
      <c r="J566" s="133">
        <v>0.958333333333333</v>
      </c>
    </row>
    <row r="567" spans="1:10">
      <c r="A567" s="31">
        <f>VLOOKUP($C567,SKU!$A:$I,3,FALSE)</f>
        <v>10055</v>
      </c>
      <c r="B567" s="31" t="str">
        <f>VLOOKUP($C567,SKU!$A:$I,2,FALSE)</f>
        <v>绘卷文创 - 梦境入画【鬼灭之刃系列收藏卡砖】</v>
      </c>
      <c r="C567" s="29" t="s">
        <v>234</v>
      </c>
      <c r="D567" s="29">
        <v>3</v>
      </c>
      <c r="E567" s="31">
        <f>D567*VLOOKUP(A567,Nhập入库!A:N,8,FALSE)</f>
        <v>15</v>
      </c>
      <c r="G567" s="34" t="s">
        <v>429</v>
      </c>
      <c r="H567" s="34" t="s">
        <v>428</v>
      </c>
      <c r="I567" s="141" t="s">
        <v>482</v>
      </c>
      <c r="J567" s="133">
        <v>0.854166666666667</v>
      </c>
    </row>
    <row r="568" spans="1:10">
      <c r="A568" s="31">
        <f>VLOOKUP($C568,SKU!$A:$I,3,FALSE)</f>
        <v>10055</v>
      </c>
      <c r="B568" s="31" t="str">
        <f>VLOOKUP($C568,SKU!$A:$I,2,FALSE)</f>
        <v>绘卷文创 - 梦境入画【鬼灭之刃系列收藏卡砖】</v>
      </c>
      <c r="C568" s="29" t="s">
        <v>234</v>
      </c>
      <c r="D568" s="29">
        <v>2</v>
      </c>
      <c r="E568" s="31">
        <f>D568*VLOOKUP(A568,Nhập入库!A:N,8,FALSE)</f>
        <v>10</v>
      </c>
      <c r="G568" s="29" t="s">
        <v>426</v>
      </c>
      <c r="H568" s="29" t="s">
        <v>424</v>
      </c>
      <c r="I568" s="141" t="s">
        <v>483</v>
      </c>
      <c r="J568" s="133">
        <v>0.4875</v>
      </c>
    </row>
    <row r="569" spans="1:10">
      <c r="A569" s="31">
        <f>VLOOKUP($C569,SKU!$A:$I,3,FALSE)</f>
        <v>10039</v>
      </c>
      <c r="B569" s="31" t="str">
        <f>VLOOKUP($C569,SKU!$A:$I,2,FALSE)</f>
        <v>非凡航海王第五弹</v>
      </c>
      <c r="C569" s="29" t="s">
        <v>184</v>
      </c>
      <c r="D569" s="29">
        <v>6</v>
      </c>
      <c r="E569" s="31">
        <f>D569*VLOOKUP(A569,Nhập入库!A:N,8,FALSE)</f>
        <v>120</v>
      </c>
      <c r="G569" s="29" t="s">
        <v>477</v>
      </c>
      <c r="H569" s="29" t="s">
        <v>424</v>
      </c>
      <c r="I569" s="141" t="s">
        <v>483</v>
      </c>
      <c r="J569" s="133">
        <v>0.4875</v>
      </c>
    </row>
    <row r="570" spans="1:10">
      <c r="A570" s="31">
        <f>VLOOKUP($C570,SKU!$A:$I,3,FALSE)</f>
        <v>10055</v>
      </c>
      <c r="B570" s="31" t="str">
        <f>VLOOKUP($C570,SKU!$A:$I,2,FALSE)</f>
        <v>绘卷文创 - 梦境入画【鬼灭之刃系列收藏卡砖】</v>
      </c>
      <c r="C570" s="29" t="s">
        <v>234</v>
      </c>
      <c r="D570" s="29">
        <v>1</v>
      </c>
      <c r="E570" s="31">
        <f>D570*VLOOKUP(A570,Nhập入库!A:N,8,FALSE)</f>
        <v>5</v>
      </c>
      <c r="G570" s="34" t="s">
        <v>426</v>
      </c>
      <c r="H570" s="34" t="s">
        <v>406</v>
      </c>
      <c r="I570" s="34" t="s">
        <v>484</v>
      </c>
      <c r="J570" s="133">
        <v>0.550694444444444</v>
      </c>
    </row>
    <row r="571" spans="1:10">
      <c r="A571" s="31">
        <f>VLOOKUP($C571,SKU!$A:$I,3,FALSE)</f>
        <v>10057</v>
      </c>
      <c r="B571" s="31" t="str">
        <f>VLOOKUP($C571,SKU!$A:$I,2,FALSE)</f>
        <v>三丽鸥家族暖冬</v>
      </c>
      <c r="C571" s="34" t="s">
        <v>241</v>
      </c>
      <c r="D571" s="29">
        <v>1</v>
      </c>
      <c r="E571" s="31">
        <f>D571*VLOOKUP(A571,Nhập入库!A:N,8,FALSE)</f>
        <v>10</v>
      </c>
      <c r="G571" s="34" t="s">
        <v>422</v>
      </c>
      <c r="H571" s="34" t="s">
        <v>406</v>
      </c>
      <c r="I571" s="34" t="s">
        <v>484</v>
      </c>
      <c r="J571" s="133">
        <v>0.550694444444444</v>
      </c>
    </row>
    <row r="572" spans="1:10">
      <c r="A572" s="31">
        <f>VLOOKUP($C572,SKU!$A:$I,3,FALSE)</f>
        <v>10042</v>
      </c>
      <c r="B572" s="31" t="str">
        <f>VLOOKUP($C572,SKU!$A:$I,2,FALSE)</f>
        <v>黄油小熊系列收藏卡第二弹 小熊的观察日记</v>
      </c>
      <c r="C572" s="34" t="s">
        <v>196</v>
      </c>
      <c r="D572" s="29">
        <v>5</v>
      </c>
      <c r="E572" s="31">
        <f>D572*VLOOKUP(A572,Nhập入库!A:N,8,FALSE)</f>
        <v>80</v>
      </c>
      <c r="G572" s="34" t="s">
        <v>122</v>
      </c>
      <c r="H572" s="34" t="s">
        <v>423</v>
      </c>
      <c r="I572" s="34" t="s">
        <v>483</v>
      </c>
      <c r="J572" s="133">
        <v>0.572222222222222</v>
      </c>
    </row>
    <row r="573" spans="1:10">
      <c r="A573" s="31">
        <f>VLOOKUP($C573,SKU!$A:$I,3,FALSE)</f>
        <v>10043</v>
      </c>
      <c r="B573" s="31" t="str">
        <f>VLOOKUP($C573,SKU!$A:$I,2,FALSE)</f>
        <v>光恋XR-披荆斩棘-美少女战士</v>
      </c>
      <c r="C573" s="29" t="s">
        <v>199</v>
      </c>
      <c r="D573" s="29">
        <v>5</v>
      </c>
      <c r="E573" s="31">
        <f>D573*VLOOKUP(A573,Nhập入库!A:N,8,FALSE)</f>
        <v>65</v>
      </c>
      <c r="G573" s="29" t="s">
        <v>130</v>
      </c>
      <c r="H573" s="29" t="s">
        <v>424</v>
      </c>
      <c r="I573" s="34" t="s">
        <v>483</v>
      </c>
      <c r="J573" s="133">
        <v>0.58125</v>
      </c>
    </row>
    <row r="574" spans="1:10">
      <c r="A574" s="31">
        <f>VLOOKUP($C574,SKU!$A:$I,3,FALSE)</f>
        <v>10055</v>
      </c>
      <c r="B574" s="31" t="str">
        <f>VLOOKUP($C574,SKU!$A:$I,2,FALSE)</f>
        <v>绘卷文创 - 梦境入画【鬼灭之刃系列收藏卡砖】</v>
      </c>
      <c r="C574" s="29" t="s">
        <v>234</v>
      </c>
      <c r="D574" s="29">
        <v>1</v>
      </c>
      <c r="E574" s="31">
        <f>D574*VLOOKUP(A574,Nhập入库!A:N,8,FALSE)</f>
        <v>5</v>
      </c>
      <c r="G574" s="34" t="s">
        <v>426</v>
      </c>
      <c r="H574" s="34" t="s">
        <v>406</v>
      </c>
      <c r="I574" s="34" t="s">
        <v>484</v>
      </c>
      <c r="J574" s="133">
        <v>0.589583333333333</v>
      </c>
    </row>
    <row r="575" spans="1:10">
      <c r="A575" s="31">
        <f>VLOOKUP($C575,SKU!$A:$I,3,FALSE)</f>
        <v>10056</v>
      </c>
      <c r="B575" s="31" t="str">
        <f>VLOOKUP($C575,SKU!$A:$I,2,FALSE)</f>
        <v>集卡社天官赐福动画周年纪念版</v>
      </c>
      <c r="C575" s="29" t="s">
        <v>238</v>
      </c>
      <c r="D575" s="29">
        <v>5</v>
      </c>
      <c r="E575" s="31">
        <f>D575*VLOOKUP(A575,Nhập入库!A:N,8,FALSE)</f>
        <v>50</v>
      </c>
      <c r="G575" s="34" t="s">
        <v>422</v>
      </c>
      <c r="H575" s="34" t="s">
        <v>406</v>
      </c>
      <c r="I575" s="34" t="s">
        <v>484</v>
      </c>
      <c r="J575" s="133">
        <v>0.640972222222222</v>
      </c>
    </row>
    <row r="576" spans="1:10">
      <c r="A576" s="31">
        <f>VLOOKUP($C576,SKU!$A:$I,3,FALSE)</f>
        <v>10039</v>
      </c>
      <c r="B576" s="31" t="str">
        <f>VLOOKUP($C576,SKU!$A:$I,2,FALSE)</f>
        <v>非凡航海王第五弹</v>
      </c>
      <c r="C576" s="29" t="s">
        <v>184</v>
      </c>
      <c r="D576" s="29">
        <v>5</v>
      </c>
      <c r="E576" s="31">
        <f>D576*VLOOKUP(A576,Nhập入库!A:N,8,FALSE)</f>
        <v>100</v>
      </c>
      <c r="G576" s="29" t="s">
        <v>98</v>
      </c>
      <c r="H576" s="29" t="s">
        <v>424</v>
      </c>
      <c r="I576" s="141" t="s">
        <v>483</v>
      </c>
      <c r="J576" s="133">
        <v>0.691666666666667</v>
      </c>
    </row>
    <row r="577" spans="1:10">
      <c r="A577" s="31">
        <f>VLOOKUP($C577,SKU!$A:$I,3,FALSE)</f>
        <v>10039</v>
      </c>
      <c r="B577" s="31" t="str">
        <f>VLOOKUP($C577,SKU!$A:$I,2,FALSE)</f>
        <v>非凡航海王第五弹</v>
      </c>
      <c r="C577" s="29" t="s">
        <v>184</v>
      </c>
      <c r="D577" s="29">
        <v>4</v>
      </c>
      <c r="E577" s="31">
        <f>D577*VLOOKUP(A577,Nhập入库!A:N,8,FALSE)</f>
        <v>80</v>
      </c>
      <c r="G577" s="29" t="s">
        <v>130</v>
      </c>
      <c r="H577" s="29" t="s">
        <v>424</v>
      </c>
      <c r="I577" s="141" t="s">
        <v>483</v>
      </c>
      <c r="J577" s="133">
        <v>0.625</v>
      </c>
    </row>
    <row r="578" spans="1:10">
      <c r="A578" s="31">
        <f>VLOOKUP($C578,SKU!$A:$I,3,FALSE)</f>
        <v>10058</v>
      </c>
      <c r="B578" s="31" t="str">
        <f>VLOOKUP($C578,SKU!$A:$I,2,FALSE)</f>
        <v>三丽鸥家族hello kitty梦境巡礼</v>
      </c>
      <c r="C578" s="29" t="s">
        <v>244</v>
      </c>
      <c r="D578" s="29">
        <v>6</v>
      </c>
      <c r="E578" s="31">
        <f>D578*VLOOKUP(A578,Nhập入库!A:N,8,FALSE)</f>
        <v>90</v>
      </c>
      <c r="G578" s="29" t="s">
        <v>78</v>
      </c>
      <c r="H578" s="29" t="s">
        <v>428</v>
      </c>
      <c r="I578" s="141" t="s">
        <v>483</v>
      </c>
      <c r="J578" s="133">
        <v>0.739583333333333</v>
      </c>
    </row>
    <row r="579" spans="1:10">
      <c r="A579" s="31">
        <f>VLOOKUP($C579,SKU!$A:$I,3,FALSE)</f>
        <v>10055</v>
      </c>
      <c r="B579" s="31" t="str">
        <f>VLOOKUP($C579,SKU!$A:$I,2,FALSE)</f>
        <v>绘卷文创 - 梦境入画【鬼灭之刃系列收藏卡砖】</v>
      </c>
      <c r="C579" s="29" t="s">
        <v>234</v>
      </c>
      <c r="D579" s="29">
        <v>2</v>
      </c>
      <c r="E579" s="31">
        <f>D579*VLOOKUP(A579,Nhập入库!A:N,8,FALSE)</f>
        <v>10</v>
      </c>
      <c r="F579" s="29">
        <v>3</v>
      </c>
      <c r="G579" s="34" t="s">
        <v>430</v>
      </c>
      <c r="H579" s="34" t="s">
        <v>431</v>
      </c>
      <c r="I579" s="34" t="s">
        <v>483</v>
      </c>
      <c r="J579" s="133">
        <v>0.807638888888889</v>
      </c>
    </row>
    <row r="580" spans="1:10">
      <c r="A580" s="31">
        <f>VLOOKUP($C580,SKU!$A:$I,3,FALSE)</f>
        <v>10056</v>
      </c>
      <c r="B580" s="31" t="str">
        <f>VLOOKUP($C580,SKU!$A:$I,2,FALSE)</f>
        <v>集卡社天官赐福动画周年纪念版</v>
      </c>
      <c r="C580" s="29" t="s">
        <v>238</v>
      </c>
      <c r="D580" s="29">
        <v>3</v>
      </c>
      <c r="E580" s="31">
        <f>D580*VLOOKUP(A580,Nhập入库!A:N,8,FALSE)</f>
        <v>30</v>
      </c>
      <c r="G580" s="34" t="s">
        <v>433</v>
      </c>
      <c r="H580" s="34" t="s">
        <v>431</v>
      </c>
      <c r="I580" s="34" t="s">
        <v>483</v>
      </c>
      <c r="J580" s="133">
        <v>0.825694444444444</v>
      </c>
    </row>
    <row r="581" spans="1:10">
      <c r="A581" s="31">
        <f>VLOOKUP($C581,SKU!$A:$I,3,FALSE)</f>
        <v>10016</v>
      </c>
      <c r="B581" s="31" t="str">
        <f>VLOOKUP($C581,SKU!$A:$I,2,FALSE)</f>
        <v>思梨普文创《hey!国王陛下》集换式艺术家典藏卡</v>
      </c>
      <c r="C581" s="29" t="s">
        <v>91</v>
      </c>
      <c r="D581" s="29">
        <v>5</v>
      </c>
      <c r="E581" s="31">
        <f>D581*VLOOKUP(A581,Nhập入库!A:N,8,FALSE)</f>
        <v>50</v>
      </c>
      <c r="G581" s="34" t="s">
        <v>429</v>
      </c>
      <c r="H581" s="34" t="s">
        <v>428</v>
      </c>
      <c r="I581" s="34" t="s">
        <v>483</v>
      </c>
      <c r="J581" s="133">
        <v>0.839583333333333</v>
      </c>
    </row>
    <row r="582" spans="1:10">
      <c r="A582" s="31">
        <f>VLOOKUP($C582,SKU!$A:$I,3,FALSE)</f>
        <v>10056</v>
      </c>
      <c r="B582" s="31" t="str">
        <f>VLOOKUP($C582,SKU!$A:$I,2,FALSE)</f>
        <v>集卡社天官赐福动画周年纪念版</v>
      </c>
      <c r="C582" s="29" t="s">
        <v>238</v>
      </c>
      <c r="D582" s="29">
        <v>3</v>
      </c>
      <c r="E582" s="31">
        <f>D582*VLOOKUP(A582,Nhập入库!A:N,8,FALSE)</f>
        <v>30</v>
      </c>
      <c r="G582" s="34" t="s">
        <v>433</v>
      </c>
      <c r="H582" s="34" t="s">
        <v>431</v>
      </c>
      <c r="I582" s="34" t="s">
        <v>483</v>
      </c>
      <c r="J582" s="133">
        <v>0.963888888888889</v>
      </c>
    </row>
    <row r="583" spans="1:10">
      <c r="A583" s="31">
        <f>VLOOKUP($C583,SKU!$A:$I,3,FALSE)</f>
        <v>10016</v>
      </c>
      <c r="B583" s="31" t="str">
        <f>VLOOKUP($C583,SKU!$A:$I,2,FALSE)</f>
        <v>思梨普文创《hey!国王陛下》集换式艺术家典藏卡</v>
      </c>
      <c r="C583" s="29" t="s">
        <v>91</v>
      </c>
      <c r="D583" s="29">
        <v>6</v>
      </c>
      <c r="E583" s="31">
        <f>D583*VLOOKUP(A583,Nhập入库!A:N,8,FALSE)</f>
        <v>60</v>
      </c>
      <c r="G583" s="34" t="s">
        <v>430</v>
      </c>
      <c r="H583" s="34" t="s">
        <v>431</v>
      </c>
      <c r="I583" s="34" t="s">
        <v>483</v>
      </c>
      <c r="J583" s="133">
        <v>0.990277777777778</v>
      </c>
    </row>
    <row r="584" spans="1:10">
      <c r="A584" s="31">
        <f>VLOOKUP($C584,SKU!$A:$I,3,FALSE)</f>
        <v>10008</v>
      </c>
      <c r="B584" s="31" t="str">
        <f>VLOOKUP($C584,SKU!$A:$I,2,FALSE)</f>
        <v>XWork美少女战士-璀璨之梦</v>
      </c>
      <c r="C584" s="29" t="s">
        <v>55</v>
      </c>
      <c r="D584" s="29">
        <v>1</v>
      </c>
      <c r="E584" s="31">
        <f>D584*VLOOKUP(A584,Nhập入库!A:N,8,FALSE)</f>
        <v>10</v>
      </c>
      <c r="G584" s="29" t="s">
        <v>134</v>
      </c>
      <c r="H584" s="29" t="s">
        <v>424</v>
      </c>
      <c r="I584" s="141" t="s">
        <v>485</v>
      </c>
      <c r="J584" s="133">
        <v>0.384722222222222</v>
      </c>
    </row>
    <row r="585" spans="1:10">
      <c r="A585" s="31">
        <f>VLOOKUP($C585,SKU!$A:$I,3,FALSE)</f>
        <v>10046</v>
      </c>
      <c r="B585" s="31" t="str">
        <f>VLOOKUP($C585,SKU!$A:$I,2,FALSE)</f>
        <v>夜灯</v>
      </c>
      <c r="C585" s="29" t="s">
        <v>207</v>
      </c>
      <c r="D585" s="29">
        <v>3</v>
      </c>
      <c r="E585" s="31">
        <f>D585*VLOOKUP(A585,Nhập入库!A:N,8,FALSE)</f>
        <v>3</v>
      </c>
      <c r="G585" s="29" t="s">
        <v>134</v>
      </c>
      <c r="H585" s="29" t="s">
        <v>424</v>
      </c>
      <c r="I585" s="141" t="s">
        <v>485</v>
      </c>
      <c r="J585" s="133">
        <v>0.384722222222222</v>
      </c>
    </row>
    <row r="586" spans="1:10">
      <c r="A586" s="31">
        <f>VLOOKUP($C586,SKU!$A:$I,3,FALSE)</f>
        <v>10043</v>
      </c>
      <c r="B586" s="31" t="str">
        <f>VLOOKUP($C586,SKU!$A:$I,2,FALSE)</f>
        <v>光恋XR-披荆斩棘-美少女战士</v>
      </c>
      <c r="C586" s="29" t="s">
        <v>199</v>
      </c>
      <c r="D586" s="29">
        <v>1</v>
      </c>
      <c r="E586" s="31">
        <f>D586*VLOOKUP(A586,Nhập入库!A:N,8,FALSE)</f>
        <v>13</v>
      </c>
      <c r="G586" s="29" t="s">
        <v>134</v>
      </c>
      <c r="H586" s="29" t="s">
        <v>424</v>
      </c>
      <c r="I586" s="141" t="s">
        <v>485</v>
      </c>
      <c r="J586" s="133">
        <v>0.384722222222222</v>
      </c>
    </row>
    <row r="587" spans="1:10">
      <c r="A587" s="31">
        <f>VLOOKUP($C587,SKU!$A:$I,3,FALSE)</f>
        <v>10055</v>
      </c>
      <c r="B587" s="31" t="str">
        <f>VLOOKUP($C587,SKU!$A:$I,2,FALSE)</f>
        <v>绘卷文创 - 梦境入画【鬼灭之刃系列收藏卡砖】</v>
      </c>
      <c r="C587" s="29" t="s">
        <v>234</v>
      </c>
      <c r="E587" s="31">
        <f>D587*VLOOKUP(A587,Nhập入库!A:N,8,FALSE)</f>
        <v>0</v>
      </c>
      <c r="F587" s="29">
        <v>33</v>
      </c>
      <c r="G587" s="34" t="s">
        <v>426</v>
      </c>
      <c r="H587" s="34" t="s">
        <v>423</v>
      </c>
      <c r="I587" s="141" t="s">
        <v>485</v>
      </c>
      <c r="J587" s="133">
        <v>0.532638888888889</v>
      </c>
    </row>
    <row r="588" spans="1:10">
      <c r="A588" s="31">
        <f>VLOOKUP($C588,SKU!$A:$I,3,FALSE)</f>
        <v>10008</v>
      </c>
      <c r="B588" s="31" t="str">
        <f>VLOOKUP($C588,SKU!$A:$I,2,FALSE)</f>
        <v>XWork美少女战士-璀璨之梦</v>
      </c>
      <c r="C588" s="29" t="s">
        <v>55</v>
      </c>
      <c r="D588" s="29">
        <v>10</v>
      </c>
      <c r="E588" s="31">
        <f>D588*VLOOKUP(A588,Nhập入库!A:N,8,FALSE)</f>
        <v>100</v>
      </c>
      <c r="G588" s="29" t="s">
        <v>130</v>
      </c>
      <c r="H588" s="29" t="s">
        <v>424</v>
      </c>
      <c r="I588" s="141" t="s">
        <v>485</v>
      </c>
      <c r="J588" s="133">
        <v>0.511805555555556</v>
      </c>
    </row>
    <row r="589" spans="1:10">
      <c r="A589" s="31">
        <f>VLOOKUP($C589,SKU!$A:$I,3,FALSE)</f>
        <v>10039</v>
      </c>
      <c r="B589" s="31" t="str">
        <f>VLOOKUP($C589,SKU!$A:$I,2,FALSE)</f>
        <v>非凡航海王第五弹</v>
      </c>
      <c r="C589" s="29" t="s">
        <v>184</v>
      </c>
      <c r="D589" s="29">
        <v>19</v>
      </c>
      <c r="E589" s="31">
        <f>D589*VLOOKUP(A589,Nhập入库!A:N,8,FALSE)</f>
        <v>380</v>
      </c>
      <c r="G589" s="29" t="s">
        <v>477</v>
      </c>
      <c r="H589" s="29" t="s">
        <v>424</v>
      </c>
      <c r="I589" s="141" t="s">
        <v>485</v>
      </c>
      <c r="J589" s="133">
        <v>0.458333333333333</v>
      </c>
    </row>
    <row r="590" spans="1:10">
      <c r="A590" s="31">
        <f>VLOOKUP($C590,SKU!$A:$I,3,FALSE)</f>
        <v>10043</v>
      </c>
      <c r="B590" s="31" t="str">
        <f>VLOOKUP($C590,SKU!$A:$I,2,FALSE)</f>
        <v>光恋XR-披荆斩棘-美少女战士</v>
      </c>
      <c r="C590" s="29" t="s">
        <v>199</v>
      </c>
      <c r="E590" s="31">
        <f>D590*VLOOKUP(A590,Nhập入库!A:N,8,FALSE)</f>
        <v>0</v>
      </c>
      <c r="F590" s="29">
        <v>19</v>
      </c>
      <c r="G590" s="29" t="s">
        <v>130</v>
      </c>
      <c r="H590" s="29" t="s">
        <v>424</v>
      </c>
      <c r="I590" s="141" t="s">
        <v>485</v>
      </c>
      <c r="J590" s="133">
        <v>0.640277777777778</v>
      </c>
    </row>
    <row r="591" spans="1:10">
      <c r="A591" s="31">
        <f>VLOOKUP($C591,SKU!$A:$I,3,FALSE)</f>
        <v>10009</v>
      </c>
      <c r="B591" s="31" t="str">
        <f>VLOOKUP($C591,SKU!$A:$I,2,FALSE)</f>
        <v>万画云游三丽鸥家族百变cos收藏卡</v>
      </c>
      <c r="C591" s="29" t="s">
        <v>61</v>
      </c>
      <c r="D591" s="29">
        <v>5</v>
      </c>
      <c r="E591" s="31">
        <f>D591*VLOOKUP(A591,Nhập入库!A:N,8,FALSE)</f>
        <v>50</v>
      </c>
      <c r="G591" s="34" t="s">
        <v>433</v>
      </c>
      <c r="H591" s="34" t="s">
        <v>431</v>
      </c>
      <c r="I591" s="141" t="s">
        <v>485</v>
      </c>
      <c r="J591" s="133">
        <v>0.783333333333333</v>
      </c>
    </row>
    <row r="592" spans="1:10">
      <c r="A592" s="31">
        <f>VLOOKUP($C592,SKU!$A:$I,3,FALSE)</f>
        <v>10058</v>
      </c>
      <c r="B592" s="31" t="str">
        <f>VLOOKUP($C592,SKU!$A:$I,2,FALSE)</f>
        <v>三丽鸥家族hello kitty梦境巡礼</v>
      </c>
      <c r="C592" s="29" t="s">
        <v>244</v>
      </c>
      <c r="D592" s="29">
        <v>2</v>
      </c>
      <c r="E592" s="31">
        <f>D592*VLOOKUP(A592,Nhập入库!A:N,8,FALSE)</f>
        <v>30</v>
      </c>
      <c r="G592" s="34" t="s">
        <v>433</v>
      </c>
      <c r="H592" s="34" t="s">
        <v>431</v>
      </c>
      <c r="I592" s="141" t="s">
        <v>485</v>
      </c>
      <c r="J592" s="133">
        <v>0.938888888888889</v>
      </c>
    </row>
    <row r="593" spans="1:10">
      <c r="A593" s="31">
        <f>VLOOKUP($C593,SKU!$A:$I,3,FALSE)</f>
        <v>10056</v>
      </c>
      <c r="B593" s="31" t="str">
        <f>VLOOKUP($C593,SKU!$A:$I,2,FALSE)</f>
        <v>集卡社天官赐福动画周年纪念版</v>
      </c>
      <c r="C593" s="29" t="s">
        <v>238</v>
      </c>
      <c r="D593" s="29">
        <v>1</v>
      </c>
      <c r="E593" s="31">
        <f>D593*VLOOKUP(A593,Nhập入库!A:N,8,FALSE)</f>
        <v>10</v>
      </c>
      <c r="G593" s="34" t="s">
        <v>433</v>
      </c>
      <c r="H593" s="34" t="s">
        <v>431</v>
      </c>
      <c r="I593" s="141" t="s">
        <v>485</v>
      </c>
      <c r="J593" s="133">
        <v>0.963888888888889</v>
      </c>
    </row>
    <row r="594" spans="1:10">
      <c r="A594" s="31">
        <f>VLOOKUP($C594,SKU!$A:$I,3,FALSE)</f>
        <v>10056</v>
      </c>
      <c r="B594" s="31" t="str">
        <f>VLOOKUP($C594,SKU!$A:$I,2,FALSE)</f>
        <v>集卡社天官赐福动画周年纪念版</v>
      </c>
      <c r="C594" s="29" t="s">
        <v>238</v>
      </c>
      <c r="D594" s="29">
        <v>2</v>
      </c>
      <c r="E594" s="31">
        <f>D594*VLOOKUP(A594,Nhập入库!A:N,8,FALSE)</f>
        <v>20</v>
      </c>
      <c r="G594" s="34" t="s">
        <v>433</v>
      </c>
      <c r="H594" s="34" t="s">
        <v>431</v>
      </c>
      <c r="I594" s="141" t="s">
        <v>485</v>
      </c>
      <c r="J594" s="133">
        <v>0.963888888888889</v>
      </c>
    </row>
    <row r="595" spans="1:10">
      <c r="A595" s="31">
        <f>VLOOKUP($C595,SKU!$A:$I,3,FALSE)</f>
        <v>10016</v>
      </c>
      <c r="B595" s="31" t="str">
        <f>VLOOKUP($C595,SKU!$A:$I,2,FALSE)</f>
        <v>思梨普文创《hey!国王陛下》集换式艺术家典藏卡</v>
      </c>
      <c r="C595" s="29" t="s">
        <v>91</v>
      </c>
      <c r="D595" s="29">
        <v>2</v>
      </c>
      <c r="E595" s="31">
        <f>D595*VLOOKUP(A595,Nhập入库!A:N,8,FALSE)</f>
        <v>20</v>
      </c>
      <c r="G595" s="34" t="s">
        <v>134</v>
      </c>
      <c r="H595" s="34" t="s">
        <v>408</v>
      </c>
      <c r="I595" s="141" t="s">
        <v>485</v>
      </c>
      <c r="J595" s="133">
        <v>0.625</v>
      </c>
    </row>
    <row r="596" spans="1:10">
      <c r="A596" s="31">
        <f>VLOOKUP($C596,SKU!$A:$I,3,FALSE)</f>
        <v>10039</v>
      </c>
      <c r="B596" s="31" t="str">
        <f>VLOOKUP($C596,SKU!$A:$I,2,FALSE)</f>
        <v>非凡航海王第五弹</v>
      </c>
      <c r="C596" s="29" t="s">
        <v>184</v>
      </c>
      <c r="D596" s="29">
        <v>10</v>
      </c>
      <c r="E596" s="31">
        <f>D596*VLOOKUP(A596,Nhập入库!A:N,8,FALSE)</f>
        <v>200</v>
      </c>
      <c r="G596" s="29" t="s">
        <v>90</v>
      </c>
      <c r="H596" s="29" t="s">
        <v>59</v>
      </c>
      <c r="I596" s="141" t="s">
        <v>486</v>
      </c>
      <c r="J596" s="133">
        <v>0.260416666666667</v>
      </c>
    </row>
    <row r="597" spans="1:10">
      <c r="A597" s="31">
        <f>VLOOKUP($C597,SKU!$A:$I,3,FALSE)</f>
        <v>10056</v>
      </c>
      <c r="B597" s="31" t="str">
        <f>VLOOKUP($C597,SKU!$A:$I,2,FALSE)</f>
        <v>集卡社天官赐福动画周年纪念版</v>
      </c>
      <c r="C597" s="34" t="s">
        <v>238</v>
      </c>
      <c r="D597" s="29">
        <v>1</v>
      </c>
      <c r="E597" s="31">
        <f>D597*VLOOKUP(A597,Nhập入库!A:N,8,FALSE)</f>
        <v>10</v>
      </c>
      <c r="F597" s="29">
        <v>21</v>
      </c>
      <c r="G597" s="34" t="s">
        <v>422</v>
      </c>
      <c r="H597" s="34" t="s">
        <v>406</v>
      </c>
      <c r="I597" s="34" t="s">
        <v>487</v>
      </c>
      <c r="J597" s="133">
        <v>0.389583333333333</v>
      </c>
    </row>
    <row r="598" spans="1:10">
      <c r="A598" s="31">
        <f>VLOOKUP($C598,SKU!$A:$I,3,FALSE)</f>
        <v>10058</v>
      </c>
      <c r="B598" s="31" t="str">
        <f>VLOOKUP($C598,SKU!$A:$I,2,FALSE)</f>
        <v>三丽鸥家族hello kitty梦境巡礼</v>
      </c>
      <c r="C598" s="34" t="s">
        <v>244</v>
      </c>
      <c r="E598" s="31">
        <f>D598*VLOOKUP(A598,Nhập入库!A:N,8,FALSE)</f>
        <v>0</v>
      </c>
      <c r="F598" s="29">
        <v>29</v>
      </c>
      <c r="G598" s="34" t="s">
        <v>422</v>
      </c>
      <c r="H598" s="34" t="s">
        <v>406</v>
      </c>
      <c r="I598" s="34" t="s">
        <v>487</v>
      </c>
      <c r="J598" s="133">
        <v>0.389583333333333</v>
      </c>
    </row>
    <row r="599" spans="1:10">
      <c r="A599" s="31">
        <f>VLOOKUP($C599,SKU!$A:$I,3,FALSE)</f>
        <v>10057</v>
      </c>
      <c r="B599" s="31" t="str">
        <f>VLOOKUP($C599,SKU!$A:$I,2,FALSE)</f>
        <v>三丽鸥家族暖冬</v>
      </c>
      <c r="C599" s="34" t="s">
        <v>241</v>
      </c>
      <c r="D599" s="29">
        <v>3</v>
      </c>
      <c r="E599" s="31">
        <f>D599*VLOOKUP(A599,Nhập入库!A:N,8,FALSE)</f>
        <v>30</v>
      </c>
      <c r="G599" s="34" t="s">
        <v>422</v>
      </c>
      <c r="H599" s="34" t="s">
        <v>406</v>
      </c>
      <c r="I599" s="34" t="s">
        <v>488</v>
      </c>
      <c r="J599" s="133">
        <v>0.434722222222222</v>
      </c>
    </row>
    <row r="600" spans="1:10">
      <c r="A600" s="31">
        <f>VLOOKUP($C600,SKU!$A:$I,3,FALSE)</f>
        <v>10058</v>
      </c>
      <c r="B600" s="31" t="str">
        <f>VLOOKUP($C600,SKU!$A:$I,2,FALSE)</f>
        <v>三丽鸥家族hello kitty梦境巡礼</v>
      </c>
      <c r="C600" s="34" t="s">
        <v>244</v>
      </c>
      <c r="D600" s="29">
        <v>2</v>
      </c>
      <c r="E600" s="31">
        <f>D600*VLOOKUP(A600,Nhập入库!A:N,8,FALSE)</f>
        <v>30</v>
      </c>
      <c r="G600" s="34" t="s">
        <v>422</v>
      </c>
      <c r="H600" s="34" t="s">
        <v>406</v>
      </c>
      <c r="I600" s="34" t="s">
        <v>487</v>
      </c>
      <c r="J600" s="133">
        <v>0.409722222222222</v>
      </c>
    </row>
    <row r="601" spans="1:10">
      <c r="A601" s="31">
        <f>VLOOKUP($C601,SKU!$A:$I,3,FALSE)</f>
        <v>10009</v>
      </c>
      <c r="B601" s="31" t="str">
        <f>VLOOKUP($C601,SKU!$A:$I,2,FALSE)</f>
        <v>万画云游三丽鸥家族百变cos收藏卡</v>
      </c>
      <c r="C601" s="34" t="s">
        <v>61</v>
      </c>
      <c r="D601" s="29">
        <v>2</v>
      </c>
      <c r="E601" s="31">
        <f>D601*VLOOKUP(A601,Nhập入库!A:N,8,FALSE)</f>
        <v>20</v>
      </c>
      <c r="G601" s="34" t="s">
        <v>432</v>
      </c>
      <c r="H601" s="34" t="s">
        <v>406</v>
      </c>
      <c r="I601" s="34" t="s">
        <v>487</v>
      </c>
      <c r="J601" s="133">
        <v>0.409722222222222</v>
      </c>
    </row>
    <row r="602" spans="1:10">
      <c r="A602" s="31">
        <f>VLOOKUP($C602,SKU!$A:$I,3,FALSE)</f>
        <v>10058</v>
      </c>
      <c r="B602" s="31" t="str">
        <f>VLOOKUP($C602,SKU!$A:$I,2,FALSE)</f>
        <v>三丽鸥家族hello kitty梦境巡礼</v>
      </c>
      <c r="C602" s="34" t="s">
        <v>244</v>
      </c>
      <c r="D602" s="29">
        <v>3</v>
      </c>
      <c r="E602" s="31">
        <f>D602*VLOOKUP(A602,Nhập入库!A:N,8,FALSE)</f>
        <v>45</v>
      </c>
      <c r="G602" s="34" t="s">
        <v>422</v>
      </c>
      <c r="H602" s="34" t="s">
        <v>406</v>
      </c>
      <c r="I602" s="34" t="s">
        <v>487</v>
      </c>
      <c r="J602" s="133">
        <v>0.448611111111111</v>
      </c>
    </row>
    <row r="603" spans="1:10">
      <c r="A603" s="31">
        <f>VLOOKUP($C603,SKU!$A:$I,3,FALSE)</f>
        <v>10056</v>
      </c>
      <c r="B603" s="31" t="str">
        <f>VLOOKUP($C603,SKU!$A:$I,2,FALSE)</f>
        <v>集卡社天官赐福动画周年纪念版</v>
      </c>
      <c r="C603" s="34" t="s">
        <v>238</v>
      </c>
      <c r="D603" s="29">
        <v>1</v>
      </c>
      <c r="E603" s="31">
        <f>D603*VLOOKUP(A603,Nhập入库!A:N,8,FALSE)</f>
        <v>10</v>
      </c>
      <c r="G603" s="34" t="s">
        <v>422</v>
      </c>
      <c r="H603" s="34" t="s">
        <v>406</v>
      </c>
      <c r="I603" s="34" t="s">
        <v>487</v>
      </c>
      <c r="J603" s="133">
        <v>0.470833333333333</v>
      </c>
    </row>
    <row r="604" spans="1:10">
      <c r="A604" s="31">
        <f>VLOOKUP($C604,SKU!$A:$I,3,FALSE)</f>
        <v>10056</v>
      </c>
      <c r="B604" s="31" t="str">
        <f>VLOOKUP($C604,SKU!$A:$I,2,FALSE)</f>
        <v>集卡社天官赐福动画周年纪念版</v>
      </c>
      <c r="C604" s="34" t="s">
        <v>238</v>
      </c>
      <c r="E604" s="31">
        <f>D604*VLOOKUP(A604,Nhập入库!A:N,8,FALSE)</f>
        <v>0</v>
      </c>
      <c r="F604" s="29">
        <v>17</v>
      </c>
      <c r="G604" s="34" t="s">
        <v>422</v>
      </c>
      <c r="H604" s="34" t="s">
        <v>406</v>
      </c>
      <c r="I604" s="34" t="s">
        <v>487</v>
      </c>
      <c r="J604" s="133">
        <v>0.502777777777778</v>
      </c>
    </row>
    <row r="605" spans="1:10">
      <c r="A605" s="31">
        <f>VLOOKUP($C605,SKU!$A:$I,3,FALSE)</f>
        <v>10058</v>
      </c>
      <c r="B605" s="31" t="str">
        <f>VLOOKUP($C605,SKU!$A:$I,2,FALSE)</f>
        <v>三丽鸥家族hello kitty梦境巡礼</v>
      </c>
      <c r="C605" s="34" t="s">
        <v>244</v>
      </c>
      <c r="D605" s="29">
        <v>1</v>
      </c>
      <c r="E605" s="31">
        <f>D605*VLOOKUP(A605,Nhập入库!A:N,8,FALSE)</f>
        <v>15</v>
      </c>
      <c r="G605" s="34" t="s">
        <v>422</v>
      </c>
      <c r="H605" s="34" t="s">
        <v>408</v>
      </c>
      <c r="I605" s="34" t="s">
        <v>487</v>
      </c>
      <c r="J605" s="133">
        <v>0.539583333333333</v>
      </c>
    </row>
    <row r="606" spans="1:10">
      <c r="A606" s="31">
        <f>VLOOKUP($C606,SKU!$A:$I,3,FALSE)</f>
        <v>10058</v>
      </c>
      <c r="B606" s="31" t="str">
        <f>VLOOKUP($C606,SKU!$A:$I,2,FALSE)</f>
        <v>三丽鸥家族hello kitty梦境巡礼</v>
      </c>
      <c r="C606" s="34" t="s">
        <v>244</v>
      </c>
      <c r="D606" s="29">
        <v>2</v>
      </c>
      <c r="E606" s="31">
        <f>D606*VLOOKUP(A606,Nhập入库!A:N,8,FALSE)</f>
        <v>30</v>
      </c>
      <c r="G606" s="34" t="s">
        <v>422</v>
      </c>
      <c r="H606" s="34" t="s">
        <v>424</v>
      </c>
      <c r="I606" s="34" t="s">
        <v>487</v>
      </c>
      <c r="J606" s="133">
        <v>0.540277777777778</v>
      </c>
    </row>
    <row r="607" spans="1:10">
      <c r="A607" s="31">
        <f>VLOOKUP($C607,SKU!$A:$I,3,FALSE)</f>
        <v>10039</v>
      </c>
      <c r="B607" s="31" t="str">
        <f>VLOOKUP($C607,SKU!$A:$I,2,FALSE)</f>
        <v>非凡航海王第五弹</v>
      </c>
      <c r="C607" s="34" t="s">
        <v>184</v>
      </c>
      <c r="D607" s="29">
        <v>2</v>
      </c>
      <c r="E607" s="31">
        <f>D607*VLOOKUP(A607,Nhập入库!A:N,8,FALSE)</f>
        <v>40</v>
      </c>
      <c r="G607" s="34" t="s">
        <v>94</v>
      </c>
      <c r="H607" s="34" t="s">
        <v>423</v>
      </c>
      <c r="I607" s="34" t="s">
        <v>487</v>
      </c>
      <c r="J607" s="133">
        <v>0.567361111111111</v>
      </c>
    </row>
    <row r="608" spans="1:10">
      <c r="A608" s="31">
        <f>VLOOKUP($C608,SKU!$A:$I,3,FALSE)</f>
        <v>10043</v>
      </c>
      <c r="B608" s="31" t="str">
        <f>VLOOKUP($C608,SKU!$A:$I,2,FALSE)</f>
        <v>光恋XR-披荆斩棘-美少女战士</v>
      </c>
      <c r="C608" s="29" t="s">
        <v>199</v>
      </c>
      <c r="D608" s="29">
        <v>5</v>
      </c>
      <c r="E608" s="31">
        <f>D608*VLOOKUP(A608,Nhập入库!A:N,8,FALSE)</f>
        <v>65</v>
      </c>
      <c r="G608" s="29" t="s">
        <v>134</v>
      </c>
      <c r="H608" s="29" t="s">
        <v>424</v>
      </c>
      <c r="I608" s="34" t="s">
        <v>487</v>
      </c>
      <c r="J608" s="133">
        <v>0.421527777777778</v>
      </c>
    </row>
    <row r="609" spans="1:10">
      <c r="A609" s="31">
        <f>VLOOKUP($C609,SKU!$A:$I,3,FALSE)</f>
        <v>10042</v>
      </c>
      <c r="B609" s="31" t="str">
        <f>VLOOKUP($C609,SKU!$A:$I,2,FALSE)</f>
        <v>黄油小熊系列收藏卡第二弹 小熊的观察日记</v>
      </c>
      <c r="C609" s="29" t="s">
        <v>196</v>
      </c>
      <c r="D609" s="29">
        <v>3</v>
      </c>
      <c r="E609" s="31">
        <f>D609*VLOOKUP(A609,Nhập入库!A:N,8,FALSE)</f>
        <v>48</v>
      </c>
      <c r="G609" s="29" t="s">
        <v>33</v>
      </c>
      <c r="H609" s="29" t="s">
        <v>424</v>
      </c>
      <c r="I609" s="34" t="s">
        <v>487</v>
      </c>
      <c r="J609" s="133">
        <v>0.592361111111111</v>
      </c>
    </row>
    <row r="610" spans="1:10">
      <c r="A610" s="31">
        <f>VLOOKUP($C610,SKU!$A:$I,3,FALSE)</f>
        <v>10058</v>
      </c>
      <c r="B610" s="31" t="str">
        <f>VLOOKUP($C610,SKU!$A:$I,2,FALSE)</f>
        <v>三丽鸥家族hello kitty梦境巡礼</v>
      </c>
      <c r="C610" s="29" t="s">
        <v>244</v>
      </c>
      <c r="D610" s="29">
        <v>1</v>
      </c>
      <c r="E610" s="31">
        <f>D610*VLOOKUP(A610,Nhập入库!A:N,8,FALSE)</f>
        <v>15</v>
      </c>
      <c r="G610" s="29" t="s">
        <v>422</v>
      </c>
      <c r="H610" s="29" t="s">
        <v>424</v>
      </c>
      <c r="I610" s="34" t="s">
        <v>487</v>
      </c>
      <c r="J610" s="133">
        <v>0.539583333333333</v>
      </c>
    </row>
    <row r="611" spans="1:10">
      <c r="A611" s="31">
        <f>VLOOKUP($C611,SKU!$A:$I,3,FALSE)</f>
        <v>10048</v>
      </c>
      <c r="B611" s="31" t="str">
        <f>VLOOKUP($C611,SKU!$A:$I,2,FALSE)</f>
        <v>奈良社《极昼漫游》美少女战士撕撕乐+异形小卡</v>
      </c>
      <c r="C611" s="29" t="s">
        <v>212</v>
      </c>
      <c r="E611" s="31">
        <f>D611*VLOOKUP(A611,Nhập入库!A:N,8,FALSE)</f>
        <v>0</v>
      </c>
      <c r="F611" s="29">
        <v>3</v>
      </c>
      <c r="G611" s="29" t="s">
        <v>98</v>
      </c>
      <c r="H611" s="29" t="s">
        <v>424</v>
      </c>
      <c r="I611" s="34" t="s">
        <v>487</v>
      </c>
      <c r="J611" s="133">
        <v>0.515972222222222</v>
      </c>
    </row>
    <row r="612" spans="1:10">
      <c r="A612" s="31">
        <f>VLOOKUP($C612,SKU!$A:$I,3,FALSE)</f>
        <v>10016</v>
      </c>
      <c r="B612" s="31" t="str">
        <f>VLOOKUP($C612,SKU!$A:$I,2,FALSE)</f>
        <v>思梨普文创《hey!国王陛下》集换式艺术家典藏卡</v>
      </c>
      <c r="C612" s="29" t="s">
        <v>91</v>
      </c>
      <c r="D612" s="29">
        <v>1</v>
      </c>
      <c r="E612" s="31">
        <f>D612*VLOOKUP(A612,Nhập入库!A:N,8,FALSE)</f>
        <v>10</v>
      </c>
      <c r="G612" s="29" t="s">
        <v>430</v>
      </c>
      <c r="H612" s="29" t="s">
        <v>431</v>
      </c>
      <c r="I612" s="34" t="s">
        <v>487</v>
      </c>
      <c r="J612" s="133">
        <v>0.828472222222222</v>
      </c>
    </row>
    <row r="613" spans="1:10">
      <c r="A613" s="31">
        <f>VLOOKUP($C613,SKU!$A:$I,3,FALSE)</f>
        <v>10026</v>
      </c>
      <c r="B613" s="31" t="str">
        <f>VLOOKUP($C613,SKU!$A:$I,2,FALSE)</f>
        <v>星恋文创·恋与深空《晦明交错之间》亚克力相框卡</v>
      </c>
      <c r="C613" s="29" t="s">
        <v>131</v>
      </c>
      <c r="E613" s="31">
        <f>D613*VLOOKUP(A613,Nhập入库!A:N,8,FALSE)</f>
        <v>0</v>
      </c>
      <c r="F613" s="29">
        <v>20</v>
      </c>
      <c r="G613" s="29" t="s">
        <v>433</v>
      </c>
      <c r="H613" s="29" t="s">
        <v>431</v>
      </c>
      <c r="I613" s="34" t="s">
        <v>487</v>
      </c>
      <c r="J613" s="133">
        <v>0.870138888888889</v>
      </c>
    </row>
    <row r="614" spans="1:10">
      <c r="A614" s="31">
        <f>VLOOKUP($C614,SKU!$A:$I,3,FALSE)</f>
        <v>10058</v>
      </c>
      <c r="B614" s="31" t="str">
        <f>VLOOKUP($C614,SKU!$A:$I,2,FALSE)</f>
        <v>三丽鸥家族hello kitty梦境巡礼</v>
      </c>
      <c r="C614" s="29" t="s">
        <v>244</v>
      </c>
      <c r="E614" s="31">
        <f>D614*VLOOKUP(A614,Nhập入库!A:N,8,FALSE)</f>
        <v>0</v>
      </c>
      <c r="F614" s="29">
        <v>11</v>
      </c>
      <c r="G614" s="29" t="s">
        <v>134</v>
      </c>
      <c r="H614" s="29" t="s">
        <v>408</v>
      </c>
      <c r="I614" s="34" t="s">
        <v>489</v>
      </c>
      <c r="J614" s="133">
        <v>0.398611111111111</v>
      </c>
    </row>
    <row r="615" spans="1:10">
      <c r="A615" s="31">
        <f>VLOOKUP($C615,SKU!$A:$I,3,FALSE)</f>
        <v>10008</v>
      </c>
      <c r="B615" s="31" t="str">
        <f>VLOOKUP($C615,SKU!$A:$I,2,FALSE)</f>
        <v>XWork美少女战士-璀璨之梦</v>
      </c>
      <c r="C615" s="29" t="s">
        <v>55</v>
      </c>
      <c r="D615" s="29">
        <v>5</v>
      </c>
      <c r="E615" s="31">
        <f>D615*VLOOKUP(A615,Nhập入库!A:N,8,FALSE)</f>
        <v>50</v>
      </c>
      <c r="G615" s="29" t="s">
        <v>98</v>
      </c>
      <c r="H615" s="29" t="s">
        <v>423</v>
      </c>
      <c r="I615" s="34" t="s">
        <v>489</v>
      </c>
      <c r="J615" s="133">
        <v>0.454166666666667</v>
      </c>
    </row>
    <row r="616" spans="1:10">
      <c r="A616" s="31">
        <f>VLOOKUP($C616,SKU!$A:$I,3,FALSE)</f>
        <v>10009</v>
      </c>
      <c r="B616" s="31" t="str">
        <f>VLOOKUP($C616,SKU!$A:$I,2,FALSE)</f>
        <v>万画云游三丽鸥家族百变cos收藏卡</v>
      </c>
      <c r="C616" s="29" t="s">
        <v>61</v>
      </c>
      <c r="D616" s="29">
        <v>3</v>
      </c>
      <c r="E616" s="31">
        <f>D616*VLOOKUP(A616,Nhập入库!A:N,8,FALSE)</f>
        <v>30</v>
      </c>
      <c r="G616" s="29" t="s">
        <v>98</v>
      </c>
      <c r="H616" s="29" t="s">
        <v>424</v>
      </c>
      <c r="I616" s="34" t="s">
        <v>489</v>
      </c>
      <c r="J616" s="133">
        <v>0.399305555555556</v>
      </c>
    </row>
    <row r="617" spans="1:10">
      <c r="A617" s="31">
        <f>VLOOKUP($C617,SKU!$A:$I,3,FALSE)</f>
        <v>10048</v>
      </c>
      <c r="B617" s="31" t="str">
        <f>VLOOKUP($C617,SKU!$A:$I,2,FALSE)</f>
        <v>奈良社《极昼漫游》美少女战士撕撕乐+异形小卡</v>
      </c>
      <c r="C617" s="29" t="s">
        <v>212</v>
      </c>
      <c r="E617" s="31">
        <f>D617*VLOOKUP(A617,Nhập入库!A:N,8,FALSE)</f>
        <v>0</v>
      </c>
      <c r="F617" s="29">
        <v>20</v>
      </c>
      <c r="G617" s="29" t="s">
        <v>130</v>
      </c>
      <c r="H617" s="29" t="s">
        <v>424</v>
      </c>
      <c r="I617" s="34" t="s">
        <v>489</v>
      </c>
      <c r="J617" s="133">
        <v>0.422222222222222</v>
      </c>
    </row>
    <row r="618" spans="1:10">
      <c r="A618" s="31">
        <f>VLOOKUP($C618,SKU!$A:$I,3,FALSE)</f>
        <v>10029</v>
      </c>
      <c r="B618" s="31" t="str">
        <f>VLOOKUP($C618,SKU!$A:$I,2,FALSE)</f>
        <v>樱花屋魔卡少女樱</v>
      </c>
      <c r="C618" s="29" t="s">
        <v>143</v>
      </c>
      <c r="D618" s="29">
        <v>1</v>
      </c>
      <c r="E618" s="31">
        <f>D618*VLOOKUP(A618,Nhập入库!A:N,8,FALSE)</f>
        <v>12</v>
      </c>
      <c r="G618" s="29" t="s">
        <v>134</v>
      </c>
      <c r="H618" s="29" t="s">
        <v>424</v>
      </c>
      <c r="I618" s="34" t="s">
        <v>489</v>
      </c>
      <c r="J618" s="133">
        <v>0.422222222222222</v>
      </c>
    </row>
    <row r="619" spans="1:10">
      <c r="A619" s="31">
        <f>VLOOKUP($C619,SKU!$A:$I,3,FALSE)</f>
        <v>10058</v>
      </c>
      <c r="B619" s="31" t="str">
        <f>VLOOKUP($C619,SKU!$A:$I,2,FALSE)</f>
        <v>三丽鸥家族hello kitty梦境巡礼</v>
      </c>
      <c r="C619" s="29" t="s">
        <v>244</v>
      </c>
      <c r="E619" s="31">
        <f>D619*VLOOKUP(A619,Nhập入库!A:N,8,FALSE)</f>
        <v>0</v>
      </c>
      <c r="F619" s="29">
        <v>22</v>
      </c>
      <c r="G619" s="29" t="s">
        <v>422</v>
      </c>
      <c r="H619" s="29" t="s">
        <v>424</v>
      </c>
      <c r="I619" s="34" t="s">
        <v>489</v>
      </c>
      <c r="J619" s="133">
        <v>0.48125</v>
      </c>
    </row>
    <row r="620" spans="1:10">
      <c r="A620" s="31">
        <f>VLOOKUP($C620,SKU!$A:$I,3,FALSE)</f>
        <v>10016</v>
      </c>
      <c r="B620" s="31" t="str">
        <f>VLOOKUP($C620,SKU!$A:$I,2,FALSE)</f>
        <v>思梨普文创《hey!国王陛下》集换式艺术家典藏卡</v>
      </c>
      <c r="C620" s="29" t="s">
        <v>91</v>
      </c>
      <c r="D620" s="29">
        <v>11</v>
      </c>
      <c r="E620" s="31">
        <f>D620*VLOOKUP(A620,Nhập入库!A:N,8,FALSE)</f>
        <v>110</v>
      </c>
      <c r="G620" s="29" t="s">
        <v>426</v>
      </c>
      <c r="H620" s="29" t="s">
        <v>424</v>
      </c>
      <c r="I620" s="34" t="s">
        <v>489</v>
      </c>
      <c r="J620" s="133">
        <v>0.5375</v>
      </c>
    </row>
    <row r="621" spans="1:10">
      <c r="A621" s="31">
        <f>VLOOKUP($C621,SKU!$A:$I,3,FALSE)</f>
        <v>10016</v>
      </c>
      <c r="B621" s="31" t="str">
        <f>VLOOKUP($C621,SKU!$A:$I,2,FALSE)</f>
        <v>思梨普文创《hey!国王陛下》集换式艺术家典藏卡</v>
      </c>
      <c r="C621" s="29" t="s">
        <v>91</v>
      </c>
      <c r="D621" s="29">
        <v>5</v>
      </c>
      <c r="E621" s="31">
        <f>D621*VLOOKUP(A621,Nhập入库!A:N,8,FALSE)</f>
        <v>50</v>
      </c>
      <c r="G621" s="29" t="s">
        <v>430</v>
      </c>
      <c r="H621" s="29" t="s">
        <v>431</v>
      </c>
      <c r="I621" s="34" t="s">
        <v>489</v>
      </c>
      <c r="J621" s="133">
        <v>0.731944444444444</v>
      </c>
    </row>
    <row r="622" spans="1:10">
      <c r="A622" s="31">
        <f>VLOOKUP($C622,SKU!$A:$I,3,FALSE)</f>
        <v>10038</v>
      </c>
      <c r="B622" s="31" t="str">
        <f>VLOOKUP($C622,SKU!$A:$I,2,FALSE)</f>
        <v>浮光工作室❤第三弹【夏风吻过你的睫毛】</v>
      </c>
      <c r="C622" s="29" t="s">
        <v>179</v>
      </c>
      <c r="E622" s="31">
        <f>D622*VLOOKUP(A622,Nhập入库!A:N,8,FALSE)</f>
        <v>0</v>
      </c>
      <c r="F622" s="29">
        <v>16</v>
      </c>
      <c r="G622" s="29" t="s">
        <v>433</v>
      </c>
      <c r="H622" s="29" t="s">
        <v>431</v>
      </c>
      <c r="I622" s="34" t="s">
        <v>489</v>
      </c>
      <c r="J622" s="133">
        <v>0.731944444444444</v>
      </c>
    </row>
    <row r="623" spans="1:10">
      <c r="A623" s="31">
        <f>VLOOKUP($C623,SKU!$A:$I,3,FALSE)</f>
        <v>10054</v>
      </c>
      <c r="B623" s="31" t="str">
        <f>VLOOKUP($C623,SKU!$A:$I,2,FALSE)</f>
        <v>太阳能招财猫</v>
      </c>
      <c r="C623" s="29" t="s">
        <v>231</v>
      </c>
      <c r="D623" s="29">
        <v>1</v>
      </c>
      <c r="E623" s="31">
        <f>D623*VLOOKUP(A623,Nhập入库!A:N,8,FALSE)</f>
        <v>1</v>
      </c>
      <c r="G623" s="29" t="s">
        <v>429</v>
      </c>
      <c r="H623" s="29" t="s">
        <v>428</v>
      </c>
      <c r="I623" s="34" t="s">
        <v>485</v>
      </c>
      <c r="J623" s="133">
        <v>0.981944444444444</v>
      </c>
    </row>
    <row r="624" spans="1:10">
      <c r="A624" s="31">
        <f>VLOOKUP($C624,SKU!$A:$I,3,FALSE)</f>
        <v>10038</v>
      </c>
      <c r="B624" s="31" t="str">
        <f>VLOOKUP($C624,SKU!$A:$I,2,FALSE)</f>
        <v>浮光工作室❤第三弹【夏风吻过你的睫毛】</v>
      </c>
      <c r="C624" s="29" t="s">
        <v>179</v>
      </c>
      <c r="E624" s="31">
        <f>D624*VLOOKUP(A624,Nhập入库!A:N,8,FALSE)</f>
        <v>0</v>
      </c>
      <c r="F624" s="29">
        <v>2</v>
      </c>
      <c r="G624" s="29" t="s">
        <v>433</v>
      </c>
      <c r="H624" s="29" t="s">
        <v>431</v>
      </c>
      <c r="I624" s="34" t="s">
        <v>489</v>
      </c>
      <c r="J624" s="133">
        <v>0.989583333333333</v>
      </c>
    </row>
    <row r="625" spans="1:10">
      <c r="A625" s="31">
        <f>VLOOKUP($C625,SKU!$A:$I,3,FALSE)</f>
        <v>10008</v>
      </c>
      <c r="B625" s="31" t="str">
        <f>VLOOKUP($C625,SKU!$A:$I,2,FALSE)</f>
        <v>XWork美少女战士-璀璨之梦</v>
      </c>
      <c r="C625" s="29" t="s">
        <v>55</v>
      </c>
      <c r="D625" s="29">
        <v>5</v>
      </c>
      <c r="E625" s="31">
        <f>D625*VLOOKUP(A625,Nhập入库!A:N,8,FALSE)</f>
        <v>50</v>
      </c>
      <c r="G625" s="29" t="s">
        <v>426</v>
      </c>
      <c r="H625" s="29" t="s">
        <v>423</v>
      </c>
      <c r="I625" s="34" t="s">
        <v>490</v>
      </c>
      <c r="J625" s="133">
        <v>0.447916666666667</v>
      </c>
    </row>
    <row r="626" spans="1:10">
      <c r="A626" s="31">
        <f>VLOOKUP($C626,SKU!$A:$I,3,FALSE)</f>
        <v>10008</v>
      </c>
      <c r="B626" s="31" t="str">
        <f>VLOOKUP($C626,SKU!$A:$I,2,FALSE)</f>
        <v>XWork美少女战士-璀璨之梦</v>
      </c>
      <c r="C626" s="29" t="s">
        <v>55</v>
      </c>
      <c r="D626" s="29">
        <v>5</v>
      </c>
      <c r="E626" s="31">
        <f>D626*VLOOKUP(A626,Nhập入库!A:N,8,FALSE)</f>
        <v>50</v>
      </c>
      <c r="G626" s="29" t="s">
        <v>426</v>
      </c>
      <c r="H626" s="29" t="s">
        <v>423</v>
      </c>
      <c r="I626" s="34" t="s">
        <v>490</v>
      </c>
      <c r="J626" s="133">
        <v>0.541666666666667</v>
      </c>
    </row>
    <row r="627" spans="1:10">
      <c r="A627" s="31">
        <f>VLOOKUP($C627,SKU!$A:$I,3,FALSE)</f>
        <v>10016</v>
      </c>
      <c r="B627" s="31" t="str">
        <f>VLOOKUP($C627,SKU!$A:$I,2,FALSE)</f>
        <v>思梨普文创《hey!国王陛下》集换式艺术家典藏卡</v>
      </c>
      <c r="C627" s="29" t="s">
        <v>91</v>
      </c>
      <c r="D627" s="29">
        <v>5</v>
      </c>
      <c r="E627" s="31">
        <f>D627*VLOOKUP(A627,Nhập入库!A:N,8,FALSE)</f>
        <v>50</v>
      </c>
      <c r="G627" s="29" t="s">
        <v>422</v>
      </c>
      <c r="H627" s="29" t="s">
        <v>408</v>
      </c>
      <c r="I627" s="34" t="s">
        <v>490</v>
      </c>
      <c r="J627" s="133">
        <v>0.585416666666667</v>
      </c>
    </row>
    <row r="628" spans="1:10">
      <c r="A628" s="31">
        <f>VLOOKUP($C628,SKU!$A:$I,3,FALSE)</f>
        <v>10035</v>
      </c>
      <c r="B628" s="31" t="str">
        <f>VLOOKUP($C628,SKU!$A:$I,2,FALSE)</f>
        <v>KK CARD × 新海诚系列第一弹</v>
      </c>
      <c r="C628" s="29" t="s">
        <v>167</v>
      </c>
      <c r="D628" s="29">
        <v>5</v>
      </c>
      <c r="E628" s="31">
        <f>D628*VLOOKUP(A628,Nhập入库!A:N,8,FALSE)</f>
        <v>70</v>
      </c>
      <c r="G628" s="29" t="s">
        <v>432</v>
      </c>
      <c r="H628" s="29" t="s">
        <v>424</v>
      </c>
      <c r="I628" s="34" t="s">
        <v>490</v>
      </c>
      <c r="J628" s="133">
        <v>0.60625</v>
      </c>
    </row>
    <row r="629" spans="1:10">
      <c r="A629" s="31">
        <f>VLOOKUP($C629,SKU!$A:$I,3,FALSE)</f>
        <v>10058</v>
      </c>
      <c r="B629" s="31" t="str">
        <f>VLOOKUP($C629,SKU!$A:$I,2,FALSE)</f>
        <v>三丽鸥家族hello kitty梦境巡礼</v>
      </c>
      <c r="C629" s="29" t="s">
        <v>244</v>
      </c>
      <c r="E629" s="31">
        <f>D629*VLOOKUP(A629,Nhập入库!A:N,8,FALSE)</f>
        <v>0</v>
      </c>
      <c r="F629" s="29">
        <v>15</v>
      </c>
      <c r="G629" s="29" t="s">
        <v>98</v>
      </c>
      <c r="H629" s="29" t="s">
        <v>424</v>
      </c>
      <c r="I629" s="34" t="s">
        <v>490</v>
      </c>
      <c r="J629" s="133">
        <v>0.422222222222222</v>
      </c>
    </row>
    <row r="630" spans="1:10">
      <c r="A630" s="31">
        <f>VLOOKUP($C630,SKU!$A:$I,3,FALSE)</f>
        <v>10065</v>
      </c>
      <c r="B630" s="31" t="str">
        <f>VLOOKUP($C630,SKU!$A:$I,2,FALSE)</f>
        <v>【行星文创·上上签·命运答案】X全新原神系列上上签</v>
      </c>
      <c r="C630" s="29" t="s">
        <v>263</v>
      </c>
      <c r="D630" s="29">
        <v>10</v>
      </c>
      <c r="E630" s="31">
        <f>D630*VLOOKUP(A630,Nhập入库!A:N,8,FALSE)</f>
        <v>120</v>
      </c>
      <c r="G630" s="29" t="s">
        <v>426</v>
      </c>
      <c r="H630" s="29" t="s">
        <v>423</v>
      </c>
      <c r="I630" s="34" t="s">
        <v>490</v>
      </c>
      <c r="J630" s="133">
        <v>0.672222222222222</v>
      </c>
    </row>
    <row r="631" spans="1:10">
      <c r="A631" s="31">
        <f>VLOOKUP($C631,SKU!$A:$I,3,FALSE)</f>
        <v>10063</v>
      </c>
      <c r="B631" s="31" t="str">
        <f>VLOOKUP($C631,SKU!$A:$I,2,FALSE)</f>
        <v>浮梦集 「童境绮梦」艺术家联名收藏卡牌</v>
      </c>
      <c r="C631" s="29" t="s">
        <v>257</v>
      </c>
      <c r="D631" s="29">
        <v>10</v>
      </c>
      <c r="E631" s="31">
        <f>D631*VLOOKUP(A631,Nhập入库!A:N,8,FALSE)</f>
        <v>130</v>
      </c>
      <c r="G631" s="29" t="s">
        <v>422</v>
      </c>
      <c r="H631" s="29" t="s">
        <v>423</v>
      </c>
      <c r="I631" s="34" t="s">
        <v>490</v>
      </c>
      <c r="J631" s="133">
        <v>0.672222222222222</v>
      </c>
    </row>
    <row r="632" spans="1:10">
      <c r="A632" s="31">
        <f>VLOOKUP($C632,SKU!$A:$I,3,FALSE)</f>
        <v>10065</v>
      </c>
      <c r="B632" s="31" t="str">
        <f>VLOOKUP($C632,SKU!$A:$I,2,FALSE)</f>
        <v>【行星文创·上上签·命运答案】X全新原神系列上上签</v>
      </c>
      <c r="C632" s="29" t="s">
        <v>263</v>
      </c>
      <c r="D632" s="29">
        <v>10</v>
      </c>
      <c r="E632" s="31">
        <f>D632*VLOOKUP(A632,Nhập入库!A:N,8,FALSE)</f>
        <v>120</v>
      </c>
      <c r="G632" s="29" t="s">
        <v>429</v>
      </c>
      <c r="H632" s="29" t="s">
        <v>428</v>
      </c>
      <c r="I632" s="34" t="s">
        <v>490</v>
      </c>
      <c r="J632" s="133">
        <v>0.699305555555556</v>
      </c>
    </row>
    <row r="633" spans="1:10">
      <c r="A633" s="31">
        <f>VLOOKUP($C633,SKU!$A:$I,3,FALSE)</f>
        <v>10070</v>
      </c>
      <c r="B633" s="31" t="str">
        <f>VLOOKUP($C633,SKU!$A:$I,2,FALSE)</f>
        <v>【喵谷】&amp;【一诺终生】墨香三部曲系列色纸【魔道】【天官】【渣反】第二弹</v>
      </c>
      <c r="C633" s="29" t="s">
        <v>277</v>
      </c>
      <c r="E633" s="31">
        <f>D633*VLOOKUP(A633,Nhập入库!A:N,8,FALSE)</f>
        <v>0</v>
      </c>
      <c r="F633" s="29">
        <v>90</v>
      </c>
      <c r="G633" s="29" t="s">
        <v>433</v>
      </c>
      <c r="H633" s="29" t="s">
        <v>431</v>
      </c>
      <c r="I633" s="34" t="s">
        <v>490</v>
      </c>
      <c r="J633" s="133">
        <v>0.699305555555556</v>
      </c>
    </row>
    <row r="634" spans="1:10">
      <c r="A634" s="31">
        <f>VLOOKUP($C634,SKU!$A:$I,3,FALSE)</f>
        <v>10071</v>
      </c>
      <c r="B634" s="31" t="str">
        <f>VLOOKUP($C634,SKU!$A:$I,2,FALSE)</f>
        <v>咒术回战-术士收藏卡-高专篇</v>
      </c>
      <c r="C634" s="29" t="s">
        <v>280</v>
      </c>
      <c r="D634" s="29">
        <v>5</v>
      </c>
      <c r="E634" s="31">
        <f>D634*VLOOKUP(A634,Nhập入库!A:N,8,FALSE)</f>
        <v>90</v>
      </c>
      <c r="G634" s="29" t="s">
        <v>430</v>
      </c>
      <c r="H634" s="29" t="s">
        <v>431</v>
      </c>
      <c r="I634" s="34" t="s">
        <v>490</v>
      </c>
      <c r="J634" s="133">
        <v>0.699305555555556</v>
      </c>
    </row>
    <row r="635" spans="1:10">
      <c r="A635" s="31">
        <f>VLOOKUP($C635,SKU!$A:$I,3,FALSE)</f>
        <v>10071</v>
      </c>
      <c r="B635" s="31" t="str">
        <f>VLOOKUP($C635,SKU!$A:$I,2,FALSE)</f>
        <v>咒术回战-术士收藏卡-高专篇</v>
      </c>
      <c r="C635" s="29" t="s">
        <v>280</v>
      </c>
      <c r="D635" s="29">
        <v>5</v>
      </c>
      <c r="E635" s="31">
        <f>D635*VLOOKUP(A635,Nhập入库!A:N,8,FALSE)</f>
        <v>90</v>
      </c>
      <c r="G635" s="29" t="s">
        <v>430</v>
      </c>
      <c r="H635" s="29" t="s">
        <v>431</v>
      </c>
      <c r="I635" s="34" t="s">
        <v>490</v>
      </c>
      <c r="J635" s="133">
        <v>0.699305555555556</v>
      </c>
    </row>
    <row r="636" spans="1:10">
      <c r="A636" s="31">
        <f>VLOOKUP($C636,SKU!$A:$I,3,FALSE)</f>
        <v>10063</v>
      </c>
      <c r="B636" s="31" t="str">
        <f>VLOOKUP($C636,SKU!$A:$I,2,FALSE)</f>
        <v>浮梦集 「童境绮梦」艺术家联名收藏卡牌</v>
      </c>
      <c r="C636" s="29" t="s">
        <v>257</v>
      </c>
      <c r="D636" s="29">
        <v>5</v>
      </c>
      <c r="E636" s="31">
        <f>D636*VLOOKUP(A636,Nhập入库!A:N,8,FALSE)</f>
        <v>65</v>
      </c>
      <c r="G636" s="29" t="s">
        <v>422</v>
      </c>
      <c r="H636" s="29" t="s">
        <v>423</v>
      </c>
      <c r="I636" s="34" t="s">
        <v>490</v>
      </c>
      <c r="J636" s="133">
        <v>0.657638888888889</v>
      </c>
    </row>
    <row r="637" spans="1:10">
      <c r="A637" s="31">
        <f>VLOOKUP($C637,SKU!$A:$I,3,FALSE)</f>
        <v>10066</v>
      </c>
      <c r="B637" s="31" t="str">
        <f>VLOOKUP($C637,SKU!$A:$I,2,FALSE)</f>
        <v>卡游柯南揭秘包第2弹</v>
      </c>
      <c r="C637" s="29" t="s">
        <v>266</v>
      </c>
      <c r="D637" s="29">
        <v>10</v>
      </c>
      <c r="E637" s="31">
        <f>D637*VLOOKUP(A637,Nhập入库!A:N,8,FALSE)</f>
        <v>360</v>
      </c>
      <c r="G637" s="29" t="s">
        <v>78</v>
      </c>
      <c r="H637" s="29" t="s">
        <v>428</v>
      </c>
      <c r="I637" s="34" t="s">
        <v>490</v>
      </c>
      <c r="J637" s="133">
        <v>0.824305555555556</v>
      </c>
    </row>
    <row r="638" spans="1:10">
      <c r="A638" s="31">
        <f>VLOOKUP($C638,SKU!$A:$I,3,FALSE)</f>
        <v>10062</v>
      </c>
      <c r="B638" s="31" t="str">
        <f>VLOOKUP($C638,SKU!$A:$I,2,FALSE)</f>
        <v>Mobile Legends: Bang Bang-Collectible Cards-Hand of Destiny-001A-SEA</v>
      </c>
      <c r="C638" s="29" t="s">
        <v>255</v>
      </c>
      <c r="D638" s="29">
        <v>5</v>
      </c>
      <c r="E638" s="31">
        <f>D638*VLOOKUP(A638,Nhập入库!A:N,8,FALSE)</f>
        <v>100</v>
      </c>
      <c r="G638" s="29" t="s">
        <v>90</v>
      </c>
      <c r="H638" s="29" t="s">
        <v>59</v>
      </c>
      <c r="I638" s="34" t="s">
        <v>491</v>
      </c>
      <c r="J638" s="133">
        <v>0.04375</v>
      </c>
    </row>
    <row r="639" spans="1:10">
      <c r="A639" s="31">
        <f>VLOOKUP($C639,SKU!$A:$I,3,FALSE)</f>
        <v>10066</v>
      </c>
      <c r="B639" s="31" t="str">
        <f>VLOOKUP($C639,SKU!$A:$I,2,FALSE)</f>
        <v>卡游柯南揭秘包第2弹</v>
      </c>
      <c r="C639" s="29" t="s">
        <v>266</v>
      </c>
      <c r="D639" s="29">
        <v>5</v>
      </c>
      <c r="E639" s="31">
        <f>D639*VLOOKUP(A639,Nhập入库!A:N,8,FALSE)</f>
        <v>180</v>
      </c>
      <c r="G639" s="29" t="s">
        <v>33</v>
      </c>
      <c r="H639" s="29" t="s">
        <v>424</v>
      </c>
      <c r="I639" s="34" t="s">
        <v>491</v>
      </c>
      <c r="J639" s="133">
        <v>0.425</v>
      </c>
    </row>
    <row r="640" spans="1:10">
      <c r="A640" s="31">
        <f>VLOOKUP($C640,SKU!$A:$I,3,FALSE)</f>
        <v>10016</v>
      </c>
      <c r="B640" s="31" t="str">
        <f>VLOOKUP($C640,SKU!$A:$I,2,FALSE)</f>
        <v>思梨普文创《hey!国王陛下》集换式艺术家典藏卡</v>
      </c>
      <c r="C640" s="29" t="s">
        <v>91</v>
      </c>
      <c r="D640" s="29">
        <v>5</v>
      </c>
      <c r="E640" s="31">
        <f>D640*VLOOKUP(A640,Nhập入库!A:N,8,FALSE)</f>
        <v>50</v>
      </c>
      <c r="G640" s="29" t="s">
        <v>130</v>
      </c>
      <c r="H640" s="29" t="s">
        <v>424</v>
      </c>
      <c r="I640" s="34" t="s">
        <v>491</v>
      </c>
      <c r="J640" s="133">
        <v>0.425</v>
      </c>
    </row>
    <row r="641" spans="1:10">
      <c r="A641" s="31">
        <f>VLOOKUP($C641,SKU!$A:$I,3,FALSE)</f>
        <v>10058</v>
      </c>
      <c r="B641" s="31" t="str">
        <f>VLOOKUP($C641,SKU!$A:$I,2,FALSE)</f>
        <v>三丽鸥家族hello kitty梦境巡礼</v>
      </c>
      <c r="C641" s="29" t="s">
        <v>244</v>
      </c>
      <c r="E641" s="31">
        <f>D641*VLOOKUP(A641,Nhập入库!A:N,8,FALSE)</f>
        <v>0</v>
      </c>
      <c r="F641" s="29">
        <v>6</v>
      </c>
      <c r="G641" s="29" t="s">
        <v>422</v>
      </c>
      <c r="H641" s="29" t="s">
        <v>424</v>
      </c>
      <c r="I641" s="34" t="s">
        <v>491</v>
      </c>
      <c r="J641" s="133">
        <v>0.425</v>
      </c>
    </row>
    <row r="642" spans="1:10">
      <c r="A642" s="31">
        <f>VLOOKUP($C642,SKU!$A:$I,3,FALSE)</f>
        <v>10058</v>
      </c>
      <c r="B642" s="31" t="str">
        <f>VLOOKUP($C642,SKU!$A:$I,2,FALSE)</f>
        <v>三丽鸥家族hello kitty梦境巡礼</v>
      </c>
      <c r="C642" s="29" t="s">
        <v>244</v>
      </c>
      <c r="E642" s="31">
        <f>D642*VLOOKUP(A642,Nhập入库!A:N,8,FALSE)</f>
        <v>0</v>
      </c>
      <c r="F642" s="29">
        <v>7</v>
      </c>
      <c r="G642" s="29" t="s">
        <v>422</v>
      </c>
      <c r="H642" s="29" t="s">
        <v>424</v>
      </c>
      <c r="I642" s="34" t="s">
        <v>491</v>
      </c>
      <c r="J642" s="133">
        <v>0.425</v>
      </c>
    </row>
    <row r="643" spans="1:10">
      <c r="A643" s="31">
        <f>VLOOKUP($C643,SKU!$A:$I,3,FALSE)</f>
        <v>10066</v>
      </c>
      <c r="B643" s="31" t="str">
        <f>VLOOKUP($C643,SKU!$A:$I,2,FALSE)</f>
        <v>卡游柯南揭秘包第2弹</v>
      </c>
      <c r="C643" s="29" t="s">
        <v>266</v>
      </c>
      <c r="D643" s="29">
        <v>5</v>
      </c>
      <c r="E643" s="31">
        <f>D643*VLOOKUP(A643,Nhập入库!A:N,8,FALSE)</f>
        <v>180</v>
      </c>
      <c r="G643" s="29" t="s">
        <v>432</v>
      </c>
      <c r="H643" s="29" t="s">
        <v>423</v>
      </c>
      <c r="I643" s="34" t="s">
        <v>491</v>
      </c>
      <c r="J643" s="133">
        <v>0.425</v>
      </c>
    </row>
    <row r="644" spans="1:10">
      <c r="A644" s="31">
        <f>VLOOKUP($C644,SKU!$A:$I,3,FALSE)</f>
        <v>10062</v>
      </c>
      <c r="B644" s="31" t="str">
        <f>VLOOKUP($C644,SKU!$A:$I,2,FALSE)</f>
        <v>Mobile Legends: Bang Bang-Collectible Cards-Hand of Destiny-001A-SEA</v>
      </c>
      <c r="C644" s="29" t="s">
        <v>255</v>
      </c>
      <c r="D644" s="29">
        <v>10</v>
      </c>
      <c r="E644" s="31">
        <f>D644*VLOOKUP(A644,Nhập入库!A:N,8,FALSE)</f>
        <v>200</v>
      </c>
      <c r="G644" s="29" t="s">
        <v>429</v>
      </c>
      <c r="H644" s="29" t="s">
        <v>428</v>
      </c>
      <c r="I644" s="34" t="s">
        <v>491</v>
      </c>
      <c r="J644" s="133">
        <v>0.675</v>
      </c>
    </row>
    <row r="645" spans="1:10">
      <c r="A645" s="31">
        <f>VLOOKUP($C645,SKU!$A:$I,3,FALSE)</f>
        <v>10067</v>
      </c>
      <c r="B645" s="31" t="str">
        <f>VLOOKUP($C645,SKU!$A:$I,2,FALSE)</f>
        <v>拓宇文创—崩铁·启航星程 A6 亚克力色纸</v>
      </c>
      <c r="C645" s="29" t="s">
        <v>268</v>
      </c>
      <c r="D645" s="29">
        <v>90</v>
      </c>
      <c r="E645" s="31">
        <f>D645*VLOOKUP(A645,Nhập入库!A:N,8,FALSE)</f>
        <v>90</v>
      </c>
      <c r="G645" s="29" t="s">
        <v>426</v>
      </c>
      <c r="H645" s="29" t="s">
        <v>423</v>
      </c>
      <c r="I645" s="34" t="s">
        <v>491</v>
      </c>
      <c r="J645" s="133">
        <v>0.758333333333333</v>
      </c>
    </row>
    <row r="646" spans="1:10">
      <c r="A646" s="31">
        <f>VLOOKUP($C646,SKU!$A:$I,3,FALSE)</f>
        <v>10008</v>
      </c>
      <c r="B646" s="31" t="str">
        <f>VLOOKUP($C646,SKU!$A:$I,2,FALSE)</f>
        <v>XWork美少女战士-璀璨之梦</v>
      </c>
      <c r="C646" s="29" t="s">
        <v>55</v>
      </c>
      <c r="D646" s="29">
        <v>5</v>
      </c>
      <c r="E646" s="31">
        <f>D646*VLOOKUP(A646,Nhập入库!A:N,8,FALSE)</f>
        <v>50</v>
      </c>
      <c r="G646" s="29" t="s">
        <v>118</v>
      </c>
      <c r="H646" s="29" t="s">
        <v>428</v>
      </c>
      <c r="I646" s="34" t="s">
        <v>491</v>
      </c>
      <c r="J646" s="133">
        <v>0.841666666666667</v>
      </c>
    </row>
    <row r="647" spans="1:10">
      <c r="A647" s="31">
        <f>VLOOKUP($C647,SKU!$A:$I,3,FALSE)</f>
        <v>10039</v>
      </c>
      <c r="B647" s="31" t="str">
        <f>VLOOKUP($C647,SKU!$A:$I,2,FALSE)</f>
        <v>非凡航海王第五弹</v>
      </c>
      <c r="C647" s="29" t="s">
        <v>184</v>
      </c>
      <c r="D647" s="29">
        <v>15</v>
      </c>
      <c r="E647" s="31">
        <f>D647*VLOOKUP(A647,Nhập入库!A:N,8,FALSE)</f>
        <v>300</v>
      </c>
      <c r="G647" s="29" t="s">
        <v>90</v>
      </c>
      <c r="H647" s="29" t="s">
        <v>59</v>
      </c>
      <c r="I647" s="141" t="s">
        <v>492</v>
      </c>
      <c r="J647" s="133">
        <v>0.155555555555556</v>
      </c>
    </row>
    <row r="648" spans="1:10">
      <c r="A648" s="31">
        <f>VLOOKUP($C648,SKU!$A:$I,3,FALSE)</f>
        <v>10057</v>
      </c>
      <c r="B648" s="31" t="str">
        <f>VLOOKUP($C648,SKU!$A:$I,2,FALSE)</f>
        <v>三丽鸥家族暖冬</v>
      </c>
      <c r="C648" s="29" t="s">
        <v>241</v>
      </c>
      <c r="D648" s="29">
        <v>1</v>
      </c>
      <c r="E648" s="31">
        <f>D648*VLOOKUP(A648,Nhập入库!A:N,8,FALSE)</f>
        <v>10</v>
      </c>
      <c r="G648" s="29" t="s">
        <v>422</v>
      </c>
      <c r="H648" s="29" t="s">
        <v>408</v>
      </c>
      <c r="I648" s="141" t="s">
        <v>492</v>
      </c>
      <c r="J648" s="133">
        <v>0.427083333333333</v>
      </c>
    </row>
    <row r="649" spans="1:10">
      <c r="A649" s="31">
        <f>VLOOKUP($C649,SKU!$A:$I,3,FALSE)</f>
        <v>10063</v>
      </c>
      <c r="B649" s="31" t="str">
        <f>VLOOKUP($C649,SKU!$A:$I,2,FALSE)</f>
        <v>浮梦集 「童境绮梦」艺术家联名收藏卡牌</v>
      </c>
      <c r="C649" s="29" t="s">
        <v>257</v>
      </c>
      <c r="D649" s="29">
        <v>5</v>
      </c>
      <c r="E649" s="31">
        <f>D649*VLOOKUP(A649,Nhập入库!A:N,8,FALSE)</f>
        <v>65</v>
      </c>
      <c r="G649" s="29" t="s">
        <v>422</v>
      </c>
      <c r="H649" s="29" t="s">
        <v>423</v>
      </c>
      <c r="I649" s="34" t="s">
        <v>492</v>
      </c>
      <c r="J649" s="133">
        <v>0.498611111111111</v>
      </c>
    </row>
    <row r="650" spans="1:10">
      <c r="A650" s="31">
        <f>VLOOKUP($C650,SKU!$A:$I,3,FALSE)</f>
        <v>10014</v>
      </c>
      <c r="B650" s="31" t="str">
        <f>VLOOKUP($C650,SKU!$A:$I,2,FALSE)</f>
        <v>星梦文创-Studio Ghibli宫崎骏撕撕乐系列 </v>
      </c>
      <c r="C650" s="29" t="s">
        <v>83</v>
      </c>
      <c r="D650" s="29">
        <v>10</v>
      </c>
      <c r="E650" s="31">
        <f>D650*VLOOKUP(A650,Nhập入库!A:N,8,FALSE)</f>
        <v>30</v>
      </c>
      <c r="G650" s="29" t="s">
        <v>33</v>
      </c>
      <c r="H650" s="29" t="s">
        <v>424</v>
      </c>
      <c r="I650" s="34" t="s">
        <v>492</v>
      </c>
      <c r="J650" s="133">
        <v>0.509722222222222</v>
      </c>
    </row>
    <row r="651" spans="1:10">
      <c r="A651" s="31">
        <f>VLOOKUP($C651,SKU!$A:$I,3,FALSE)</f>
        <v>10014</v>
      </c>
      <c r="B651" s="31" t="str">
        <f>VLOOKUP($C651,SKU!$A:$I,2,FALSE)</f>
        <v>星梦文创-Studio Ghibli宫崎骏撕撕乐系列 </v>
      </c>
      <c r="C651" s="29" t="s">
        <v>83</v>
      </c>
      <c r="D651" s="29">
        <v>10</v>
      </c>
      <c r="E651" s="31">
        <f>D651*VLOOKUP(A651,Nhập入库!A:N,8,FALSE)</f>
        <v>30</v>
      </c>
      <c r="G651" s="29" t="s">
        <v>98</v>
      </c>
      <c r="H651" s="29" t="s">
        <v>424</v>
      </c>
      <c r="I651" s="34" t="s">
        <v>492</v>
      </c>
      <c r="J651" s="133">
        <v>0.446527777777778</v>
      </c>
    </row>
    <row r="652" spans="1:10">
      <c r="A652" s="31">
        <f>VLOOKUP($C652,SKU!$A:$I,3,FALSE)</f>
        <v>10039</v>
      </c>
      <c r="B652" s="31" t="str">
        <f>VLOOKUP($C652,SKU!$A:$I,2,FALSE)</f>
        <v>非凡航海王第五弹</v>
      </c>
      <c r="C652" s="29" t="s">
        <v>184</v>
      </c>
      <c r="D652" s="29">
        <v>24</v>
      </c>
      <c r="E652" s="31">
        <f>D652*VLOOKUP(A652,Nhập入库!A:N,8,FALSE)</f>
        <v>480</v>
      </c>
      <c r="G652" s="29" t="s">
        <v>33</v>
      </c>
      <c r="H652" s="29" t="s">
        <v>424</v>
      </c>
      <c r="I652" s="34" t="s">
        <v>492</v>
      </c>
      <c r="J652" s="133">
        <v>0.509722222222222</v>
      </c>
    </row>
    <row r="653" spans="1:10">
      <c r="A653" s="31">
        <f>VLOOKUP($C653,SKU!$A:$I,3,FALSE)</f>
        <v>10007</v>
      </c>
      <c r="B653" s="31" t="str">
        <f>VLOOKUP($C653,SKU!$A:$I,2,FALSE)</f>
        <v>kawaii宫崎骏梦幻之国</v>
      </c>
      <c r="C653" s="29" t="s">
        <v>49</v>
      </c>
      <c r="E653" s="31">
        <f>D653*VLOOKUP(A653,Nhập入库!A:N,8,FALSE)</f>
        <v>0</v>
      </c>
      <c r="F653" s="29">
        <v>35</v>
      </c>
      <c r="G653" s="29" t="s">
        <v>33</v>
      </c>
      <c r="H653" s="29" t="s">
        <v>424</v>
      </c>
      <c r="I653" s="34" t="s">
        <v>492</v>
      </c>
      <c r="J653" s="133">
        <v>0.408333333333333</v>
      </c>
    </row>
    <row r="654" spans="1:10">
      <c r="A654" s="31">
        <f>VLOOKUP($C654,SKU!$A:$I,3,FALSE)</f>
        <v>10037</v>
      </c>
      <c r="B654" s="31" t="str">
        <f>VLOOKUP($C654,SKU!$A:$I,2,FALSE)</f>
        <v>磁吸邮票《咪咕咪咕&amp;魔卡少女樱》</v>
      </c>
      <c r="C654" s="29" t="s">
        <v>175</v>
      </c>
      <c r="E654" s="31">
        <f>D654*VLOOKUP(A654,Nhập入库!A:N,8,FALSE)</f>
        <v>0</v>
      </c>
      <c r="F654" s="29">
        <v>2</v>
      </c>
      <c r="G654" s="29" t="s">
        <v>130</v>
      </c>
      <c r="H654" s="29" t="s">
        <v>424</v>
      </c>
      <c r="I654" s="34" t="s">
        <v>492</v>
      </c>
      <c r="J654" s="133">
        <v>0.509722222222222</v>
      </c>
    </row>
    <row r="655" spans="1:10">
      <c r="A655" s="31">
        <f>VLOOKUP($C655,SKU!$A:$I,3,FALSE)</f>
        <v>10064</v>
      </c>
      <c r="B655" s="31" t="str">
        <f>VLOOKUP($C655,SKU!$A:$I,2,FALSE)</f>
        <v>源宇宙崩铁色纸</v>
      </c>
      <c r="C655" s="29" t="s">
        <v>260</v>
      </c>
      <c r="D655" s="29">
        <v>5</v>
      </c>
      <c r="E655" s="31">
        <f>D655*VLOOKUP(A655,Nhập入库!A:N,8,FALSE)</f>
        <v>30</v>
      </c>
      <c r="G655" s="29" t="s">
        <v>429</v>
      </c>
      <c r="H655" s="29" t="s">
        <v>428</v>
      </c>
      <c r="I655" s="34" t="s">
        <v>492</v>
      </c>
      <c r="J655" s="133">
        <v>0.738194444444444</v>
      </c>
    </row>
    <row r="656" spans="1:10">
      <c r="A656" s="31">
        <f>VLOOKUP($C656,SKU!$A:$I,3,FALSE)</f>
        <v>10064</v>
      </c>
      <c r="B656" s="31" t="str">
        <f>VLOOKUP($C656,SKU!$A:$I,2,FALSE)</f>
        <v>源宇宙崩铁色纸</v>
      </c>
      <c r="C656" s="29" t="s">
        <v>260</v>
      </c>
      <c r="D656" s="29">
        <v>5</v>
      </c>
      <c r="E656" s="31">
        <f>D656*VLOOKUP(A656,Nhập入库!A:N,8,FALSE)</f>
        <v>30</v>
      </c>
      <c r="G656" s="29" t="s">
        <v>78</v>
      </c>
      <c r="H656" s="29" t="s">
        <v>428</v>
      </c>
      <c r="I656" s="34" t="s">
        <v>492</v>
      </c>
      <c r="J656" s="133">
        <v>0.738194444444444</v>
      </c>
    </row>
    <row r="657" spans="1:10">
      <c r="A657" s="31">
        <f>VLOOKUP($C657,SKU!$A:$I,3,FALSE)</f>
        <v>10042</v>
      </c>
      <c r="B657" s="31" t="str">
        <f>VLOOKUP($C657,SKU!$A:$I,2,FALSE)</f>
        <v>黄油小熊系列收藏卡第二弹 小熊的观察日记</v>
      </c>
      <c r="C657" s="29" t="s">
        <v>196</v>
      </c>
      <c r="D657" s="29">
        <v>5</v>
      </c>
      <c r="E657" s="31">
        <f>D657*VLOOKUP(A657,Nhập入库!A:N,8,FALSE)</f>
        <v>80</v>
      </c>
      <c r="G657" s="29" t="s">
        <v>142</v>
      </c>
      <c r="H657" s="29" t="s">
        <v>431</v>
      </c>
      <c r="I657" s="34" t="s">
        <v>492</v>
      </c>
      <c r="J657" s="133">
        <v>0.738194444444444</v>
      </c>
    </row>
    <row r="658" spans="1:10">
      <c r="A658" s="31">
        <f>VLOOKUP($C658,SKU!$A:$I,3,FALSE)</f>
        <v>10016</v>
      </c>
      <c r="B658" s="31" t="str">
        <f>VLOOKUP($C658,SKU!$A:$I,2,FALSE)</f>
        <v>思梨普文创《hey!国王陛下》集换式艺术家典藏卡</v>
      </c>
      <c r="C658" s="29" t="s">
        <v>91</v>
      </c>
      <c r="D658" s="29">
        <v>3</v>
      </c>
      <c r="E658" s="31">
        <f>D658*VLOOKUP(A658,Nhập入库!A:N,8,FALSE)</f>
        <v>30</v>
      </c>
      <c r="G658" s="29" t="s">
        <v>142</v>
      </c>
      <c r="H658" s="29" t="s">
        <v>431</v>
      </c>
      <c r="I658" s="34" t="s">
        <v>492</v>
      </c>
      <c r="J658" s="133">
        <v>0.738194444444444</v>
      </c>
    </row>
    <row r="659" spans="1:10">
      <c r="A659" s="31">
        <f>VLOOKUP($C659,SKU!$A:$I,3,FALSE)</f>
        <v>10066</v>
      </c>
      <c r="B659" s="31" t="str">
        <f>VLOOKUP($C659,SKU!$A:$I,2,FALSE)</f>
        <v>卡游柯南揭秘包第2弹</v>
      </c>
      <c r="C659" s="29" t="s">
        <v>266</v>
      </c>
      <c r="D659" s="29">
        <v>5</v>
      </c>
      <c r="E659" s="31">
        <f>D659*VLOOKUP(A659,Nhập入库!A:N,8,FALSE)</f>
        <v>180</v>
      </c>
      <c r="G659" s="29" t="s">
        <v>142</v>
      </c>
      <c r="H659" s="29" t="s">
        <v>431</v>
      </c>
      <c r="I659" s="34" t="s">
        <v>492</v>
      </c>
      <c r="J659" s="133">
        <v>0.738194444444444</v>
      </c>
    </row>
    <row r="660" spans="1:10">
      <c r="A660" s="31">
        <f>VLOOKUP($C660,SKU!$A:$I,3,FALSE)</f>
        <v>10002</v>
      </c>
      <c r="B660" s="31" t="str">
        <f>VLOOKUP($C660,SKU!$A:$I,2,FALSE)</f>
        <v>MoonCard月卡《美少女战士》第三弹</v>
      </c>
      <c r="C660" s="29" t="s">
        <v>18</v>
      </c>
      <c r="D660" s="29">
        <v>5</v>
      </c>
      <c r="E660" s="31">
        <f>D660*VLOOKUP(A660,Nhập入库!A:N,8,FALSE)</f>
        <v>65</v>
      </c>
      <c r="G660" s="29" t="s">
        <v>142</v>
      </c>
      <c r="H660" s="29" t="s">
        <v>431</v>
      </c>
      <c r="I660" s="34" t="s">
        <v>492</v>
      </c>
      <c r="J660" s="133">
        <v>0.738194444444444</v>
      </c>
    </row>
    <row r="661" spans="1:10">
      <c r="A661" s="31">
        <f>VLOOKUP($C661,SKU!$A:$I,3,FALSE)</f>
        <v>10064</v>
      </c>
      <c r="B661" s="31" t="str">
        <f>VLOOKUP($C661,SKU!$A:$I,2,FALSE)</f>
        <v>源宇宙崩铁色纸</v>
      </c>
      <c r="C661" s="29" t="s">
        <v>260</v>
      </c>
      <c r="D661" s="29">
        <v>5</v>
      </c>
      <c r="E661" s="31">
        <f>D661*VLOOKUP(A661,Nhập入库!A:N,8,FALSE)</f>
        <v>30</v>
      </c>
      <c r="G661" s="29" t="s">
        <v>78</v>
      </c>
      <c r="H661" s="29" t="s">
        <v>428</v>
      </c>
      <c r="I661" s="34" t="s">
        <v>492</v>
      </c>
      <c r="J661" s="133">
        <v>0.977777777777778</v>
      </c>
    </row>
    <row r="662" spans="1:10">
      <c r="A662" s="31">
        <f>VLOOKUP($C662,SKU!$A:$I,3,FALSE)</f>
        <v>10039</v>
      </c>
      <c r="B662" s="31" t="str">
        <f>VLOOKUP($C662,SKU!$A:$I,2,FALSE)</f>
        <v>非凡航海王第五弹</v>
      </c>
      <c r="C662" s="29" t="s">
        <v>184</v>
      </c>
      <c r="D662" s="29">
        <v>24</v>
      </c>
      <c r="E662" s="31">
        <f>D662*VLOOKUP(A662,Nhập入库!A:N,8,FALSE)</f>
        <v>480</v>
      </c>
      <c r="G662" s="29" t="s">
        <v>90</v>
      </c>
      <c r="H662" s="29" t="s">
        <v>59</v>
      </c>
      <c r="I662" s="34" t="s">
        <v>493</v>
      </c>
      <c r="J662" s="133">
        <v>0.0458333333333333</v>
      </c>
    </row>
    <row r="663" spans="1:10">
      <c r="A663" s="31">
        <f>VLOOKUP($C663,SKU!$A:$I,3,FALSE)</f>
        <v>10071</v>
      </c>
      <c r="B663" s="31" t="str">
        <f>VLOOKUP($C663,SKU!$A:$I,2,FALSE)</f>
        <v>咒术回战-术士收藏卡-高专篇</v>
      </c>
      <c r="C663" s="29" t="s">
        <v>280</v>
      </c>
      <c r="D663" s="29">
        <v>5</v>
      </c>
      <c r="E663" s="31">
        <f>D663*VLOOKUP(A663,Nhập入库!A:N,8,FALSE)</f>
        <v>90</v>
      </c>
      <c r="G663" s="29" t="s">
        <v>90</v>
      </c>
      <c r="H663" s="29" t="s">
        <v>59</v>
      </c>
      <c r="I663" s="34" t="s">
        <v>493</v>
      </c>
      <c r="J663" s="133">
        <v>0.243055555555556</v>
      </c>
    </row>
    <row r="664" spans="1:10">
      <c r="A664" s="31">
        <f>VLOOKUP($C664,SKU!$A:$I,3,FALSE)</f>
        <v>10046</v>
      </c>
      <c r="B664" s="31" t="str">
        <f>VLOOKUP($C664,SKU!$A:$I,2,FALSE)</f>
        <v>夜灯</v>
      </c>
      <c r="C664" s="29" t="s">
        <v>207</v>
      </c>
      <c r="D664" s="29">
        <v>3</v>
      </c>
      <c r="E664" s="31">
        <f>D664*VLOOKUP(A664,Nhập入库!A:N,8,FALSE)</f>
        <v>3</v>
      </c>
      <c r="G664" s="29" t="s">
        <v>422</v>
      </c>
      <c r="H664" s="29" t="s">
        <v>65</v>
      </c>
      <c r="I664" s="34" t="s">
        <v>493</v>
      </c>
      <c r="J664" s="133">
        <v>0.378472222222222</v>
      </c>
    </row>
    <row r="665" spans="1:10">
      <c r="A665" s="31">
        <f>VLOOKUP($C665,SKU!$A:$I,3,FALSE)</f>
        <v>10072</v>
      </c>
      <c r="B665" s="31" t="str">
        <f>VLOOKUP($C665,SKU!$A:$I,2,FALSE)</f>
        <v>伴飞小鸟</v>
      </c>
      <c r="C665" s="29" t="s">
        <v>282</v>
      </c>
      <c r="D665" s="29">
        <v>6</v>
      </c>
      <c r="E665" s="31">
        <f>D665*VLOOKUP(A665,Nhập入库!A:N,8,FALSE)</f>
        <v>6</v>
      </c>
      <c r="G665" s="29" t="s">
        <v>422</v>
      </c>
      <c r="H665" s="29" t="s">
        <v>65</v>
      </c>
      <c r="I665" s="34" t="s">
        <v>493</v>
      </c>
      <c r="J665" s="133">
        <v>0.378472222222222</v>
      </c>
    </row>
    <row r="666" spans="1:10">
      <c r="A666" s="31">
        <f>VLOOKUP($C666,SKU!$A:$I,3,FALSE)</f>
        <v>10046</v>
      </c>
      <c r="B666" s="31" t="str">
        <f>VLOOKUP($C666,SKU!$A:$I,2,FALSE)</f>
        <v>夜灯</v>
      </c>
      <c r="C666" s="29" t="s">
        <v>207</v>
      </c>
      <c r="D666" s="29">
        <v>2</v>
      </c>
      <c r="E666" s="31">
        <f>D666*VLOOKUP(A666,Nhập入库!A:N,8,FALSE)</f>
        <v>2</v>
      </c>
      <c r="G666" s="29" t="s">
        <v>422</v>
      </c>
      <c r="H666" s="29" t="s">
        <v>65</v>
      </c>
      <c r="I666" s="34" t="s">
        <v>493</v>
      </c>
      <c r="J666" s="133">
        <v>0.398611111111111</v>
      </c>
    </row>
    <row r="667" spans="1:10">
      <c r="A667" s="31">
        <f>VLOOKUP($C667,SKU!$A:$I,3,FALSE)</f>
        <v>10071</v>
      </c>
      <c r="B667" s="31" t="str">
        <f>VLOOKUP($C667,SKU!$A:$I,2,FALSE)</f>
        <v>咒术回战-术士收藏卡-高专篇</v>
      </c>
      <c r="C667" s="29" t="s">
        <v>280</v>
      </c>
      <c r="D667" s="29">
        <v>4</v>
      </c>
      <c r="E667" s="31">
        <f>D667*VLOOKUP(A667,Nhập入库!A:N,8,FALSE)</f>
        <v>72</v>
      </c>
      <c r="G667" s="29" t="s">
        <v>33</v>
      </c>
      <c r="H667" s="29" t="s">
        <v>424</v>
      </c>
      <c r="I667" s="34" t="s">
        <v>493</v>
      </c>
      <c r="J667" s="133">
        <v>0.518055555555556</v>
      </c>
    </row>
    <row r="668" spans="1:10">
      <c r="A668" s="31">
        <f>VLOOKUP($C668,SKU!$A:$I,3,FALSE)</f>
        <v>10066</v>
      </c>
      <c r="B668" s="31" t="str">
        <f>VLOOKUP($C668,SKU!$A:$I,2,FALSE)</f>
        <v>卡游柯南揭秘包第2弹</v>
      </c>
      <c r="C668" s="29" t="s">
        <v>266</v>
      </c>
      <c r="D668" s="29">
        <v>5</v>
      </c>
      <c r="E668" s="31">
        <f>D668*VLOOKUP(A668,Nhập入库!A:N,8,FALSE)</f>
        <v>180</v>
      </c>
      <c r="G668" s="29" t="s">
        <v>430</v>
      </c>
      <c r="H668" s="29" t="s">
        <v>431</v>
      </c>
      <c r="I668" s="34" t="s">
        <v>493</v>
      </c>
      <c r="J668" s="133">
        <v>0.744444444444444</v>
      </c>
    </row>
    <row r="669" spans="1:10">
      <c r="A669" s="31">
        <f>VLOOKUP($C669,SKU!$A:$I,3,FALSE)</f>
        <v>10068</v>
      </c>
      <c r="B669" s="31" t="str">
        <f>VLOOKUP($C669,SKU!$A:$I,2,FALSE)</f>
        <v>《竹影摇笺》耽美撕撕乐系列</v>
      </c>
      <c r="C669" s="29" t="s">
        <v>271</v>
      </c>
      <c r="E669" s="31">
        <f>D669*VLOOKUP(A669,Nhập入库!A:N,8,FALSE)</f>
        <v>0</v>
      </c>
      <c r="F669" s="29">
        <v>100</v>
      </c>
      <c r="G669" s="29" t="s">
        <v>433</v>
      </c>
      <c r="H669" s="29" t="s">
        <v>431</v>
      </c>
      <c r="I669" s="34" t="s">
        <v>493</v>
      </c>
      <c r="J669" s="133">
        <v>0.744444444444444</v>
      </c>
    </row>
    <row r="670" spans="1:10">
      <c r="A670" s="31">
        <f>VLOOKUP($C670,SKU!$A:$I,3,FALSE)</f>
        <v>10064</v>
      </c>
      <c r="B670" s="31" t="str">
        <f>VLOOKUP($C670,SKU!$A:$I,2,FALSE)</f>
        <v>源宇宙崩铁色纸</v>
      </c>
      <c r="C670" s="29" t="s">
        <v>260</v>
      </c>
      <c r="D670" s="29">
        <v>30</v>
      </c>
      <c r="E670" s="31">
        <f>D670*VLOOKUP(A670,Nhập入库!A:N,8,FALSE)</f>
        <v>180</v>
      </c>
      <c r="G670" s="29" t="s">
        <v>426</v>
      </c>
      <c r="H670" s="29" t="s">
        <v>65</v>
      </c>
      <c r="I670" s="34" t="s">
        <v>494</v>
      </c>
      <c r="J670" s="133">
        <v>0.422916666666667</v>
      </c>
    </row>
    <row r="671" spans="1:10">
      <c r="A671" s="31">
        <f>VLOOKUP($C671,SKU!$A:$I,3,FALSE)</f>
        <v>10063</v>
      </c>
      <c r="B671" s="31" t="str">
        <f>VLOOKUP($C671,SKU!$A:$I,2,FALSE)</f>
        <v>浮梦集 「童境绮梦」艺术家联名收藏卡牌</v>
      </c>
      <c r="C671" s="29" t="s">
        <v>257</v>
      </c>
      <c r="D671" s="29">
        <v>5</v>
      </c>
      <c r="E671" s="31">
        <f>D671*VLOOKUP(A671,Nhập入库!A:N,8,FALSE)</f>
        <v>65</v>
      </c>
      <c r="G671" s="29" t="s">
        <v>422</v>
      </c>
      <c r="H671" s="29" t="s">
        <v>65</v>
      </c>
      <c r="I671" s="34" t="s">
        <v>494</v>
      </c>
      <c r="J671" s="133">
        <v>0.444444444444444</v>
      </c>
    </row>
    <row r="672" spans="1:10">
      <c r="A672" s="31">
        <f>VLOOKUP($C672,SKU!$A:$I,3,FALSE)</f>
        <v>10075</v>
      </c>
      <c r="B672" s="31" t="str">
        <f>VLOOKUP($C672,SKU!$A:$I,2,FALSE)</f>
        <v>《万卡卡文创》鬼灭之刃日轮破晓第一弹</v>
      </c>
      <c r="C672" s="29" t="s">
        <v>290</v>
      </c>
      <c r="D672" s="29">
        <v>5</v>
      </c>
      <c r="E672" s="31">
        <f>D672*VLOOKUP(A672,Nhập入库!A:N,8,FALSE)</f>
        <v>50</v>
      </c>
      <c r="G672" s="29" t="s">
        <v>432</v>
      </c>
      <c r="H672" s="29" t="s">
        <v>65</v>
      </c>
      <c r="I672" s="34" t="s">
        <v>494</v>
      </c>
      <c r="J672" s="133">
        <v>0.475694444444444</v>
      </c>
    </row>
    <row r="673" spans="1:10">
      <c r="A673" s="31">
        <f>VLOOKUP($C673,SKU!$A:$I,3,FALSE)</f>
        <v>10062</v>
      </c>
      <c r="B673" s="31" t="str">
        <f>VLOOKUP($C673,SKU!$A:$I,2,FALSE)</f>
        <v>Mobile Legends: Bang Bang-Collectible Cards-Hand of Destiny-001A-SEA</v>
      </c>
      <c r="C673" s="29" t="s">
        <v>255</v>
      </c>
      <c r="D673" s="29">
        <v>5</v>
      </c>
      <c r="E673" s="31">
        <f>D673*VLOOKUP(A673,Nhập入库!A:N,8,FALSE)</f>
        <v>100</v>
      </c>
      <c r="G673" s="29" t="s">
        <v>426</v>
      </c>
      <c r="H673" s="29" t="s">
        <v>65</v>
      </c>
      <c r="I673" s="34" t="s">
        <v>494</v>
      </c>
      <c r="J673" s="133">
        <v>0.604166666666667</v>
      </c>
    </row>
    <row r="674" spans="1:10">
      <c r="A674" s="31">
        <f>VLOOKUP($C674,SKU!$A:$I,3,FALSE)</f>
        <v>10078</v>
      </c>
      <c r="B674" s="31" t="str">
        <f>VLOOKUP($C674,SKU!$A:$I,2,FALSE)</f>
        <v>摩斯社×名侦探柯南-摩斯密码系列评级邮票</v>
      </c>
      <c r="C674" s="29" t="s">
        <v>299</v>
      </c>
      <c r="E674" s="31">
        <f>D674*VLOOKUP(A674,Nhập入库!A:N,8,FALSE)</f>
        <v>0</v>
      </c>
      <c r="F674" s="29">
        <v>20</v>
      </c>
      <c r="G674" s="29" t="s">
        <v>33</v>
      </c>
      <c r="H674" s="29" t="s">
        <v>424</v>
      </c>
      <c r="I674" s="34" t="s">
        <v>494</v>
      </c>
      <c r="J674" s="133">
        <v>0.454166666666667</v>
      </c>
    </row>
    <row r="675" spans="1:10">
      <c r="A675" s="31">
        <f>VLOOKUP($C675,SKU!$A:$I,3,FALSE)</f>
        <v>10075</v>
      </c>
      <c r="B675" s="31" t="str">
        <f>VLOOKUP($C675,SKU!$A:$I,2,FALSE)</f>
        <v>《万卡卡文创》鬼灭之刃日轮破晓第一弹</v>
      </c>
      <c r="C675" s="29" t="s">
        <v>290</v>
      </c>
      <c r="D675" s="29">
        <v>5</v>
      </c>
      <c r="E675" s="31">
        <f>D675*VLOOKUP(A675,Nhập入库!A:N,8,FALSE)</f>
        <v>50</v>
      </c>
      <c r="G675" s="29" t="s">
        <v>130</v>
      </c>
      <c r="H675" s="29" t="s">
        <v>424</v>
      </c>
      <c r="I675" s="34" t="s">
        <v>494</v>
      </c>
      <c r="J675" s="133">
        <v>0.523611111111111</v>
      </c>
    </row>
    <row r="676" spans="1:10">
      <c r="A676" s="31">
        <f>VLOOKUP($C676,SKU!$A:$I,3,FALSE)</f>
        <v>10077</v>
      </c>
      <c r="B676" s="31" t="str">
        <f>VLOOKUP($C676,SKU!$A:$I,2,FALSE)</f>
        <v>多多文创原神第二弹卡砖—神眸再现</v>
      </c>
      <c r="C676" s="29" t="s">
        <v>296</v>
      </c>
      <c r="D676" s="29">
        <v>10</v>
      </c>
      <c r="E676" s="31">
        <f>D676*VLOOKUP(A676,Nhập入库!A:N,8,FALSE)</f>
        <v>10</v>
      </c>
      <c r="G676" s="29" t="s">
        <v>78</v>
      </c>
      <c r="H676" s="29" t="s">
        <v>428</v>
      </c>
      <c r="I676" s="34" t="s">
        <v>494</v>
      </c>
      <c r="J676" s="133">
        <v>0.738194444444444</v>
      </c>
    </row>
    <row r="677" spans="1:10">
      <c r="A677" s="31">
        <f>VLOOKUP($C677,SKU!$A:$I,3,FALSE)</f>
        <v>10076</v>
      </c>
      <c r="B677" s="31" t="str">
        <f>VLOOKUP($C677,SKU!$A:$I,2,FALSE)</f>
        <v>【Aikaho】鬼灭之刃第四弹 集结 【DS-04 Muster】</v>
      </c>
      <c r="C677" s="29" t="s">
        <v>293</v>
      </c>
      <c r="D677" s="29">
        <v>5</v>
      </c>
      <c r="E677" s="31">
        <f>D677*VLOOKUP(A677,Nhập入库!A:N,8,FALSE)</f>
        <v>50</v>
      </c>
      <c r="G677" s="29" t="s">
        <v>429</v>
      </c>
      <c r="H677" s="29" t="s">
        <v>428</v>
      </c>
      <c r="I677" s="34" t="s">
        <v>494</v>
      </c>
      <c r="J677" s="133">
        <v>0.738194444444444</v>
      </c>
    </row>
    <row r="678" spans="1:10">
      <c r="A678" s="31">
        <f>VLOOKUP($C678,SKU!$A:$I,3,FALSE)</f>
        <v>10064</v>
      </c>
      <c r="B678" s="31" t="str">
        <f>VLOOKUP($C678,SKU!$A:$I,2,FALSE)</f>
        <v>源宇宙崩铁色纸</v>
      </c>
      <c r="C678" s="29" t="s">
        <v>260</v>
      </c>
      <c r="D678" s="29">
        <v>10</v>
      </c>
      <c r="E678" s="31">
        <f>D678*VLOOKUP(A678,Nhập入库!A:N,8,FALSE)</f>
        <v>60</v>
      </c>
      <c r="G678" s="29" t="s">
        <v>78</v>
      </c>
      <c r="H678" s="29" t="s">
        <v>428</v>
      </c>
      <c r="I678" s="34" t="s">
        <v>494</v>
      </c>
      <c r="J678" s="133">
        <v>0.779861111111111</v>
      </c>
    </row>
    <row r="679" spans="1:10">
      <c r="A679" s="31">
        <f>VLOOKUP($C679,SKU!$A:$I,3,FALSE)</f>
        <v>10063</v>
      </c>
      <c r="B679" s="31" t="str">
        <f>VLOOKUP($C679,SKU!$A:$I,2,FALSE)</f>
        <v>浮梦集 「童境绮梦」艺术家联名收藏卡牌</v>
      </c>
      <c r="C679" s="29" t="s">
        <v>257</v>
      </c>
      <c r="D679" s="29">
        <v>5</v>
      </c>
      <c r="E679" s="31">
        <f>D679*VLOOKUP(A679,Nhập入库!A:N,8,FALSE)</f>
        <v>65</v>
      </c>
      <c r="G679" s="29" t="s">
        <v>146</v>
      </c>
      <c r="H679" s="29" t="s">
        <v>428</v>
      </c>
      <c r="I679" s="34" t="s">
        <v>494</v>
      </c>
      <c r="J679" s="133">
        <v>0.779861111111111</v>
      </c>
    </row>
    <row r="680" spans="1:10">
      <c r="A680" s="31">
        <f>VLOOKUP($C680,SKU!$A:$I,3,FALSE)</f>
        <v>10077</v>
      </c>
      <c r="B680" s="31" t="str">
        <f>VLOOKUP($C680,SKU!$A:$I,2,FALSE)</f>
        <v>多多文创原神第二弹卡砖—神眸再现</v>
      </c>
      <c r="C680" s="29" t="s">
        <v>296</v>
      </c>
      <c r="D680" s="29">
        <v>20</v>
      </c>
      <c r="E680" s="31">
        <f>D680*VLOOKUP(A680,Nhập入库!A:N,8,FALSE)</f>
        <v>20</v>
      </c>
      <c r="G680" s="29" t="s">
        <v>78</v>
      </c>
      <c r="H680" s="29" t="s">
        <v>428</v>
      </c>
      <c r="I680" s="34" t="s">
        <v>494</v>
      </c>
      <c r="J680" s="133">
        <v>0.779861111111111</v>
      </c>
    </row>
    <row r="681" spans="1:10">
      <c r="A681" s="31">
        <f>VLOOKUP($C681,SKU!$A:$I,3,FALSE)</f>
        <v>10077</v>
      </c>
      <c r="B681" s="31" t="str">
        <f>VLOOKUP($C681,SKU!$A:$I,2,FALSE)</f>
        <v>多多文创原神第二弹卡砖—神眸再现</v>
      </c>
      <c r="C681" s="29" t="s">
        <v>296</v>
      </c>
      <c r="D681" s="29">
        <v>30</v>
      </c>
      <c r="E681" s="31">
        <f>D681*VLOOKUP(A681,Nhập入库!A:N,8,FALSE)</f>
        <v>30</v>
      </c>
      <c r="G681" s="29" t="s">
        <v>78</v>
      </c>
      <c r="H681" s="29" t="s">
        <v>428</v>
      </c>
      <c r="I681" s="34" t="s">
        <v>494</v>
      </c>
      <c r="J681" s="133">
        <v>0.813194444444444</v>
      </c>
    </row>
    <row r="682" spans="1:10">
      <c r="A682" s="31">
        <f>VLOOKUP($C682,SKU!$A:$I,3,FALSE)</f>
        <v>10076</v>
      </c>
      <c r="B682" s="31" t="str">
        <f>VLOOKUP($C682,SKU!$A:$I,2,FALSE)</f>
        <v>【Aikaho】鬼灭之刃第四弹 集结 【DS-04 Muster】</v>
      </c>
      <c r="C682" s="29" t="s">
        <v>293</v>
      </c>
      <c r="D682" s="29">
        <v>5</v>
      </c>
      <c r="E682" s="31">
        <f>D682*VLOOKUP(A682,Nhập入库!A:N,8,FALSE)</f>
        <v>50</v>
      </c>
      <c r="G682" s="29" t="s">
        <v>429</v>
      </c>
      <c r="H682" s="29" t="s">
        <v>428</v>
      </c>
      <c r="I682" s="34" t="s">
        <v>494</v>
      </c>
      <c r="J682" s="133">
        <v>0.821527777777778</v>
      </c>
    </row>
    <row r="683" spans="1:10">
      <c r="A683" s="31">
        <f>VLOOKUP($C683,SKU!$A:$I,3,FALSE)</f>
        <v>10071</v>
      </c>
      <c r="B683" s="31" t="str">
        <f>VLOOKUP($C683,SKU!$A:$I,2,FALSE)</f>
        <v>咒术回战-术士收藏卡-高专篇</v>
      </c>
      <c r="C683" s="29" t="s">
        <v>280</v>
      </c>
      <c r="D683" s="29">
        <v>5</v>
      </c>
      <c r="E683" s="31">
        <f>D683*VLOOKUP(A683,Nhập入库!A:N,8,FALSE)</f>
        <v>90</v>
      </c>
      <c r="G683" s="29" t="s">
        <v>146</v>
      </c>
      <c r="H683" s="29" t="s">
        <v>428</v>
      </c>
      <c r="I683" s="34" t="s">
        <v>494</v>
      </c>
      <c r="J683" s="133">
        <v>0.779861111111111</v>
      </c>
    </row>
    <row r="684" spans="1:10">
      <c r="A684" s="31">
        <f>VLOOKUP($C684,SKU!$A:$I,3,FALSE)</f>
        <v>10071</v>
      </c>
      <c r="B684" s="31" t="str">
        <f>VLOOKUP($C684,SKU!$A:$I,2,FALSE)</f>
        <v>咒术回战-术士收藏卡-高专篇</v>
      </c>
      <c r="C684" s="29" t="s">
        <v>280</v>
      </c>
      <c r="D684" s="29">
        <v>4</v>
      </c>
      <c r="E684" s="31">
        <f>D684*VLOOKUP(A684,Nhập入库!A:N,8,FALSE)</f>
        <v>72</v>
      </c>
      <c r="G684" s="29" t="s">
        <v>146</v>
      </c>
      <c r="H684" s="29" t="s">
        <v>428</v>
      </c>
      <c r="I684" s="34" t="s">
        <v>494</v>
      </c>
      <c r="J684" s="133">
        <v>0.833333333333333</v>
      </c>
    </row>
    <row r="685" spans="1:10">
      <c r="A685" s="31">
        <f>VLOOKUP($C685,SKU!$A:$I,3,FALSE)</f>
        <v>10080</v>
      </c>
      <c r="B685" s="31" t="str">
        <f>VLOOKUP($C685,SKU!$A:$I,2,FALSE)</f>
        <v>《小蘑菇》流荧版收藏卡-末世深渊</v>
      </c>
      <c r="C685" s="29" t="s">
        <v>305</v>
      </c>
      <c r="D685" s="29">
        <v>5</v>
      </c>
      <c r="E685" s="31">
        <f>D685*VLOOKUP(A685,Nhập入库!A:N,8,FALSE)</f>
        <v>50</v>
      </c>
      <c r="G685" s="29" t="s">
        <v>433</v>
      </c>
      <c r="H685" s="29" t="s">
        <v>431</v>
      </c>
      <c r="I685" s="34" t="s">
        <v>494</v>
      </c>
      <c r="J685" s="133">
        <v>0.738194444444444</v>
      </c>
    </row>
    <row r="686" spans="1:10">
      <c r="A686" s="31">
        <f>VLOOKUP($C686,SKU!$A:$I,3,FALSE)</f>
        <v>10078</v>
      </c>
      <c r="B686" s="31" t="str">
        <f>VLOOKUP($C686,SKU!$A:$I,2,FALSE)</f>
        <v>摩斯社×名侦探柯南-摩斯密码系列评级邮票</v>
      </c>
      <c r="C686" s="29" t="s">
        <v>299</v>
      </c>
      <c r="D686" s="29">
        <v>20</v>
      </c>
      <c r="E686" s="31">
        <f>D686*VLOOKUP(A686,Nhập入库!A:N,8,FALSE)</f>
        <v>20</v>
      </c>
      <c r="G686" s="29" t="s">
        <v>430</v>
      </c>
      <c r="H686" s="29" t="s">
        <v>431</v>
      </c>
      <c r="I686" s="34" t="s">
        <v>494</v>
      </c>
      <c r="J686" s="133">
        <v>0.738194444444444</v>
      </c>
    </row>
    <row r="687" spans="1:10">
      <c r="A687" s="31">
        <f>VLOOKUP($C687,SKU!$A:$I,3,FALSE)</f>
        <v>10046</v>
      </c>
      <c r="B687" s="31" t="str">
        <f>VLOOKUP($C687,SKU!$A:$I,2,FALSE)</f>
        <v>夜灯</v>
      </c>
      <c r="C687" s="29" t="s">
        <v>207</v>
      </c>
      <c r="D687" s="29">
        <v>5</v>
      </c>
      <c r="E687" s="31">
        <f>D687*VLOOKUP(A687,Nhập入库!A:N,8,FALSE)</f>
        <v>5</v>
      </c>
      <c r="G687" s="29" t="s">
        <v>142</v>
      </c>
      <c r="H687" s="29" t="s">
        <v>431</v>
      </c>
      <c r="I687" s="34" t="s">
        <v>494</v>
      </c>
      <c r="J687" s="133">
        <v>0.738194444444444</v>
      </c>
    </row>
    <row r="688" spans="1:10">
      <c r="A688" s="31">
        <f>VLOOKUP($C688,SKU!$A:$I,3,FALSE)</f>
        <v>10064</v>
      </c>
      <c r="B688" s="31" t="str">
        <f>VLOOKUP($C688,SKU!$A:$I,2,FALSE)</f>
        <v>源宇宙崩铁色纸</v>
      </c>
      <c r="C688" s="29" t="s">
        <v>260</v>
      </c>
      <c r="D688" s="29">
        <v>5</v>
      </c>
      <c r="E688" s="31">
        <f>D688*VLOOKUP(A688,Nhập入库!A:N,8,FALSE)</f>
        <v>30</v>
      </c>
      <c r="G688" s="29" t="s">
        <v>90</v>
      </c>
      <c r="H688" s="29" t="s">
        <v>59</v>
      </c>
      <c r="I688" s="34" t="s">
        <v>495</v>
      </c>
      <c r="J688" s="133">
        <v>0.214583333333333</v>
      </c>
    </row>
    <row r="689" spans="1:10">
      <c r="A689" s="31">
        <f>VLOOKUP($C689,SKU!$A:$I,3,FALSE)</f>
        <v>10085</v>
      </c>
      <c r="B689" s="31" t="str">
        <f>VLOOKUP($C689,SKU!$A:$I,2,FALSE)</f>
        <v>火影忍者·手绘复刻撕撕乐</v>
      </c>
      <c r="C689" s="29" t="s">
        <v>317</v>
      </c>
      <c r="E689" s="31">
        <f>D689*VLOOKUP(A689,Nhập入库!A:N,8,FALSE)</f>
        <v>0</v>
      </c>
      <c r="F689" s="29">
        <v>100</v>
      </c>
      <c r="G689" s="29" t="s">
        <v>90</v>
      </c>
      <c r="H689" s="29" t="s">
        <v>59</v>
      </c>
      <c r="I689" s="34" t="s">
        <v>495</v>
      </c>
      <c r="J689" s="133">
        <v>0.215277777777778</v>
      </c>
    </row>
    <row r="690" spans="1:10">
      <c r="A690" s="31">
        <f>VLOOKUP($C690,SKU!$A:$I,3,FALSE)</f>
        <v>10079</v>
      </c>
      <c r="B690" s="31" t="str">
        <f>VLOOKUP($C690,SKU!$A:$I,2,FALSE)</f>
        <v>卡趣多《童话-千夜绘卷》艺术典藏卡牌</v>
      </c>
      <c r="C690" s="29" t="s">
        <v>302</v>
      </c>
      <c r="D690" s="29">
        <v>5</v>
      </c>
      <c r="E690" s="31">
        <f>D690*VLOOKUP(A690,Nhập入库!A:N,8,FALSE)</f>
        <v>60</v>
      </c>
      <c r="G690" s="29" t="s">
        <v>422</v>
      </c>
      <c r="H690" s="29" t="s">
        <v>65</v>
      </c>
      <c r="I690" s="34" t="s">
        <v>495</v>
      </c>
      <c r="J690" s="133">
        <v>0.465277777777778</v>
      </c>
    </row>
    <row r="691" spans="1:10">
      <c r="A691" s="31">
        <f>VLOOKUP($C691,SKU!$A:$I,3,FALSE)</f>
        <v>10079</v>
      </c>
      <c r="B691" s="31" t="str">
        <f>VLOOKUP($C691,SKU!$A:$I,2,FALSE)</f>
        <v>卡趣多《童话-千夜绘卷》艺术典藏卡牌</v>
      </c>
      <c r="C691" s="29" t="s">
        <v>302</v>
      </c>
      <c r="D691" s="29">
        <v>5</v>
      </c>
      <c r="E691" s="31">
        <f>D691*VLOOKUP(A691,Nhập入库!A:N,8,FALSE)</f>
        <v>60</v>
      </c>
      <c r="G691" s="29" t="s">
        <v>422</v>
      </c>
      <c r="H691" s="29" t="s">
        <v>65</v>
      </c>
      <c r="I691" s="34" t="s">
        <v>495</v>
      </c>
      <c r="J691" s="133">
        <v>0.547222222222222</v>
      </c>
    </row>
    <row r="692" spans="1:10">
      <c r="A692" s="31">
        <f>VLOOKUP($C692,SKU!$A:$I,3,FALSE)</f>
        <v>10039</v>
      </c>
      <c r="B692" s="31" t="str">
        <f>VLOOKUP($C692,SKU!$A:$I,2,FALSE)</f>
        <v>非凡航海王第五弹</v>
      </c>
      <c r="C692" s="34" t="s">
        <v>184</v>
      </c>
      <c r="D692" s="29">
        <v>5</v>
      </c>
      <c r="E692" s="31">
        <f>D692*VLOOKUP(A692,Nhập入库!A:N,8,FALSE)</f>
        <v>100</v>
      </c>
      <c r="G692" s="29" t="s">
        <v>162</v>
      </c>
      <c r="H692" s="29" t="s">
        <v>65</v>
      </c>
      <c r="I692" s="34" t="s">
        <v>495</v>
      </c>
      <c r="J692" s="133">
        <v>0.557638888888889</v>
      </c>
    </row>
    <row r="693" spans="1:10">
      <c r="A693" s="31">
        <f>VLOOKUP($C693,SKU!$A:$I,3,FALSE)</f>
        <v>10079</v>
      </c>
      <c r="B693" s="31" t="str">
        <f>VLOOKUP($C693,SKU!$A:$I,2,FALSE)</f>
        <v>卡趣多《童话-千夜绘卷》艺术典藏卡牌</v>
      </c>
      <c r="C693" s="29" t="s">
        <v>302</v>
      </c>
      <c r="D693" s="29">
        <v>5</v>
      </c>
      <c r="E693" s="31">
        <f>D693*VLOOKUP(A693,Nhập入库!A:N,8,FALSE)</f>
        <v>60</v>
      </c>
      <c r="G693" s="29" t="s">
        <v>422</v>
      </c>
      <c r="H693" s="29" t="s">
        <v>65</v>
      </c>
      <c r="I693" s="34" t="s">
        <v>495</v>
      </c>
      <c r="J693" s="133">
        <v>0.609722222222222</v>
      </c>
    </row>
    <row r="694" spans="1:10">
      <c r="A694" s="31">
        <f>VLOOKUP($C694,SKU!$A:$I,3,FALSE)</f>
        <v>10008</v>
      </c>
      <c r="B694" s="31" t="str">
        <f>VLOOKUP($C694,SKU!$A:$I,2,FALSE)</f>
        <v>XWork美少女战士-璀璨之梦</v>
      </c>
      <c r="C694" s="29" t="s">
        <v>55</v>
      </c>
      <c r="D694" s="29">
        <v>10</v>
      </c>
      <c r="E694" s="31">
        <f>D694*VLOOKUP(A694,Nhập入库!A:N,8,FALSE)</f>
        <v>100</v>
      </c>
      <c r="G694" s="29" t="s">
        <v>130</v>
      </c>
      <c r="H694" s="29" t="s">
        <v>424</v>
      </c>
      <c r="I694" s="34" t="s">
        <v>495</v>
      </c>
      <c r="J694" s="133">
        <v>0.4375</v>
      </c>
    </row>
    <row r="695" spans="1:10">
      <c r="A695" s="31">
        <f>VLOOKUP($C695,SKU!$A:$I,3,FALSE)</f>
        <v>10078</v>
      </c>
      <c r="B695" s="31" t="str">
        <f>VLOOKUP($C695,SKU!$A:$I,2,FALSE)</f>
        <v>摩斯社×名侦探柯南-摩斯密码系列评级邮票</v>
      </c>
      <c r="C695" s="29" t="s">
        <v>299</v>
      </c>
      <c r="D695" s="29">
        <v>10</v>
      </c>
      <c r="E695" s="31">
        <f>D695*VLOOKUP(A695,Nhập入库!A:N,8,FALSE)</f>
        <v>10</v>
      </c>
      <c r="G695" s="29" t="s">
        <v>146</v>
      </c>
      <c r="H695" s="29" t="s">
        <v>428</v>
      </c>
      <c r="I695" s="34" t="s">
        <v>495</v>
      </c>
      <c r="J695" s="133">
        <v>0.79375</v>
      </c>
    </row>
    <row r="696" spans="1:10">
      <c r="A696" s="31">
        <f>VLOOKUP($C696,SKU!$A:$I,3,FALSE)</f>
        <v>10068</v>
      </c>
      <c r="B696" s="31" t="str">
        <f>VLOOKUP($C696,SKU!$A:$I,2,FALSE)</f>
        <v>《竹影摇笺》耽美撕撕乐系列</v>
      </c>
      <c r="C696" s="29" t="s">
        <v>271</v>
      </c>
      <c r="E696" s="31">
        <f>D696*VLOOKUP(A696,Nhập入库!A:N,8,FALSE)</f>
        <v>0</v>
      </c>
      <c r="F696" s="29">
        <v>100</v>
      </c>
      <c r="G696" s="29" t="s">
        <v>433</v>
      </c>
      <c r="H696" s="29" t="s">
        <v>431</v>
      </c>
      <c r="I696" s="34" t="s">
        <v>495</v>
      </c>
      <c r="J696" s="133">
        <v>0.900694444444444</v>
      </c>
    </row>
    <row r="697" spans="1:10">
      <c r="A697" s="31">
        <f>VLOOKUP($C697,SKU!$A:$I,3,FALSE)</f>
        <v>10066</v>
      </c>
      <c r="B697" s="31" t="str">
        <f>VLOOKUP($C697,SKU!$A:$I,2,FALSE)</f>
        <v>卡游柯南揭秘包第2弹</v>
      </c>
      <c r="C697" s="29" t="s">
        <v>266</v>
      </c>
      <c r="D697" s="29">
        <v>5</v>
      </c>
      <c r="E697" s="31">
        <f>D697*VLOOKUP(A697,Nhập入库!A:N,8,FALSE)</f>
        <v>180</v>
      </c>
      <c r="G697" s="29" t="s">
        <v>430</v>
      </c>
      <c r="H697" s="29" t="s">
        <v>431</v>
      </c>
      <c r="I697" s="34" t="s">
        <v>495</v>
      </c>
      <c r="J697" s="133">
        <v>0.990972222222222</v>
      </c>
    </row>
    <row r="698" spans="1:10">
      <c r="A698" s="31">
        <f>VLOOKUP($C698,SKU!$A:$I,3,FALSE)</f>
        <v>10071</v>
      </c>
      <c r="B698" s="31" t="str">
        <f>VLOOKUP($C698,SKU!$A:$I,2,FALSE)</f>
        <v>咒术回战-术士收藏卡-高专篇</v>
      </c>
      <c r="C698" s="29" t="s">
        <v>280</v>
      </c>
      <c r="D698" s="29">
        <v>5</v>
      </c>
      <c r="E698" s="31">
        <f>D698*VLOOKUP(A698,Nhập入库!A:N,8,FALSE)</f>
        <v>90</v>
      </c>
      <c r="G698" s="29" t="s">
        <v>429</v>
      </c>
      <c r="H698" s="29" t="s">
        <v>428</v>
      </c>
      <c r="I698" s="34" t="s">
        <v>495</v>
      </c>
      <c r="J698" s="133">
        <v>0.990972222222222</v>
      </c>
    </row>
    <row r="699" spans="1:10">
      <c r="A699" s="31"/>
      <c r="B699" s="31"/>
      <c r="E699" s="31"/>
      <c r="I699" s="34"/>
      <c r="J699" s="133"/>
    </row>
    <row r="700" spans="1:10">
      <c r="A700" s="31">
        <f>VLOOKUP($C700,SKU!$A:$I,3,FALSE)</f>
        <v>10039</v>
      </c>
      <c r="B700" s="31" t="str">
        <f>VLOOKUP($C700,SKU!$A:$I,2,FALSE)</f>
        <v>非凡航海王第五弹</v>
      </c>
      <c r="C700" s="34" t="s">
        <v>184</v>
      </c>
      <c r="D700" s="29">
        <v>12</v>
      </c>
      <c r="E700" s="31">
        <f>D700*VLOOKUP(A700,Nhập入库!A:N,8,FALSE)</f>
        <v>240</v>
      </c>
      <c r="G700" s="29" t="s">
        <v>158</v>
      </c>
      <c r="H700" s="29" t="s">
        <v>59</v>
      </c>
      <c r="I700" s="34" t="s">
        <v>496</v>
      </c>
      <c r="J700" s="133">
        <v>0.177777777777778</v>
      </c>
    </row>
    <row r="701" spans="1:10">
      <c r="A701" s="31">
        <f>VLOOKUP($C701,SKU!$A:$I,3,FALSE)</f>
        <v>10039</v>
      </c>
      <c r="B701" s="31" t="str">
        <f>VLOOKUP($C701,SKU!$A:$I,2,FALSE)</f>
        <v>非凡航海王第五弹</v>
      </c>
      <c r="C701" s="34" t="s">
        <v>184</v>
      </c>
      <c r="D701" s="29">
        <v>12</v>
      </c>
      <c r="E701" s="31">
        <f>D701*VLOOKUP(A701,Nhập入库!A:N,8,FALSE)</f>
        <v>240</v>
      </c>
      <c r="G701" s="29" t="s">
        <v>90</v>
      </c>
      <c r="H701" s="29" t="s">
        <v>59</v>
      </c>
      <c r="I701" s="34" t="s">
        <v>496</v>
      </c>
      <c r="J701" s="133">
        <v>0.177777777777778</v>
      </c>
    </row>
    <row r="702" spans="1:10">
      <c r="A702" s="31">
        <f>VLOOKUP($C702,SKU!$A:$I,3,FALSE)</f>
        <v>10042</v>
      </c>
      <c r="B702" s="31" t="str">
        <f>VLOOKUP($C702,SKU!$A:$I,2,FALSE)</f>
        <v>黄油小熊系列收藏卡第二弹 小熊的观察日记</v>
      </c>
      <c r="C702" s="34" t="s">
        <v>196</v>
      </c>
      <c r="D702" s="29">
        <v>1</v>
      </c>
      <c r="E702" s="31">
        <f>D702*VLOOKUP(A702,Nhập入库!A:N,8,FALSE)</f>
        <v>16</v>
      </c>
      <c r="G702" s="29" t="s">
        <v>422</v>
      </c>
      <c r="H702" s="29" t="s">
        <v>65</v>
      </c>
      <c r="I702" s="34" t="s">
        <v>496</v>
      </c>
      <c r="J702" s="133">
        <v>0.419444444444444</v>
      </c>
    </row>
    <row r="703" spans="1:10">
      <c r="A703" s="31">
        <f>VLOOKUP($C703,SKU!$A:$I,3,FALSE)</f>
        <v>10079</v>
      </c>
      <c r="B703" s="31" t="str">
        <f>VLOOKUP($C703,SKU!$A:$I,2,FALSE)</f>
        <v>卡趣多《童话-千夜绘卷》艺术典藏卡牌</v>
      </c>
      <c r="C703" s="34" t="s">
        <v>302</v>
      </c>
      <c r="D703" s="29">
        <v>5</v>
      </c>
      <c r="E703" s="31">
        <f>D703*VLOOKUP(A703,Nhập入库!A:N,8,FALSE)</f>
        <v>60</v>
      </c>
      <c r="G703" s="29" t="s">
        <v>422</v>
      </c>
      <c r="H703" s="29" t="s">
        <v>65</v>
      </c>
      <c r="I703" s="34" t="s">
        <v>496</v>
      </c>
      <c r="J703" s="133">
        <v>0.421527777777778</v>
      </c>
    </row>
    <row r="704" spans="1:10">
      <c r="A704" s="31">
        <f>VLOOKUP($C704,SKU!$A:$I,3,FALSE)</f>
        <v>10079</v>
      </c>
      <c r="B704" s="31" t="str">
        <f>VLOOKUP($C704,SKU!$A:$I,2,FALSE)</f>
        <v>卡趣多《童话-千夜绘卷》艺术典藏卡牌</v>
      </c>
      <c r="C704" s="34" t="s">
        <v>302</v>
      </c>
      <c r="D704" s="29">
        <v>16</v>
      </c>
      <c r="E704" s="31">
        <f>D704*VLOOKUP(A704,Nhập入库!A:N,8,FALSE)</f>
        <v>192</v>
      </c>
      <c r="G704" s="29" t="s">
        <v>422</v>
      </c>
      <c r="H704" s="29" t="s">
        <v>65</v>
      </c>
      <c r="I704" s="34" t="s">
        <v>496</v>
      </c>
      <c r="J704" s="133">
        <v>0.448611111111111</v>
      </c>
    </row>
    <row r="705" spans="1:10">
      <c r="A705" s="31">
        <f>VLOOKUP($C705,SKU!$A:$I,3,FALSE)</f>
        <v>10039</v>
      </c>
      <c r="B705" s="31" t="str">
        <f>VLOOKUP($C705,SKU!$A:$I,2,FALSE)</f>
        <v>非凡航海王第五弹</v>
      </c>
      <c r="C705" s="34" t="s">
        <v>184</v>
      </c>
      <c r="D705" s="29">
        <v>5</v>
      </c>
      <c r="E705" s="31">
        <f>D705*VLOOKUP(A705,Nhập入库!A:N,8,FALSE)</f>
        <v>100</v>
      </c>
      <c r="G705" s="29" t="s">
        <v>170</v>
      </c>
      <c r="H705" s="34" t="s">
        <v>70</v>
      </c>
      <c r="I705" s="34" t="s">
        <v>496</v>
      </c>
      <c r="J705" s="133">
        <v>0.45</v>
      </c>
    </row>
    <row r="706" spans="1:10">
      <c r="A706" s="31">
        <f>VLOOKUP($C706,SKU!$A:$I,3,FALSE)</f>
        <v>10083</v>
      </c>
      <c r="B706" s="31" t="str">
        <f>VLOOKUP($C706,SKU!$A:$I,2,FALSE)</f>
        <v>天官赐福花灯照夜</v>
      </c>
      <c r="C706" s="34" t="s">
        <v>313</v>
      </c>
      <c r="D706" s="29">
        <v>5</v>
      </c>
      <c r="E706" s="31">
        <f>D706*VLOOKUP(A706,Nhập入库!A:N,8,FALSE)</f>
        <v>80</v>
      </c>
      <c r="G706" s="29" t="s">
        <v>422</v>
      </c>
      <c r="H706" s="29" t="s">
        <v>65</v>
      </c>
      <c r="I706" s="34" t="s">
        <v>496</v>
      </c>
      <c r="J706" s="133">
        <v>0.58125</v>
      </c>
    </row>
    <row r="707" spans="1:10">
      <c r="A707" s="31">
        <f>VLOOKUP($C707,SKU!$A:$I,3,FALSE)</f>
        <v>10083</v>
      </c>
      <c r="B707" s="31" t="str">
        <f>VLOOKUP($C707,SKU!$A:$I,2,FALSE)</f>
        <v>天官赐福花灯照夜</v>
      </c>
      <c r="C707" s="34" t="s">
        <v>313</v>
      </c>
      <c r="D707" s="29">
        <v>5</v>
      </c>
      <c r="E707" s="31">
        <f>D707*VLOOKUP(A707,Nhập入库!A:N,8,FALSE)</f>
        <v>80</v>
      </c>
      <c r="G707" s="29" t="s">
        <v>422</v>
      </c>
      <c r="H707" s="29" t="s">
        <v>65</v>
      </c>
      <c r="I707" s="34" t="s">
        <v>496</v>
      </c>
      <c r="J707" s="133">
        <v>0.596527777777778</v>
      </c>
    </row>
    <row r="708" spans="1:10">
      <c r="A708" s="31">
        <f>VLOOKUP($C708,SKU!$A:$I,3,FALSE)</f>
        <v>10002</v>
      </c>
      <c r="B708" s="31" t="str">
        <f>VLOOKUP($C708,SKU!$A:$I,2,FALSE)</f>
        <v>MoonCard月卡《美少女战士》第三弹</v>
      </c>
      <c r="C708" s="29" t="s">
        <v>18</v>
      </c>
      <c r="D708" s="29">
        <v>3</v>
      </c>
      <c r="E708" s="31">
        <f>D708*VLOOKUP(A708,Nhập入库!A:N,8,FALSE)</f>
        <v>39</v>
      </c>
      <c r="G708" s="29" t="s">
        <v>130</v>
      </c>
      <c r="H708" s="34" t="s">
        <v>70</v>
      </c>
      <c r="I708" s="34" t="s">
        <v>496</v>
      </c>
      <c r="J708" s="133">
        <v>0.619444444444444</v>
      </c>
    </row>
    <row r="709" spans="1:10">
      <c r="A709" s="31">
        <f>VLOOKUP($C709,SKU!$A:$I,3,FALSE)</f>
        <v>10075</v>
      </c>
      <c r="B709" s="31" t="str">
        <f>VLOOKUP($C709,SKU!$A:$I,2,FALSE)</f>
        <v>《万卡卡文创》鬼灭之刃日轮破晓第一弹</v>
      </c>
      <c r="C709" s="29" t="s">
        <v>290</v>
      </c>
      <c r="D709" s="29">
        <v>2</v>
      </c>
      <c r="E709" s="31">
        <f>D709*VLOOKUP(A709,Nhập入库!A:N,8,FALSE)</f>
        <v>20</v>
      </c>
      <c r="G709" s="29" t="s">
        <v>33</v>
      </c>
      <c r="H709" s="29" t="s">
        <v>424</v>
      </c>
      <c r="I709" s="34" t="s">
        <v>496</v>
      </c>
    </row>
    <row r="710" spans="1:10">
      <c r="A710" s="31">
        <f>VLOOKUP($C710,SKU!$A:$I,3,FALSE)</f>
        <v>10075</v>
      </c>
      <c r="B710" s="31" t="str">
        <f>VLOOKUP($C710,SKU!$A:$I,2,FALSE)</f>
        <v>《万卡卡文创》鬼灭之刃日轮破晓第一弹</v>
      </c>
      <c r="C710" s="29" t="s">
        <v>290</v>
      </c>
      <c r="D710" s="29">
        <v>2</v>
      </c>
      <c r="E710" s="31">
        <f>D710*VLOOKUP(A710,Nhập入库!A:N,8,FALSE)</f>
        <v>20</v>
      </c>
      <c r="G710" s="29" t="s">
        <v>98</v>
      </c>
      <c r="H710" s="29" t="s">
        <v>424</v>
      </c>
      <c r="I710" s="34" t="s">
        <v>496</v>
      </c>
    </row>
    <row r="711" spans="1:10">
      <c r="A711" s="31">
        <f>VLOOKUP($C711,SKU!$A:$I,3,FALSE)</f>
        <v>10077</v>
      </c>
      <c r="B711" s="31" t="str">
        <f>VLOOKUP($C711,SKU!$A:$I,2,FALSE)</f>
        <v>多多文创原神第二弹卡砖—神眸再现</v>
      </c>
      <c r="C711" s="29" t="s">
        <v>296</v>
      </c>
      <c r="D711" s="29">
        <v>15</v>
      </c>
      <c r="E711" s="31">
        <f>D711*VLOOKUP(A711,Nhập入库!A:N,8,FALSE)</f>
        <v>15</v>
      </c>
      <c r="G711" s="29" t="s">
        <v>429</v>
      </c>
      <c r="H711" s="29" t="s">
        <v>428</v>
      </c>
      <c r="I711" s="34" t="s">
        <v>496</v>
      </c>
      <c r="J711" s="133">
        <v>0.764583333333333</v>
      </c>
    </row>
    <row r="712" spans="1:10">
      <c r="A712" s="31">
        <f>VLOOKUP($C712,SKU!$A:$I,3,FALSE)</f>
        <v>10076</v>
      </c>
      <c r="B712" s="31" t="str">
        <f>VLOOKUP($C712,SKU!$A:$I,2,FALSE)</f>
        <v>【Aikaho】鬼灭之刃第四弹 集结 【DS-04 Muster】</v>
      </c>
      <c r="C712" s="29" t="s">
        <v>293</v>
      </c>
      <c r="D712" s="29">
        <v>5</v>
      </c>
      <c r="E712" s="31">
        <f>D712*VLOOKUP(A712,Nhập入库!A:N,8,FALSE)</f>
        <v>50</v>
      </c>
      <c r="G712" s="29" t="s">
        <v>146</v>
      </c>
      <c r="H712" s="29" t="s">
        <v>428</v>
      </c>
      <c r="I712" s="34" t="s">
        <v>496</v>
      </c>
      <c r="J712" s="133">
        <v>0.773611111111111</v>
      </c>
    </row>
    <row r="713" spans="1:10">
      <c r="A713" s="31">
        <f>VLOOKUP($C713,SKU!$A:$I,3,FALSE)</f>
        <v>10076</v>
      </c>
      <c r="B713" s="31" t="str">
        <f>VLOOKUP($C713,SKU!$A:$I,2,FALSE)</f>
        <v>【Aikaho】鬼灭之刃第四弹 集结 【DS-04 Muster】</v>
      </c>
      <c r="C713" s="29" t="s">
        <v>293</v>
      </c>
      <c r="D713" s="29">
        <v>5</v>
      </c>
      <c r="E713" s="31">
        <f>D713*VLOOKUP(A713,Nhập入库!A:N,8,FALSE)</f>
        <v>50</v>
      </c>
      <c r="G713" s="29" t="s">
        <v>429</v>
      </c>
      <c r="H713" s="29" t="s">
        <v>428</v>
      </c>
      <c r="I713" s="34" t="s">
        <v>496</v>
      </c>
      <c r="J713" s="133">
        <v>0.815277777777778</v>
      </c>
    </row>
    <row r="714" spans="1:10">
      <c r="A714" s="31">
        <f>VLOOKUP($C714,SKU!$A:$I,3,FALSE)</f>
        <v>10039</v>
      </c>
      <c r="B714" s="31" t="str">
        <f>VLOOKUP($C714,SKU!$A:$I,2,FALSE)</f>
        <v>非凡航海王第五弹</v>
      </c>
      <c r="C714" s="34" t="s">
        <v>184</v>
      </c>
      <c r="D714" s="29">
        <v>24</v>
      </c>
      <c r="E714" s="31">
        <f>D714*VLOOKUP(A714,Nhập入库!A:N,8,FALSE)</f>
        <v>480</v>
      </c>
      <c r="G714" s="29" t="s">
        <v>90</v>
      </c>
      <c r="H714" s="29" t="s">
        <v>59</v>
      </c>
      <c r="I714" s="34" t="s">
        <v>497</v>
      </c>
      <c r="J714" s="133">
        <v>0.136111111111111</v>
      </c>
    </row>
    <row r="715" spans="1:10">
      <c r="A715" s="31">
        <f>VLOOKUP($C715,SKU!$A:$I,3,FALSE)</f>
        <v>10077</v>
      </c>
      <c r="B715" s="31" t="str">
        <f>VLOOKUP($C715,SKU!$A:$I,2,FALSE)</f>
        <v>多多文创原神第二弹卡砖—神眸再现</v>
      </c>
      <c r="C715" s="34" t="s">
        <v>296</v>
      </c>
      <c r="D715" s="29">
        <v>100</v>
      </c>
      <c r="E715" s="31">
        <f>D715*VLOOKUP(A715,Nhập入库!A:N,8,FALSE)</f>
        <v>100</v>
      </c>
      <c r="G715" s="29" t="s">
        <v>426</v>
      </c>
      <c r="H715" s="29" t="s">
        <v>65</v>
      </c>
      <c r="I715" s="34" t="s">
        <v>497</v>
      </c>
      <c r="J715" s="133">
        <v>0.381944444444444</v>
      </c>
    </row>
    <row r="716" spans="1:10">
      <c r="A716" s="31">
        <f>VLOOKUP($C716,SKU!$A:$I,3,FALSE)</f>
        <v>10075</v>
      </c>
      <c r="B716" s="31" t="str">
        <f>VLOOKUP($C716,SKU!$A:$I,2,FALSE)</f>
        <v>《万卡卡文创》鬼灭之刃日轮破晓第一弹</v>
      </c>
      <c r="C716" s="34" t="s">
        <v>290</v>
      </c>
      <c r="D716" s="29">
        <v>1</v>
      </c>
      <c r="E716" s="31">
        <f>D716*VLOOKUP(A716,Nhập入库!A:N,8,FALSE)</f>
        <v>10</v>
      </c>
      <c r="G716" s="29" t="s">
        <v>162</v>
      </c>
      <c r="H716" s="29" t="s">
        <v>65</v>
      </c>
      <c r="I716" s="34" t="s">
        <v>497</v>
      </c>
      <c r="J716" s="133">
        <v>0.438888888888889</v>
      </c>
    </row>
    <row r="717" spans="1:10">
      <c r="A717" s="31">
        <f>VLOOKUP($C717,SKU!$A:$I,3,FALSE)</f>
        <v>10088</v>
      </c>
      <c r="B717" s="31" t="str">
        <f>VLOOKUP($C717,SKU!$A:$I,2,FALSE)</f>
        <v>名侦探柯南-名推理收藏卡-觅影包-第3弹</v>
      </c>
      <c r="C717" s="34" t="s">
        <v>325</v>
      </c>
      <c r="D717" s="29">
        <v>20</v>
      </c>
      <c r="E717" s="31">
        <f>D717*VLOOKUP(A717,Nhập入库!A:N,8,FALSE)</f>
        <v>600</v>
      </c>
      <c r="G717" s="29" t="s">
        <v>110</v>
      </c>
      <c r="H717" s="29" t="s">
        <v>408</v>
      </c>
      <c r="I717" s="34" t="s">
        <v>497</v>
      </c>
      <c r="J717" s="133">
        <v>0.438888888888889</v>
      </c>
    </row>
    <row r="718" spans="1:10">
      <c r="A718" s="31">
        <f>VLOOKUP($C718,SKU!$A:$I,3,FALSE)</f>
        <v>10039</v>
      </c>
      <c r="B718" s="31" t="str">
        <f>VLOOKUP($C718,SKU!$A:$I,2,FALSE)</f>
        <v>非凡航海王第五弹</v>
      </c>
      <c r="C718" s="34" t="s">
        <v>184</v>
      </c>
      <c r="D718" s="29">
        <v>10</v>
      </c>
      <c r="E718" s="31">
        <f>D718*VLOOKUP(A718,Nhập入库!A:N,8,FALSE)</f>
        <v>200</v>
      </c>
      <c r="G718" s="29" t="s">
        <v>110</v>
      </c>
      <c r="H718" s="29" t="s">
        <v>408</v>
      </c>
      <c r="I718" s="34" t="s">
        <v>497</v>
      </c>
      <c r="J718" s="133">
        <v>0.438888888888889</v>
      </c>
    </row>
    <row r="719" spans="1:10">
      <c r="A719" s="31">
        <f>VLOOKUP($C719,SKU!$A:$I,3,FALSE)</f>
        <v>10060</v>
      </c>
      <c r="B719" s="31" t="str">
        <f>VLOOKUP($C719,SKU!$A:$I,2,FALSE)</f>
        <v>漫の森《宫崎骏第三弹·奇幻之旅》</v>
      </c>
      <c r="C719" s="34" t="s">
        <v>249</v>
      </c>
      <c r="D719" s="29">
        <v>5</v>
      </c>
      <c r="E719" s="31">
        <f>D719*VLOOKUP(A719,Nhập入库!A:N,8,FALSE)</f>
        <v>65</v>
      </c>
      <c r="G719" s="29" t="s">
        <v>432</v>
      </c>
      <c r="H719" s="29" t="s">
        <v>65</v>
      </c>
      <c r="I719" s="34" t="s">
        <v>497</v>
      </c>
      <c r="J719" s="133">
        <v>0.55</v>
      </c>
    </row>
    <row r="720" spans="1:10">
      <c r="A720" s="31">
        <f>VLOOKUP($C720,SKU!$A:$I,3,FALSE)</f>
        <v>10071</v>
      </c>
      <c r="B720" s="31" t="str">
        <f>VLOOKUP($C720,SKU!$A:$I,2,FALSE)</f>
        <v>咒术回战-术士收藏卡-高专篇</v>
      </c>
      <c r="C720" s="29" t="s">
        <v>280</v>
      </c>
      <c r="D720" s="29">
        <v>3</v>
      </c>
      <c r="E720" s="31">
        <f>D720*VLOOKUP(A720,Nhập入库!A:N,8,FALSE)</f>
        <v>54</v>
      </c>
      <c r="G720" s="29" t="s">
        <v>166</v>
      </c>
      <c r="H720" s="29" t="s">
        <v>424</v>
      </c>
      <c r="I720" s="34" t="s">
        <v>497</v>
      </c>
      <c r="J720" s="133">
        <v>0.497222222222222</v>
      </c>
    </row>
    <row r="721" spans="1:10">
      <c r="A721" s="31">
        <f>VLOOKUP($C721,SKU!$A:$I,3,FALSE)</f>
        <v>10063</v>
      </c>
      <c r="B721" s="31" t="str">
        <f>VLOOKUP($C721,SKU!$A:$I,2,FALSE)</f>
        <v>浮梦集 「童境绮梦」艺术家联名收藏卡牌</v>
      </c>
      <c r="C721" s="29" t="s">
        <v>257</v>
      </c>
      <c r="D721" s="29">
        <v>5</v>
      </c>
      <c r="E721" s="31">
        <f>D721*VLOOKUP(A721,Nhập入库!A:N,8,FALSE)</f>
        <v>65</v>
      </c>
      <c r="G721" s="29" t="s">
        <v>98</v>
      </c>
      <c r="H721" s="29" t="s">
        <v>424</v>
      </c>
      <c r="I721" s="34" t="s">
        <v>497</v>
      </c>
      <c r="J721" s="133">
        <v>0.497222222222222</v>
      </c>
    </row>
    <row r="722" spans="1:10">
      <c r="A722" s="31">
        <f>VLOOKUP($C722,SKU!$A:$I,3,FALSE)</f>
        <v>10081</v>
      </c>
      <c r="B722" s="31" t="str">
        <f>VLOOKUP($C722,SKU!$A:$I,2,FALSE)</f>
        <v>京都社 美少女战士 · 第4弹</v>
      </c>
      <c r="C722" s="29" t="s">
        <v>307</v>
      </c>
      <c r="D722" s="29">
        <v>5</v>
      </c>
      <c r="E722" s="31">
        <f>D722*VLOOKUP(A722,Nhập入库!A:N,8,FALSE)</f>
        <v>65</v>
      </c>
      <c r="G722" s="29" t="s">
        <v>130</v>
      </c>
      <c r="H722" s="29" t="s">
        <v>424</v>
      </c>
      <c r="I722" s="34" t="s">
        <v>497</v>
      </c>
      <c r="J722" s="133">
        <v>0.542361111111111</v>
      </c>
    </row>
    <row r="723" spans="1:10">
      <c r="A723" s="31">
        <f>VLOOKUP($C723,SKU!$A:$I,3,FALSE)</f>
        <v>10076</v>
      </c>
      <c r="B723" s="31" t="str">
        <f>VLOOKUP($C723,SKU!$A:$I,2,FALSE)</f>
        <v>【Aikaho】鬼灭之刃第四弹 集结 【DS-04 Muster】</v>
      </c>
      <c r="C723" s="29" t="s">
        <v>293</v>
      </c>
      <c r="D723" s="29">
        <v>5</v>
      </c>
      <c r="E723" s="31">
        <f>D723*VLOOKUP(A723,Nhập入库!A:N,8,FALSE)</f>
        <v>50</v>
      </c>
      <c r="G723" s="29" t="s">
        <v>166</v>
      </c>
      <c r="H723" s="29" t="s">
        <v>424</v>
      </c>
      <c r="I723" s="34" t="s">
        <v>497</v>
      </c>
      <c r="J723" s="133">
        <v>0.638194444444444</v>
      </c>
    </row>
    <row r="724" spans="1:10">
      <c r="A724" s="31">
        <f>VLOOKUP($C724,SKU!$A:$I,3,FALSE)</f>
        <v>10075</v>
      </c>
      <c r="B724" s="31" t="str">
        <f>VLOOKUP($C724,SKU!$A:$I,2,FALSE)</f>
        <v>《万卡卡文创》鬼灭之刃日轮破晓第一弹</v>
      </c>
      <c r="C724" s="29" t="s">
        <v>290</v>
      </c>
      <c r="D724" s="29">
        <v>5</v>
      </c>
      <c r="E724" s="31">
        <f>D724*VLOOKUP(A724,Nhập入库!A:N,8,FALSE)</f>
        <v>50</v>
      </c>
      <c r="G724" s="29" t="s">
        <v>33</v>
      </c>
      <c r="H724" s="29" t="s">
        <v>424</v>
      </c>
      <c r="I724" s="34" t="s">
        <v>497</v>
      </c>
      <c r="J724" s="133">
        <v>0.434027777777778</v>
      </c>
    </row>
    <row r="725" spans="1:10">
      <c r="A725" s="31">
        <f>VLOOKUP($C725,SKU!$A:$I,3,FALSE)</f>
        <v>10082</v>
      </c>
      <c r="B725" s="31" t="str">
        <f>VLOOKUP($C725,SKU!$A:$I,2,FALSE)</f>
        <v>吾羽文创-全亚克力正方形原神色纸</v>
      </c>
      <c r="C725" s="29" t="s">
        <v>310</v>
      </c>
      <c r="D725" s="29">
        <v>10</v>
      </c>
      <c r="E725" s="31">
        <f>D725*VLOOKUP(A725,Nhập入库!A:N,8,FALSE)</f>
        <v>60</v>
      </c>
      <c r="G725" s="29" t="s">
        <v>429</v>
      </c>
      <c r="H725" s="29" t="s">
        <v>428</v>
      </c>
      <c r="I725" s="34" t="s">
        <v>497</v>
      </c>
      <c r="J725" s="133">
        <v>0.725694444444444</v>
      </c>
    </row>
    <row r="726" spans="1:10">
      <c r="A726" s="31">
        <f>VLOOKUP($C726,SKU!$A:$I,3,FALSE)</f>
        <v>10076</v>
      </c>
      <c r="B726" s="31" t="str">
        <f>VLOOKUP($C726,SKU!$A:$I,2,FALSE)</f>
        <v>【Aikaho】鬼灭之刃第四弹 集结 【DS-04 Muster】</v>
      </c>
      <c r="C726" s="29" t="s">
        <v>293</v>
      </c>
      <c r="D726" s="29">
        <v>5</v>
      </c>
      <c r="E726" s="31">
        <f>D726*VLOOKUP(A726,Nhập入库!A:N,8,FALSE)</f>
        <v>50</v>
      </c>
      <c r="G726" s="29" t="s">
        <v>430</v>
      </c>
      <c r="H726" s="29" t="s">
        <v>431</v>
      </c>
      <c r="I726" s="34" t="s">
        <v>497</v>
      </c>
      <c r="J726" s="133">
        <v>0.755555555555556</v>
      </c>
    </row>
    <row r="727" spans="1:10">
      <c r="A727" s="31">
        <f>VLOOKUP($C727,SKU!$A:$I,3,FALSE)</f>
        <v>10039</v>
      </c>
      <c r="B727" s="31" t="str">
        <f>VLOOKUP($C727,SKU!$A:$I,2,FALSE)</f>
        <v>非凡航海王第五弹</v>
      </c>
      <c r="C727" s="29" t="s">
        <v>184</v>
      </c>
      <c r="D727" s="29">
        <v>10</v>
      </c>
      <c r="E727" s="31">
        <f>D727*VLOOKUP(A727,Nhập入库!A:N,8,FALSE)</f>
        <v>200</v>
      </c>
      <c r="G727" s="29" t="s">
        <v>429</v>
      </c>
      <c r="H727" s="29" t="s">
        <v>428</v>
      </c>
      <c r="I727" s="34" t="s">
        <v>497</v>
      </c>
      <c r="J727" s="133">
        <v>0.797222222222222</v>
      </c>
    </row>
    <row r="728" spans="1:10">
      <c r="A728" s="31">
        <f>VLOOKUP($C728,SKU!$A:$I,3,FALSE)</f>
        <v>10076</v>
      </c>
      <c r="B728" s="31" t="str">
        <f>VLOOKUP($C728,SKU!$A:$I,2,FALSE)</f>
        <v>【Aikaho】鬼灭之刃第四弹 集结 【DS-04 Muster】</v>
      </c>
      <c r="C728" s="29" t="s">
        <v>293</v>
      </c>
      <c r="D728" s="29">
        <v>6</v>
      </c>
      <c r="E728" s="31">
        <f>D728*VLOOKUP(A728,Nhập入库!A:N,8,FALSE)</f>
        <v>60</v>
      </c>
      <c r="G728" s="29" t="s">
        <v>146</v>
      </c>
      <c r="H728" s="29" t="s">
        <v>428</v>
      </c>
      <c r="I728" s="34" t="s">
        <v>497</v>
      </c>
      <c r="J728" s="133">
        <v>0.815277777777778</v>
      </c>
    </row>
    <row r="729" spans="1:10">
      <c r="A729" s="31">
        <f>VLOOKUP($C729,SKU!$A:$I,3,FALSE)</f>
        <v>10001</v>
      </c>
      <c r="B729" s="31" t="str">
        <f>VLOOKUP($C729,SKU!$A:$I,2,FALSE)</f>
        <v>《东株社》宝可梦水晶砖</v>
      </c>
      <c r="C729" s="29" t="s">
        <v>12</v>
      </c>
      <c r="D729" s="29">
        <v>5</v>
      </c>
      <c r="E729" s="31">
        <f>D729*VLOOKUP(A729,Nhập入库!A:N,8,FALSE)</f>
        <v>5</v>
      </c>
      <c r="G729" s="29" t="s">
        <v>146</v>
      </c>
      <c r="H729" s="29" t="s">
        <v>428</v>
      </c>
      <c r="I729" s="34" t="s">
        <v>497</v>
      </c>
      <c r="J729" s="133">
        <v>0.815277777777778</v>
      </c>
    </row>
    <row r="730" spans="1:10">
      <c r="A730" s="31">
        <f>VLOOKUP($C730,SKU!$A:$I,3,FALSE)</f>
        <v>10008</v>
      </c>
      <c r="B730" s="31" t="str">
        <f>VLOOKUP($C730,SKU!$A:$I,2,FALSE)</f>
        <v>XWork美少女战士-璀璨之梦</v>
      </c>
      <c r="C730" s="29" t="s">
        <v>55</v>
      </c>
      <c r="D730" s="29">
        <v>5</v>
      </c>
      <c r="E730" s="31">
        <f>D730*VLOOKUP(A730,Nhập入库!A:N,8,FALSE)</f>
        <v>50</v>
      </c>
      <c r="G730" s="29" t="s">
        <v>146</v>
      </c>
      <c r="H730" s="29" t="s">
        <v>428</v>
      </c>
      <c r="I730" s="34" t="s">
        <v>497</v>
      </c>
      <c r="J730" s="133">
        <v>0.815277777777778</v>
      </c>
    </row>
    <row r="731" spans="1:10">
      <c r="A731" s="31">
        <f>VLOOKUP($C731,SKU!$A:$I,3,FALSE)</f>
        <v>10066</v>
      </c>
      <c r="B731" s="31" t="str">
        <f>VLOOKUP($C731,SKU!$A:$I,2,FALSE)</f>
        <v>卡游柯南揭秘包第2弹</v>
      </c>
      <c r="C731" s="29" t="s">
        <v>266</v>
      </c>
      <c r="D731" s="29">
        <v>5</v>
      </c>
      <c r="E731" s="31">
        <f>D731*VLOOKUP(A731,Nhập入库!A:N,8,FALSE)</f>
        <v>180</v>
      </c>
      <c r="G731" s="29" t="s">
        <v>90</v>
      </c>
      <c r="H731" s="29" t="s">
        <v>59</v>
      </c>
      <c r="I731" s="34" t="s">
        <v>498</v>
      </c>
      <c r="J731" s="133">
        <v>0.211805555555556</v>
      </c>
    </row>
    <row r="732" spans="1:10">
      <c r="A732" s="31">
        <f>VLOOKUP($C732,SKU!$A:$I,3,FALSE)</f>
        <v>10018</v>
      </c>
      <c r="B732" s="31" t="str">
        <f>VLOOKUP($C732,SKU!$A:$I,2,FALSE)</f>
        <v>圣月美少女战士星尘协奏曲长卡</v>
      </c>
      <c r="C732" s="29" t="s">
        <v>99</v>
      </c>
      <c r="D732" s="29">
        <v>3</v>
      </c>
      <c r="E732" s="31">
        <f>D732*VLOOKUP(A732,Nhập入库!A:N,8,FALSE)</f>
        <v>39</v>
      </c>
      <c r="G732" s="29" t="s">
        <v>158</v>
      </c>
      <c r="H732" s="29" t="s">
        <v>59</v>
      </c>
      <c r="I732" s="34" t="s">
        <v>498</v>
      </c>
      <c r="J732" s="133">
        <v>0.253472222222222</v>
      </c>
    </row>
    <row r="733" spans="1:10">
      <c r="A733" s="31">
        <f>VLOOKUP($C733,SKU!$A:$I,3,FALSE)</f>
        <v>10039</v>
      </c>
      <c r="B733" s="31" t="str">
        <f>VLOOKUP($C733,SKU!$A:$I,2,FALSE)</f>
        <v>非凡航海王第五弹</v>
      </c>
      <c r="C733" s="29" t="s">
        <v>184</v>
      </c>
      <c r="D733" s="29">
        <v>5</v>
      </c>
      <c r="E733" s="31">
        <f>D733*VLOOKUP(A733,Nhập入库!A:N,8,FALSE)</f>
        <v>100</v>
      </c>
      <c r="G733" s="29" t="s">
        <v>162</v>
      </c>
      <c r="H733" s="29" t="s">
        <v>65</v>
      </c>
      <c r="I733" s="34" t="s">
        <v>498</v>
      </c>
      <c r="J733" s="133">
        <v>0.381944444444444</v>
      </c>
    </row>
    <row r="734" spans="1:10">
      <c r="A734" s="31">
        <f>VLOOKUP($C734,SKU!$A:$I,3,FALSE)</f>
        <v>10090</v>
      </c>
      <c r="B734" s="31" t="str">
        <f>VLOOKUP($C734,SKU!$A:$I,2,FALSE)</f>
        <v>依梦×宫崎骏の治愈一生</v>
      </c>
      <c r="C734" s="29" t="s">
        <v>330</v>
      </c>
      <c r="D734" s="29">
        <v>10</v>
      </c>
      <c r="E734" s="31">
        <f>D734*VLOOKUP(A734,Nhập入库!A:N,8,FALSE)</f>
        <v>130</v>
      </c>
      <c r="G734" s="29" t="s">
        <v>432</v>
      </c>
      <c r="H734" s="29" t="s">
        <v>65</v>
      </c>
      <c r="I734" s="34" t="s">
        <v>498</v>
      </c>
      <c r="J734" s="133">
        <v>0.381944444444444</v>
      </c>
    </row>
    <row r="735" spans="1:10">
      <c r="A735" s="31">
        <f>VLOOKUP($C735,SKU!$A:$I,3,FALSE)</f>
        <v>10090</v>
      </c>
      <c r="B735" s="31" t="str">
        <f>VLOOKUP($C735,SKU!$A:$I,2,FALSE)</f>
        <v>依梦×宫崎骏の治愈一生</v>
      </c>
      <c r="C735" s="29" t="s">
        <v>330</v>
      </c>
      <c r="D735" s="29">
        <v>5</v>
      </c>
      <c r="E735" s="31">
        <f>D735*VLOOKUP(A735,Nhập入库!A:N,8,FALSE)</f>
        <v>65</v>
      </c>
      <c r="G735" s="29" t="s">
        <v>432</v>
      </c>
      <c r="H735" s="29" t="s">
        <v>65</v>
      </c>
      <c r="I735" s="34" t="s">
        <v>498</v>
      </c>
      <c r="J735" s="133">
        <v>0.465277777777778</v>
      </c>
    </row>
    <row r="736" spans="1:10">
      <c r="A736" s="31">
        <f>VLOOKUP($C736,SKU!$A:$I,3,FALSE)</f>
        <v>10089</v>
      </c>
      <c r="B736" s="31" t="str">
        <f>VLOOKUP($C736,SKU!$A:$I,2,FALSE)</f>
        <v>星火线条小狗</v>
      </c>
      <c r="C736" s="29" t="s">
        <v>327</v>
      </c>
      <c r="D736" s="29">
        <v>20</v>
      </c>
      <c r="E736" s="31">
        <f>D736*VLOOKUP(A736,Nhập入库!A:N,8,FALSE)</f>
        <v>280</v>
      </c>
      <c r="G736" s="29" t="s">
        <v>33</v>
      </c>
      <c r="H736" s="29" t="s">
        <v>424</v>
      </c>
      <c r="I736" s="34" t="s">
        <v>498</v>
      </c>
      <c r="J736" s="133">
        <v>0.550694444444444</v>
      </c>
    </row>
    <row r="737" spans="1:10">
      <c r="A737" s="31">
        <f>VLOOKUP($C737,SKU!$A:$I,3,FALSE)</f>
        <v>10066</v>
      </c>
      <c r="B737" s="31" t="str">
        <f>VLOOKUP($C737,SKU!$A:$I,2,FALSE)</f>
        <v>卡游柯南揭秘包第2弹</v>
      </c>
      <c r="C737" s="29" t="s">
        <v>266</v>
      </c>
      <c r="D737" s="29">
        <v>5</v>
      </c>
      <c r="E737" s="31">
        <f>D737*VLOOKUP(A737,Nhập入库!A:N,8,FALSE)</f>
        <v>180</v>
      </c>
      <c r="G737" s="29" t="s">
        <v>98</v>
      </c>
      <c r="H737" s="29" t="s">
        <v>424</v>
      </c>
      <c r="I737" s="34" t="s">
        <v>498</v>
      </c>
      <c r="J737" s="133">
        <v>0.440277777777778</v>
      </c>
    </row>
    <row r="738" spans="1:10">
      <c r="A738" s="31">
        <f>VLOOKUP($C738,SKU!$A:$I,3,FALSE)</f>
        <v>10090</v>
      </c>
      <c r="B738" s="31" t="str">
        <f>VLOOKUP($C738,SKU!$A:$I,2,FALSE)</f>
        <v>依梦×宫崎骏の治愈一生</v>
      </c>
      <c r="C738" s="29" t="s">
        <v>330</v>
      </c>
      <c r="D738" s="29">
        <v>5</v>
      </c>
      <c r="E738" s="31">
        <f>D738*VLOOKUP(A738,Nhập入库!A:N,8,FALSE)</f>
        <v>65</v>
      </c>
      <c r="G738" s="29" t="s">
        <v>432</v>
      </c>
      <c r="H738" s="29" t="s">
        <v>65</v>
      </c>
      <c r="I738" s="34" t="s">
        <v>498</v>
      </c>
      <c r="J738" s="133">
        <v>0.545138888888889</v>
      </c>
    </row>
    <row r="739" spans="1:10">
      <c r="A739" s="31">
        <f>VLOOKUP($C739,SKU!$A:$I,3,FALSE)</f>
        <v>10014</v>
      </c>
      <c r="B739" s="31" t="str">
        <f>VLOOKUP($C739,SKU!$A:$I,2,FALSE)</f>
        <v>星梦文创-Studio Ghibli宫崎骏撕撕乐系列 </v>
      </c>
      <c r="C739" s="34" t="s">
        <v>83</v>
      </c>
      <c r="D739" s="29">
        <v>5</v>
      </c>
      <c r="E739" s="31">
        <f>D739*VLOOKUP(A739,Nhập入库!A:N,8,FALSE)</f>
        <v>15</v>
      </c>
      <c r="G739" s="29" t="s">
        <v>170</v>
      </c>
      <c r="H739" s="29" t="s">
        <v>499</v>
      </c>
      <c r="I739" s="34" t="s">
        <v>498</v>
      </c>
      <c r="J739" s="133">
        <v>0.375</v>
      </c>
    </row>
    <row r="740" spans="1:10">
      <c r="A740" s="31">
        <f>VLOOKUP($C740,SKU!$A:$I,3,FALSE)</f>
        <v>10082</v>
      </c>
      <c r="B740" s="31" t="str">
        <f>VLOOKUP($C740,SKU!$A:$I,2,FALSE)</f>
        <v>吾羽文创-全亚克力正方形原神色纸</v>
      </c>
      <c r="C740" s="34" t="s">
        <v>310</v>
      </c>
      <c r="D740" s="29">
        <v>10</v>
      </c>
      <c r="E740" s="31">
        <f>D740*VLOOKUP(A740,Nhập入库!A:N,8,FALSE)</f>
        <v>60</v>
      </c>
      <c r="G740" s="29" t="s">
        <v>429</v>
      </c>
      <c r="H740" s="29" t="s">
        <v>428</v>
      </c>
      <c r="I740" s="34" t="s">
        <v>498</v>
      </c>
      <c r="J740" s="133">
        <v>0.75</v>
      </c>
    </row>
    <row r="741" spans="1:10">
      <c r="A741" s="31">
        <f>VLOOKUP($C741,SKU!$A:$I,3,FALSE)</f>
        <v>10039</v>
      </c>
      <c r="B741" s="31" t="str">
        <f>VLOOKUP($C741,SKU!$A:$I,2,FALSE)</f>
        <v>非凡航海王第五弹</v>
      </c>
      <c r="C741" s="34" t="s">
        <v>184</v>
      </c>
      <c r="D741" s="29">
        <v>1</v>
      </c>
      <c r="E741" s="31">
        <f>D741*VLOOKUP(A741,Nhập入库!A:N,8,FALSE)</f>
        <v>20</v>
      </c>
      <c r="G741" s="29" t="s">
        <v>429</v>
      </c>
      <c r="H741" s="29" t="s">
        <v>428</v>
      </c>
      <c r="I741" s="34" t="s">
        <v>498</v>
      </c>
      <c r="J741" s="133">
        <v>0.791666666666667</v>
      </c>
    </row>
    <row r="742" spans="1:10">
      <c r="A742" s="31">
        <f>VLOOKUP($C742,SKU!$A:$I,3,FALSE)</f>
        <v>10074</v>
      </c>
      <c r="B742" s="31" t="str">
        <f>VLOOKUP($C742,SKU!$A:$I,2,FALSE)</f>
        <v>火萤文创【帷幕将倾】俊男唯美撕撕乐</v>
      </c>
      <c r="C742" s="29" t="s">
        <v>287</v>
      </c>
      <c r="D742" s="29">
        <v>50</v>
      </c>
      <c r="E742" s="31">
        <f>D742*VLOOKUP(A742,Nhập入库!A:N,8,FALSE)</f>
        <v>50</v>
      </c>
      <c r="G742" s="29" t="s">
        <v>433</v>
      </c>
      <c r="H742" s="29" t="s">
        <v>431</v>
      </c>
      <c r="I742" s="34" t="s">
        <v>498</v>
      </c>
      <c r="J742" s="133">
        <v>0.763194444444444</v>
      </c>
    </row>
    <row r="743" spans="1:10">
      <c r="A743" s="31">
        <f>VLOOKUP($C743,SKU!$A:$I,3,FALSE)</f>
        <v>10089</v>
      </c>
      <c r="B743" s="31" t="str">
        <f>VLOOKUP($C743,SKU!$A:$I,2,FALSE)</f>
        <v>星火线条小狗</v>
      </c>
      <c r="C743" s="29" t="s">
        <v>327</v>
      </c>
      <c r="D743" s="29">
        <v>10</v>
      </c>
      <c r="E743" s="31">
        <f>D743*VLOOKUP(A743,Nhập入库!A:N,8,FALSE)</f>
        <v>140</v>
      </c>
      <c r="G743" s="29" t="s">
        <v>158</v>
      </c>
      <c r="H743" s="29" t="s">
        <v>59</v>
      </c>
      <c r="I743" s="34" t="s">
        <v>498</v>
      </c>
      <c r="J743" s="133">
        <v>0.958333333333333</v>
      </c>
    </row>
    <row r="744" spans="1:10">
      <c r="A744" s="31">
        <f>VLOOKUP($C744,SKU!$A:$I,3,FALSE)</f>
        <v>10082</v>
      </c>
      <c r="B744" s="31" t="str">
        <f>VLOOKUP($C744,SKU!$A:$I,2,FALSE)</f>
        <v>吾羽文创-全亚克力正方形原神色纸</v>
      </c>
      <c r="C744" s="29" t="s">
        <v>310</v>
      </c>
      <c r="D744" s="29">
        <v>30</v>
      </c>
      <c r="E744" s="31">
        <f>D744*VLOOKUP(A744,Nhập入库!A:N,8,FALSE)</f>
        <v>180</v>
      </c>
      <c r="F744" s="29">
        <v>-1</v>
      </c>
      <c r="G744" s="29" t="s">
        <v>426</v>
      </c>
      <c r="H744" s="29" t="s">
        <v>65</v>
      </c>
      <c r="I744" s="34" t="s">
        <v>500</v>
      </c>
      <c r="J744" s="133">
        <v>0.520833333333333</v>
      </c>
    </row>
    <row r="745" spans="1:10">
      <c r="A745" s="31">
        <f>VLOOKUP($C745,SKU!$A:$I,3,FALSE)</f>
        <v>10007</v>
      </c>
      <c r="B745" s="31" t="str">
        <f>VLOOKUP($C745,SKU!$A:$I,2,FALSE)</f>
        <v>kawaii宫崎骏梦幻之国</v>
      </c>
      <c r="C745" s="29" t="s">
        <v>49</v>
      </c>
      <c r="D745" s="29">
        <v>0</v>
      </c>
      <c r="E745" s="31">
        <f>D745*VLOOKUP(A745,Nhập入库!A:N,8,FALSE)</f>
        <v>0</v>
      </c>
      <c r="F745" s="29">
        <v>9</v>
      </c>
      <c r="G745" s="29" t="s">
        <v>174</v>
      </c>
      <c r="H745" s="29" t="s">
        <v>499</v>
      </c>
      <c r="I745" s="34" t="s">
        <v>500</v>
      </c>
      <c r="J745" s="133">
        <v>0.375</v>
      </c>
    </row>
    <row r="746" spans="1:10">
      <c r="A746" s="31">
        <f>VLOOKUP($C746,SKU!$A:$I,3,FALSE)</f>
        <v>10085</v>
      </c>
      <c r="B746" s="31" t="str">
        <f>VLOOKUP($C746,SKU!$A:$I,2,FALSE)</f>
        <v>火影忍者·手绘复刻撕撕乐</v>
      </c>
      <c r="C746" s="29" t="s">
        <v>317</v>
      </c>
      <c r="E746" s="31">
        <f>D746*VLOOKUP(A746,Nhập入库!A:N,8,FALSE)</f>
        <v>0</v>
      </c>
      <c r="F746" s="29">
        <v>60</v>
      </c>
      <c r="G746" s="29" t="s">
        <v>170</v>
      </c>
      <c r="H746" s="29" t="s">
        <v>499</v>
      </c>
      <c r="I746" s="34" t="s">
        <v>500</v>
      </c>
      <c r="J746" s="133">
        <v>0.551388888888889</v>
      </c>
    </row>
    <row r="747" spans="1:10">
      <c r="A747" s="31">
        <f>VLOOKUP($C747,SKU!$A:$I,3,FALSE)</f>
        <v>10089</v>
      </c>
      <c r="B747" s="31" t="str">
        <f>VLOOKUP($C747,SKU!$A:$I,2,FALSE)</f>
        <v>星火线条小狗</v>
      </c>
      <c r="C747" s="29" t="s">
        <v>327</v>
      </c>
      <c r="D747" s="29">
        <v>6</v>
      </c>
      <c r="E747" s="31">
        <f>D747*VLOOKUP(A747,Nhập入库!A:N,8,FALSE)</f>
        <v>84</v>
      </c>
      <c r="G747" s="29" t="s">
        <v>33</v>
      </c>
      <c r="H747" s="29" t="s">
        <v>424</v>
      </c>
      <c r="I747" s="34" t="s">
        <v>500</v>
      </c>
      <c r="J747" s="133">
        <v>0.473611111111111</v>
      </c>
    </row>
    <row r="748" spans="1:10">
      <c r="A748" s="31">
        <f>VLOOKUP($C748,SKU!$A:$I,3,FALSE)</f>
        <v>10068</v>
      </c>
      <c r="B748" s="31" t="str">
        <f>VLOOKUP($C748,SKU!$A:$I,2,FALSE)</f>
        <v>《竹影摇笺》耽美撕撕乐系列</v>
      </c>
      <c r="C748" s="29" t="s">
        <v>271</v>
      </c>
      <c r="D748" s="29">
        <v>100</v>
      </c>
      <c r="E748" s="31">
        <f>D748*VLOOKUP(A748,Nhập入库!A:N,8,FALSE)</f>
        <v>100</v>
      </c>
      <c r="G748" s="29" t="s">
        <v>154</v>
      </c>
      <c r="H748" s="29" t="s">
        <v>431</v>
      </c>
      <c r="I748" s="34" t="s">
        <v>500</v>
      </c>
      <c r="J748" s="133">
        <v>0.726388888888889</v>
      </c>
    </row>
    <row r="749" spans="1:10">
      <c r="A749" s="31">
        <f>VLOOKUP($C749,SKU!$A:$I,3,FALSE)</f>
        <v>10029</v>
      </c>
      <c r="B749" s="31" t="str">
        <f>VLOOKUP($C749,SKU!$A:$I,2,FALSE)</f>
        <v>樱花屋魔卡少女樱</v>
      </c>
      <c r="C749" s="29" t="s">
        <v>143</v>
      </c>
      <c r="D749" s="29">
        <v>5</v>
      </c>
      <c r="E749" s="31">
        <f>D749*VLOOKUP(A749,Nhập入库!A:N,8,FALSE)</f>
        <v>60</v>
      </c>
      <c r="G749" s="29" t="s">
        <v>154</v>
      </c>
      <c r="H749" s="29" t="s">
        <v>431</v>
      </c>
      <c r="I749" s="34" t="s">
        <v>500</v>
      </c>
      <c r="J749" s="133">
        <v>0.726388888888889</v>
      </c>
    </row>
    <row r="750" spans="1:10">
      <c r="A750" s="31">
        <f>VLOOKUP($C750,SKU!$A:$I,3,FALSE)</f>
        <v>10042</v>
      </c>
      <c r="B750" s="31" t="str">
        <f>VLOOKUP($C750,SKU!$A:$I,2,FALSE)</f>
        <v>黄油小熊系列收藏卡第二弹 小熊的观察日记</v>
      </c>
      <c r="C750" s="29" t="s">
        <v>196</v>
      </c>
      <c r="D750" s="29">
        <v>5</v>
      </c>
      <c r="E750" s="31">
        <f>D750*VLOOKUP(A750,Nhập入库!A:N,8,FALSE)</f>
        <v>80</v>
      </c>
      <c r="G750" s="29" t="s">
        <v>154</v>
      </c>
      <c r="H750" s="29" t="s">
        <v>431</v>
      </c>
      <c r="I750" s="34" t="s">
        <v>500</v>
      </c>
      <c r="J750" s="133">
        <v>0.726388888888889</v>
      </c>
    </row>
    <row r="751" spans="1:10">
      <c r="A751" s="31">
        <f>VLOOKUP($C751,SKU!$A:$I,3,FALSE)</f>
        <v>10089</v>
      </c>
      <c r="B751" s="31" t="str">
        <f>VLOOKUP($C751,SKU!$A:$I,2,FALSE)</f>
        <v>星火线条小狗</v>
      </c>
      <c r="C751" s="29" t="s">
        <v>327</v>
      </c>
      <c r="D751" s="29">
        <v>5</v>
      </c>
      <c r="E751" s="31">
        <f>D751*VLOOKUP(A751,Nhập入库!A:N,8,FALSE)</f>
        <v>70</v>
      </c>
      <c r="G751" s="29" t="s">
        <v>178</v>
      </c>
      <c r="H751" s="29" t="s">
        <v>428</v>
      </c>
      <c r="I751" s="34" t="s">
        <v>500</v>
      </c>
      <c r="J751" s="133">
        <v>0.768055555555556</v>
      </c>
    </row>
    <row r="752" spans="1:10">
      <c r="A752" s="31">
        <f>VLOOKUP($C752,SKU!$A:$I,3,FALSE)</f>
        <v>10078</v>
      </c>
      <c r="B752" s="31" t="str">
        <f>VLOOKUP($C752,SKU!$A:$I,2,FALSE)</f>
        <v>摩斯社×名侦探柯南-摩斯密码系列评级邮票</v>
      </c>
      <c r="C752" s="29" t="s">
        <v>299</v>
      </c>
      <c r="D752" s="29">
        <v>10</v>
      </c>
      <c r="E752" s="31">
        <f>D752*VLOOKUP(A752,Nhập入库!A:N,8,FALSE)</f>
        <v>10</v>
      </c>
      <c r="G752" s="29" t="s">
        <v>178</v>
      </c>
      <c r="H752" s="29" t="s">
        <v>428</v>
      </c>
      <c r="I752" s="34" t="s">
        <v>500</v>
      </c>
      <c r="J752" s="133">
        <v>0.768055555555556</v>
      </c>
    </row>
    <row r="753" spans="1:10">
      <c r="A753" s="31">
        <f>VLOOKUP($C753,SKU!$A:$I,3,FALSE)</f>
        <v>10080</v>
      </c>
      <c r="B753" s="31" t="str">
        <f>VLOOKUP($C753,SKU!$A:$I,2,FALSE)</f>
        <v>《小蘑菇》流荧版收藏卡-末世深渊</v>
      </c>
      <c r="C753" s="29" t="s">
        <v>305</v>
      </c>
      <c r="D753" s="29">
        <v>5</v>
      </c>
      <c r="E753" s="31">
        <f>D753*VLOOKUP(A753,Nhập入库!A:N,8,FALSE)</f>
        <v>50</v>
      </c>
      <c r="G753" s="29" t="s">
        <v>433</v>
      </c>
      <c r="H753" s="29" t="s">
        <v>431</v>
      </c>
      <c r="I753" s="34" t="s">
        <v>500</v>
      </c>
      <c r="J753" s="133">
        <v>0.898611111111111</v>
      </c>
    </row>
    <row r="754" spans="1:10">
      <c r="A754" s="31">
        <f>VLOOKUP($C754,SKU!$A:$I,3,FALSE)</f>
        <v>10089</v>
      </c>
      <c r="B754" s="31" t="str">
        <f>VLOOKUP($C754,SKU!$A:$I,2,FALSE)</f>
        <v>星火线条小狗</v>
      </c>
      <c r="C754" s="29" t="s">
        <v>327</v>
      </c>
      <c r="D754" s="29">
        <v>6</v>
      </c>
      <c r="E754" s="31">
        <f>D754*VLOOKUP(A754,Nhập入库!A:N,8,FALSE)</f>
        <v>84</v>
      </c>
      <c r="G754" s="29" t="s">
        <v>158</v>
      </c>
      <c r="H754" s="29" t="s">
        <v>59</v>
      </c>
      <c r="I754" s="34" t="s">
        <v>501</v>
      </c>
      <c r="J754" s="133">
        <v>0.0708333333333333</v>
      </c>
    </row>
    <row r="755" spans="1:10">
      <c r="A755" s="31">
        <f>VLOOKUP($C755,SKU!$A:$I,3,FALSE)</f>
        <v>10077</v>
      </c>
      <c r="B755" s="31" t="str">
        <f>VLOOKUP($C755,SKU!$A:$I,2,FALSE)</f>
        <v>多多文创原神第二弹卡砖—神眸再现</v>
      </c>
      <c r="C755" s="29" t="s">
        <v>296</v>
      </c>
      <c r="D755" s="29">
        <v>0</v>
      </c>
      <c r="E755" s="31">
        <f>D755*VLOOKUP(A755,Nhập入库!A:N,8,FALSE)</f>
        <v>0</v>
      </c>
      <c r="F755" s="29">
        <v>10</v>
      </c>
      <c r="G755" s="29" t="s">
        <v>174</v>
      </c>
      <c r="H755" s="29" t="s">
        <v>499</v>
      </c>
      <c r="I755" s="141" t="s">
        <v>502</v>
      </c>
      <c r="J755" s="133">
        <v>0.618055555555556</v>
      </c>
    </row>
    <row r="756" spans="1:10">
      <c r="A756" s="31">
        <f>VLOOKUP($C756,SKU!$A:$I,3,FALSE)</f>
        <v>10039</v>
      </c>
      <c r="B756" s="31" t="str">
        <f>VLOOKUP($C756,SKU!$A:$I,2,FALSE)</f>
        <v>非凡航海王第五弹</v>
      </c>
      <c r="C756" s="29" t="s">
        <v>184</v>
      </c>
      <c r="D756" s="29">
        <v>14</v>
      </c>
      <c r="E756" s="31">
        <f>D756*VLOOKUP(A756,Nhập入库!A:N,8,FALSE)</f>
        <v>280</v>
      </c>
      <c r="G756" s="29" t="s">
        <v>98</v>
      </c>
      <c r="H756" s="29" t="s">
        <v>424</v>
      </c>
      <c r="I756" s="141" t="s">
        <v>502</v>
      </c>
      <c r="J756" s="133">
        <v>0.384722222222222</v>
      </c>
    </row>
    <row r="757" spans="1:10">
      <c r="A757" s="31">
        <f>VLOOKUP($C757,SKU!$A:$I,3,FALSE)</f>
        <v>10081</v>
      </c>
      <c r="B757" s="31" t="str">
        <f>VLOOKUP($C757,SKU!$A:$I,2,FALSE)</f>
        <v>京都社 美少女战士 · 第4弹</v>
      </c>
      <c r="C757" s="29" t="s">
        <v>307</v>
      </c>
      <c r="D757" s="29">
        <v>5</v>
      </c>
      <c r="E757" s="31">
        <f>D757*VLOOKUP(A757,Nhập入库!A:N,8,FALSE)</f>
        <v>65</v>
      </c>
      <c r="G757" s="29" t="s">
        <v>98</v>
      </c>
      <c r="H757" s="29" t="s">
        <v>424</v>
      </c>
      <c r="I757" s="141" t="s">
        <v>502</v>
      </c>
      <c r="J757" s="133">
        <v>0.384722222222222</v>
      </c>
    </row>
    <row r="758" spans="1:10">
      <c r="A758" s="31">
        <f>VLOOKUP($C758,SKU!$A:$I,3,FALSE)</f>
        <v>10029</v>
      </c>
      <c r="B758" s="31" t="str">
        <f>VLOOKUP($C758,SKU!$A:$I,2,FALSE)</f>
        <v>樱花屋魔卡少女樱</v>
      </c>
      <c r="C758" s="29" t="s">
        <v>143</v>
      </c>
      <c r="D758" s="29">
        <v>4</v>
      </c>
      <c r="E758" s="31">
        <f>D758*VLOOKUP(A758,Nhập入库!A:N,8,FALSE)</f>
        <v>48</v>
      </c>
      <c r="G758" s="29" t="s">
        <v>130</v>
      </c>
      <c r="H758" s="29" t="s">
        <v>424</v>
      </c>
      <c r="I758" s="141" t="s">
        <v>502</v>
      </c>
      <c r="J758" s="133">
        <v>0.536805555555556</v>
      </c>
    </row>
    <row r="759" spans="1:10">
      <c r="A759" s="31">
        <f>VLOOKUP($C759,SKU!$A:$I,3,FALSE)</f>
        <v>10081</v>
      </c>
      <c r="B759" s="31" t="str">
        <f>VLOOKUP($C759,SKU!$A:$I,2,FALSE)</f>
        <v>京都社 美少女战士 · 第4弹</v>
      </c>
      <c r="C759" s="29" t="s">
        <v>307</v>
      </c>
      <c r="D759" s="29">
        <v>5</v>
      </c>
      <c r="E759" s="31">
        <f>D759*VLOOKUP(A759,Nhập入库!A:N,8,FALSE)</f>
        <v>65</v>
      </c>
      <c r="G759" s="29" t="s">
        <v>130</v>
      </c>
      <c r="H759" s="29" t="s">
        <v>424</v>
      </c>
      <c r="I759" s="141" t="s">
        <v>502</v>
      </c>
      <c r="J759" s="133">
        <v>0.536805555555556</v>
      </c>
    </row>
    <row r="760" spans="1:10">
      <c r="A760" s="31">
        <f>VLOOKUP($C760,SKU!$A:$I,3,FALSE)</f>
        <v>10087</v>
      </c>
      <c r="B760" s="31" t="str">
        <f>VLOOKUP($C760,SKU!$A:$I,2,FALSE)</f>
        <v>世界杯足球2026</v>
      </c>
      <c r="C760" s="29" t="s">
        <v>322</v>
      </c>
      <c r="D760" s="29">
        <v>5</v>
      </c>
      <c r="E760" s="31">
        <f>D760*VLOOKUP(A760,Nhập入库!A:N,8,FALSE)</f>
        <v>180</v>
      </c>
      <c r="G760" s="29" t="s">
        <v>429</v>
      </c>
      <c r="H760" s="29" t="s">
        <v>428</v>
      </c>
      <c r="I760" s="141" t="s">
        <v>502</v>
      </c>
      <c r="J760" s="133">
        <v>0.745138888888889</v>
      </c>
    </row>
    <row r="761" spans="1:10">
      <c r="A761" s="31">
        <f>VLOOKUP($C761,SKU!$A:$I,3,FALSE)</f>
        <v>10085</v>
      </c>
      <c r="B761" s="31" t="str">
        <f>VLOOKUP($C761,SKU!$A:$I,2,FALSE)</f>
        <v>火影忍者·手绘复刻撕撕乐</v>
      </c>
      <c r="C761" s="29" t="s">
        <v>317</v>
      </c>
      <c r="D761" s="29">
        <v>30</v>
      </c>
      <c r="E761" s="31">
        <f>D761*VLOOKUP(A761,Nhập入库!A:N,8,FALSE)</f>
        <v>30</v>
      </c>
      <c r="G761" s="29" t="s">
        <v>78</v>
      </c>
      <c r="H761" s="29" t="s">
        <v>428</v>
      </c>
      <c r="I761" s="141" t="s">
        <v>502</v>
      </c>
      <c r="J761" s="133">
        <v>0.745138888888889</v>
      </c>
    </row>
    <row r="762" spans="1:10">
      <c r="A762" s="31">
        <f>VLOOKUP($C762,SKU!$A:$I,3,FALSE)</f>
        <v>10089</v>
      </c>
      <c r="B762" s="31" t="str">
        <f>VLOOKUP($C762,SKU!$A:$I,2,FALSE)</f>
        <v>星火线条小狗</v>
      </c>
      <c r="C762" s="29" t="s">
        <v>327</v>
      </c>
      <c r="D762" s="29">
        <v>10</v>
      </c>
      <c r="E762" s="31">
        <f>D762*VLOOKUP(A762,Nhập入库!A:N,8,FALSE)</f>
        <v>140</v>
      </c>
      <c r="G762" s="29" t="s">
        <v>146</v>
      </c>
      <c r="H762" s="29" t="s">
        <v>428</v>
      </c>
      <c r="I762" s="141" t="s">
        <v>502</v>
      </c>
      <c r="J762" s="133">
        <v>0.745138888888889</v>
      </c>
    </row>
    <row r="763" spans="1:10">
      <c r="A763" s="31">
        <f>VLOOKUP($C763,SKU!$A:$I,3,FALSE)</f>
        <v>10082</v>
      </c>
      <c r="B763" s="31" t="str">
        <f>VLOOKUP($C763,SKU!$A:$I,2,FALSE)</f>
        <v>吾羽文创-全亚克力正方形原神色纸</v>
      </c>
      <c r="C763" s="29" t="s">
        <v>310</v>
      </c>
      <c r="D763" s="29">
        <v>10</v>
      </c>
      <c r="E763" s="31">
        <f>D763*VLOOKUP(A763,Nhập入库!A:N,8,FALSE)</f>
        <v>60</v>
      </c>
      <c r="G763" s="29" t="s">
        <v>429</v>
      </c>
      <c r="H763" s="29" t="s">
        <v>428</v>
      </c>
      <c r="I763" s="141" t="s">
        <v>502</v>
      </c>
      <c r="J763" s="133">
        <v>0.786805555555556</v>
      </c>
    </row>
    <row r="764" spans="1:10">
      <c r="A764" s="31">
        <f>VLOOKUP($C764,SKU!$A:$I,3,FALSE)</f>
        <v>10012</v>
      </c>
      <c r="B764" s="31" t="str">
        <f>VLOOKUP($C764,SKU!$A:$I,2,FALSE)</f>
        <v>卡文化进击的巨人</v>
      </c>
      <c r="C764" s="29" t="s">
        <v>75</v>
      </c>
      <c r="D764" s="29">
        <v>5</v>
      </c>
      <c r="E764" s="31">
        <f>D764*VLOOKUP(A764,Nhập入库!A:N,8,FALSE)</f>
        <v>150</v>
      </c>
      <c r="G764" s="29" t="s">
        <v>78</v>
      </c>
      <c r="H764" s="29" t="s">
        <v>428</v>
      </c>
      <c r="I764" s="141" t="s">
        <v>502</v>
      </c>
      <c r="J764" s="133">
        <v>0.995138888888889</v>
      </c>
    </row>
    <row r="765" spans="1:10">
      <c r="A765" s="31">
        <f>VLOOKUP($C765,SKU!$A:$I,3,FALSE)</f>
        <v>10089</v>
      </c>
      <c r="B765" s="31" t="str">
        <f>VLOOKUP($C765,SKU!$A:$I,2,FALSE)</f>
        <v>星火线条小狗</v>
      </c>
      <c r="C765" s="29" t="s">
        <v>327</v>
      </c>
      <c r="D765" s="29">
        <v>10</v>
      </c>
      <c r="E765" s="31">
        <f>D765*VLOOKUP(A765,Nhập入库!A:N,8,FALSE)</f>
        <v>140</v>
      </c>
      <c r="G765" s="29" t="s">
        <v>158</v>
      </c>
      <c r="H765" s="29" t="s">
        <v>59</v>
      </c>
      <c r="I765" s="34" t="s">
        <v>503</v>
      </c>
      <c r="J765" s="133">
        <v>0.195833333333333</v>
      </c>
    </row>
    <row r="766" spans="1:10">
      <c r="A766" s="31">
        <f>VLOOKUP($C766,SKU!$A:$I,3,FALSE)</f>
        <v>10087</v>
      </c>
      <c r="B766" s="31" t="str">
        <f>VLOOKUP($C766,SKU!$A:$I,2,FALSE)</f>
        <v>世界杯足球2026</v>
      </c>
      <c r="C766" s="29" t="s">
        <v>322</v>
      </c>
      <c r="D766" s="29">
        <v>5</v>
      </c>
      <c r="E766" s="31">
        <f>D766*VLOOKUP(A766,Nhập入库!A:N,8,FALSE)</f>
        <v>180</v>
      </c>
      <c r="G766" s="29" t="s">
        <v>90</v>
      </c>
      <c r="H766" s="29" t="s">
        <v>59</v>
      </c>
      <c r="I766" s="34" t="s">
        <v>503</v>
      </c>
      <c r="J766" s="133">
        <v>0.202083333333333</v>
      </c>
    </row>
    <row r="767" spans="1:10">
      <c r="A767" s="31">
        <f>VLOOKUP($C767,SKU!$A:$I,3,FALSE)</f>
        <v>10090</v>
      </c>
      <c r="B767" s="31" t="str">
        <f>VLOOKUP($C767,SKU!$A:$I,2,FALSE)</f>
        <v>依梦×宫崎骏の治愈一生</v>
      </c>
      <c r="C767" s="29" t="s">
        <v>330</v>
      </c>
      <c r="D767" s="29">
        <v>5</v>
      </c>
      <c r="E767" s="31">
        <f>D767*VLOOKUP(A767,Nhập入库!A:N,8,FALSE)</f>
        <v>65</v>
      </c>
      <c r="G767" s="29" t="s">
        <v>432</v>
      </c>
      <c r="H767" s="29" t="s">
        <v>65</v>
      </c>
      <c r="I767" s="34" t="s">
        <v>503</v>
      </c>
      <c r="J767" s="133">
        <v>0.40625</v>
      </c>
    </row>
    <row r="768" spans="1:10">
      <c r="A768" s="31">
        <f>VLOOKUP($C768,SKU!$A:$I,3,FALSE)</f>
        <v>10063</v>
      </c>
      <c r="B768" s="31" t="str">
        <f>VLOOKUP($C768,SKU!$A:$I,2,FALSE)</f>
        <v>浮梦集 「童境绮梦」艺术家联名收藏卡牌</v>
      </c>
      <c r="C768" s="29" t="s">
        <v>257</v>
      </c>
      <c r="D768" s="29">
        <v>14</v>
      </c>
      <c r="E768" s="31">
        <f>D768*VLOOKUP(A768,Nhập入库!A:N,8,FALSE)</f>
        <v>182</v>
      </c>
      <c r="G768" s="29" t="s">
        <v>422</v>
      </c>
      <c r="H768" s="29" t="s">
        <v>65</v>
      </c>
      <c r="I768" s="34" t="s">
        <v>503</v>
      </c>
      <c r="J768" s="133">
        <v>0.548611111111111</v>
      </c>
    </row>
    <row r="769" spans="1:10">
      <c r="A769" s="31">
        <f>VLOOKUP($C769,SKU!$A:$I,3,FALSE)</f>
        <v>10072</v>
      </c>
      <c r="B769" s="31" t="str">
        <f>VLOOKUP($C769,SKU!$A:$I,2,FALSE)</f>
        <v>伴飞小鸟</v>
      </c>
      <c r="C769" s="29" t="s">
        <v>282</v>
      </c>
      <c r="D769" s="29">
        <v>1</v>
      </c>
      <c r="E769" s="31">
        <f>D769*VLOOKUP(A769,Nhập入库!A:N,8,FALSE)</f>
        <v>1</v>
      </c>
      <c r="G769" s="29" t="s">
        <v>183</v>
      </c>
      <c r="I769" s="34" t="s">
        <v>503</v>
      </c>
      <c r="J769" s="133">
        <v>0.116666666666667</v>
      </c>
    </row>
    <row r="770" spans="1:10">
      <c r="A770" s="31">
        <f>VLOOKUP($C770,SKU!$A:$I,3,FALSE)</f>
        <v>10074</v>
      </c>
      <c r="B770" s="31" t="str">
        <f>VLOOKUP($C770,SKU!$A:$I,2,FALSE)</f>
        <v>火萤文创【帷幕将倾】俊男唯美撕撕乐</v>
      </c>
      <c r="C770" s="29" t="s">
        <v>287</v>
      </c>
      <c r="D770" s="29">
        <v>30</v>
      </c>
      <c r="E770" s="31">
        <f>D770*VLOOKUP(A770,Nhập入库!A:N,8,FALSE)</f>
        <v>30</v>
      </c>
      <c r="G770" s="29" t="s">
        <v>433</v>
      </c>
      <c r="H770" s="29" t="s">
        <v>431</v>
      </c>
      <c r="I770" s="34" t="s">
        <v>503</v>
      </c>
      <c r="J770" s="133">
        <v>0.799305555555556</v>
      </c>
    </row>
    <row r="771" spans="1:10">
      <c r="A771" s="31">
        <f>VLOOKUP($C771,SKU!$A:$I,3,FALSE)</f>
        <v>10066</v>
      </c>
      <c r="B771" s="31" t="str">
        <f>VLOOKUP($C771,SKU!$A:$I,2,FALSE)</f>
        <v>卡游柯南揭秘包第2弹</v>
      </c>
      <c r="C771" s="29" t="s">
        <v>266</v>
      </c>
      <c r="D771" s="29">
        <v>3</v>
      </c>
      <c r="E771" s="31">
        <f>D771*VLOOKUP(A771,Nhập入库!A:N,8,FALSE)</f>
        <v>108</v>
      </c>
      <c r="G771" s="29" t="s">
        <v>146</v>
      </c>
      <c r="H771" s="29" t="s">
        <v>428</v>
      </c>
      <c r="I771" s="34" t="s">
        <v>503</v>
      </c>
      <c r="J771" s="133">
        <v>0.826388888888889</v>
      </c>
    </row>
    <row r="772" spans="1:10">
      <c r="A772" s="31">
        <f>VLOOKUP($C772,SKU!$A:$I,3,FALSE)</f>
        <v>10089</v>
      </c>
      <c r="B772" s="31" t="str">
        <f>VLOOKUP($C772,SKU!$A:$I,2,FALSE)</f>
        <v>星火线条小狗</v>
      </c>
      <c r="C772" s="29" t="s">
        <v>327</v>
      </c>
      <c r="D772" s="29">
        <v>5</v>
      </c>
      <c r="E772" s="31">
        <f>D772*VLOOKUP(A772,Nhập入库!A:N,8,FALSE)</f>
        <v>70</v>
      </c>
      <c r="G772" s="29" t="s">
        <v>146</v>
      </c>
      <c r="H772" s="29" t="s">
        <v>428</v>
      </c>
      <c r="I772" s="34" t="s">
        <v>503</v>
      </c>
      <c r="J772" s="133">
        <v>0.826388888888889</v>
      </c>
    </row>
    <row r="773" spans="1:10">
      <c r="A773" s="31">
        <f>VLOOKUP($C773,SKU!$A:$I,3,FALSE)</f>
        <v>10035</v>
      </c>
      <c r="B773" s="31" t="str">
        <f>VLOOKUP($C773,SKU!$A:$I,2,FALSE)</f>
        <v>KK CARD × 新海诚系列第一弹</v>
      </c>
      <c r="C773" s="29" t="s">
        <v>167</v>
      </c>
      <c r="D773" s="29">
        <v>5</v>
      </c>
      <c r="E773" s="31">
        <f>D773*VLOOKUP(A773,Nhập入库!A:N,8,FALSE)</f>
        <v>70</v>
      </c>
      <c r="G773" s="29" t="s">
        <v>146</v>
      </c>
      <c r="H773" s="29" t="s">
        <v>428</v>
      </c>
      <c r="I773" s="34" t="s">
        <v>503</v>
      </c>
      <c r="J773" s="133">
        <v>0.993055555555556</v>
      </c>
    </row>
    <row r="774" spans="1:10">
      <c r="A774" s="31">
        <f>VLOOKUP($C774,SKU!$A:$I,3,FALSE)</f>
        <v>10083</v>
      </c>
      <c r="B774" s="31" t="str">
        <f>VLOOKUP($C774,SKU!$A:$I,2,FALSE)</f>
        <v>天官赐福花灯照夜</v>
      </c>
      <c r="C774" s="29" t="s">
        <v>313</v>
      </c>
      <c r="D774" s="29">
        <v>5</v>
      </c>
      <c r="E774" s="31">
        <f>D774*VLOOKUP(A774,Nhập入库!A:N,8,FALSE)</f>
        <v>80</v>
      </c>
      <c r="G774" s="29" t="s">
        <v>422</v>
      </c>
      <c r="H774" s="29" t="s">
        <v>65</v>
      </c>
      <c r="I774" s="34" t="s">
        <v>504</v>
      </c>
      <c r="J774" s="133">
        <v>0.424305555555556</v>
      </c>
    </row>
    <row r="775" spans="1:10">
      <c r="A775" s="31">
        <f>VLOOKUP($C775,SKU!$A:$I,3,FALSE)</f>
        <v>10060</v>
      </c>
      <c r="B775" s="31" t="str">
        <f>VLOOKUP($C775,SKU!$A:$I,2,FALSE)</f>
        <v>漫の森《宫崎骏第三弹·奇幻之旅》</v>
      </c>
      <c r="C775" s="29" t="s">
        <v>249</v>
      </c>
      <c r="D775" s="29">
        <v>3</v>
      </c>
      <c r="E775" s="31">
        <f>D775*VLOOKUP(A775,Nhập入库!A:N,8,FALSE)</f>
        <v>39</v>
      </c>
      <c r="G775" s="29" t="s">
        <v>170</v>
      </c>
      <c r="H775" s="34" t="s">
        <v>499</v>
      </c>
      <c r="I775" s="34" t="s">
        <v>504</v>
      </c>
      <c r="J775" s="133">
        <v>0.506944444444444</v>
      </c>
    </row>
    <row r="776" spans="1:10">
      <c r="A776" s="31">
        <f>VLOOKUP($C776,SKU!$A:$I,3,FALSE)</f>
        <v>10063</v>
      </c>
      <c r="B776" s="31" t="str">
        <f>VLOOKUP($C776,SKU!$A:$I,2,FALSE)</f>
        <v>浮梦集 「童境绮梦」艺术家联名收藏卡牌</v>
      </c>
      <c r="C776" s="29" t="s">
        <v>257</v>
      </c>
      <c r="D776" s="29">
        <v>1</v>
      </c>
      <c r="E776" s="31">
        <f>D776*VLOOKUP(A776,Nhập入库!A:N,8,FALSE)</f>
        <v>13</v>
      </c>
      <c r="G776" s="29" t="s">
        <v>422</v>
      </c>
      <c r="H776" s="34" t="s">
        <v>65</v>
      </c>
      <c r="I776" s="34" t="s">
        <v>504</v>
      </c>
      <c r="J776" s="133">
        <v>0.520833333333333</v>
      </c>
    </row>
    <row r="777" spans="1:10">
      <c r="A777" s="31">
        <f>VLOOKUP($C777,SKU!$A:$I,3,FALSE)</f>
        <v>10090</v>
      </c>
      <c r="B777" s="31" t="str">
        <f>VLOOKUP($C777,SKU!$A:$I,2,FALSE)</f>
        <v>依梦×宫崎骏の治愈一生</v>
      </c>
      <c r="C777" s="29" t="s">
        <v>330</v>
      </c>
      <c r="D777" s="29">
        <v>5</v>
      </c>
      <c r="E777" s="31">
        <f>D777*VLOOKUP(A777,Nhập入库!A:N,8,FALSE)</f>
        <v>65</v>
      </c>
      <c r="G777" s="29" t="s">
        <v>432</v>
      </c>
      <c r="H777" s="29" t="s">
        <v>65</v>
      </c>
      <c r="I777" s="34" t="s">
        <v>504</v>
      </c>
      <c r="J777" s="133">
        <v>0.668055555555556</v>
      </c>
    </row>
    <row r="778" spans="1:10">
      <c r="A778" s="31">
        <f>VLOOKUP($C778,SKU!$A:$I,3,FALSE)</f>
        <v>10077</v>
      </c>
      <c r="B778" s="31" t="str">
        <f>VLOOKUP($C778,SKU!$A:$I,2,FALSE)</f>
        <v>多多文创原神第二弹卡砖—神眸再现</v>
      </c>
      <c r="C778" s="29" t="s">
        <v>296</v>
      </c>
      <c r="D778" s="29">
        <v>15</v>
      </c>
      <c r="E778" s="31">
        <f>D778*VLOOKUP(A778,Nhập入库!A:N,8,FALSE)</f>
        <v>15</v>
      </c>
      <c r="G778" s="29" t="s">
        <v>429</v>
      </c>
      <c r="H778" s="29" t="s">
        <v>428</v>
      </c>
      <c r="I778" s="34" t="s">
        <v>504</v>
      </c>
      <c r="J778" s="133">
        <v>0.751388888888889</v>
      </c>
    </row>
    <row r="779" spans="1:10">
      <c r="A779" s="31">
        <f>VLOOKUP($C779,SKU!$A:$I,3,FALSE)</f>
        <v>10060</v>
      </c>
      <c r="B779" s="31" t="str">
        <f>VLOOKUP($C779,SKU!$A:$I,2,FALSE)</f>
        <v>漫の森《宫崎骏第三弹·奇幻之旅》</v>
      </c>
      <c r="C779" s="29" t="s">
        <v>249</v>
      </c>
      <c r="D779" s="29">
        <v>5</v>
      </c>
      <c r="E779" s="31">
        <f>D779*VLOOKUP(A779,Nhập入库!A:N,8,FALSE)</f>
        <v>65</v>
      </c>
      <c r="G779" s="29" t="s">
        <v>90</v>
      </c>
      <c r="H779" s="29" t="s">
        <v>59</v>
      </c>
      <c r="I779" s="34" t="s">
        <v>505</v>
      </c>
      <c r="J779" s="133">
        <v>0.0291666666666667</v>
      </c>
    </row>
    <row r="780" spans="1:10">
      <c r="A780" s="31">
        <f>VLOOKUP($C780,SKU!$A:$I,3,FALSE)</f>
        <v>10091</v>
      </c>
      <c r="B780" s="31" t="str">
        <f>VLOOKUP($C780,SKU!$A:$I,2,FALSE)</f>
        <v>星际宝贝百变顽家收藏卡</v>
      </c>
      <c r="C780" s="29" t="s">
        <v>333</v>
      </c>
      <c r="D780" s="29">
        <v>10</v>
      </c>
      <c r="E780" s="31">
        <f>D780*VLOOKUP(A780,Nhập入库!A:N,8,FALSE)</f>
        <v>100</v>
      </c>
      <c r="G780" s="29" t="s">
        <v>422</v>
      </c>
      <c r="H780" s="29" t="s">
        <v>65</v>
      </c>
      <c r="I780" s="34" t="s">
        <v>505</v>
      </c>
      <c r="J780" s="133">
        <v>0.520833333333333</v>
      </c>
    </row>
    <row r="781" spans="1:10">
      <c r="A781" s="31">
        <f>VLOOKUP($C781,SKU!$A:$I,3,FALSE)</f>
        <v>10078</v>
      </c>
      <c r="B781" s="31" t="str">
        <f>VLOOKUP($C781,SKU!$A:$I,2,FALSE)</f>
        <v>摩斯社×名侦探柯南-摩斯密码系列评级邮票</v>
      </c>
      <c r="C781" s="29" t="s">
        <v>299</v>
      </c>
      <c r="D781" s="29">
        <v>30</v>
      </c>
      <c r="E781" s="31">
        <f>D781*VLOOKUP(A781,Nhập入库!A:N,8,FALSE)</f>
        <v>30</v>
      </c>
      <c r="G781" s="29" t="s">
        <v>426</v>
      </c>
      <c r="H781" s="29" t="s">
        <v>65</v>
      </c>
      <c r="I781" s="34" t="s">
        <v>505</v>
      </c>
      <c r="J781" s="133">
        <v>0.520833333333333</v>
      </c>
    </row>
    <row r="782" spans="1:10">
      <c r="A782" s="31">
        <f>VLOOKUP($C782,SKU!$A:$I,3,FALSE)</f>
        <v>10093</v>
      </c>
      <c r="B782" s="31" t="str">
        <f>VLOOKUP($C782,SKU!$A:$I,2,FALSE)</f>
        <v>星绘社新海诚系列卡牌</v>
      </c>
      <c r="C782" s="29" t="s">
        <v>338</v>
      </c>
      <c r="D782" s="29">
        <v>5</v>
      </c>
      <c r="E782" s="31">
        <f>D782*VLOOKUP(A782,Nhập入库!A:N,8,FALSE)</f>
        <v>65</v>
      </c>
      <c r="G782" s="29" t="s">
        <v>432</v>
      </c>
      <c r="H782" s="29" t="s">
        <v>65</v>
      </c>
      <c r="I782" s="34" t="s">
        <v>505</v>
      </c>
      <c r="J782" s="133">
        <v>0.555555555555556</v>
      </c>
    </row>
    <row r="783" spans="1:10">
      <c r="A783" s="31">
        <f>VLOOKUP($C783,SKU!$A:$I,3,FALSE)</f>
        <v>10063</v>
      </c>
      <c r="B783" s="31" t="str">
        <f>VLOOKUP($C783,SKU!$A:$I,2,FALSE)</f>
        <v>浮梦集 「童境绮梦」艺术家联名收藏卡牌</v>
      </c>
      <c r="C783" s="29" t="s">
        <v>257</v>
      </c>
      <c r="D783" s="29">
        <v>6</v>
      </c>
      <c r="E783" s="31">
        <f>D783*VLOOKUP(A783,Nhập入库!A:N,8,FALSE)</f>
        <v>78</v>
      </c>
      <c r="G783" s="29" t="s">
        <v>422</v>
      </c>
      <c r="H783" s="29" t="s">
        <v>65</v>
      </c>
      <c r="I783" s="34" t="s">
        <v>505</v>
      </c>
      <c r="J783" s="133">
        <v>0.555555555555556</v>
      </c>
    </row>
    <row r="784" spans="1:10">
      <c r="A784" s="31">
        <f>VLOOKUP($C784,SKU!$A:$I,3,FALSE)</f>
        <v>10063</v>
      </c>
      <c r="B784" s="31" t="str">
        <f>VLOOKUP($C784,SKU!$A:$I,2,FALSE)</f>
        <v>浮梦集 「童境绮梦」艺术家联名收藏卡牌</v>
      </c>
      <c r="C784" s="29" t="s">
        <v>257</v>
      </c>
      <c r="D784" s="29">
        <v>10</v>
      </c>
      <c r="E784" s="31">
        <f>D784*VLOOKUP(A784,Nhập入库!A:N,8,FALSE)</f>
        <v>130</v>
      </c>
      <c r="G784" s="29" t="s">
        <v>422</v>
      </c>
      <c r="H784" s="29" t="s">
        <v>65</v>
      </c>
      <c r="I784" s="34" t="s">
        <v>505</v>
      </c>
      <c r="J784" s="133">
        <v>0.555555555555556</v>
      </c>
    </row>
    <row r="785" spans="1:10">
      <c r="A785" s="31">
        <f>VLOOKUP($C785,SKU!$A:$I,3,FALSE)</f>
        <v>10093</v>
      </c>
      <c r="B785" s="31" t="str">
        <f>VLOOKUP($C785,SKU!$A:$I,2,FALSE)</f>
        <v>星绘社新海诚系列卡牌</v>
      </c>
      <c r="C785" s="29" t="s">
        <v>338</v>
      </c>
      <c r="D785" s="29">
        <v>5</v>
      </c>
      <c r="E785" s="31">
        <f>D785*VLOOKUP(A785,Nhập入库!A:N,8,FALSE)</f>
        <v>65</v>
      </c>
      <c r="G785" s="29" t="s">
        <v>432</v>
      </c>
      <c r="H785" s="29" t="s">
        <v>65</v>
      </c>
      <c r="I785" s="34" t="s">
        <v>505</v>
      </c>
      <c r="J785" s="133">
        <v>0.645833333333333</v>
      </c>
    </row>
    <row r="786" spans="1:10">
      <c r="A786" s="31">
        <f>VLOOKUP($C786,SKU!$A:$I,3,FALSE)</f>
        <v>10093</v>
      </c>
      <c r="B786" s="31" t="str">
        <f>VLOOKUP($C786,SKU!$A:$I,2,FALSE)</f>
        <v>星绘社新海诚系列卡牌</v>
      </c>
      <c r="C786" s="29" t="s">
        <v>338</v>
      </c>
      <c r="D786" s="29">
        <v>2</v>
      </c>
      <c r="E786" s="31">
        <f>D786*VLOOKUP(A786,Nhập入库!A:N,8,FALSE)</f>
        <v>26</v>
      </c>
      <c r="G786" s="29" t="s">
        <v>162</v>
      </c>
      <c r="H786" s="29" t="s">
        <v>65</v>
      </c>
      <c r="I786" s="34" t="s">
        <v>505</v>
      </c>
      <c r="J786" s="133">
        <v>0.645833333333333</v>
      </c>
    </row>
    <row r="787" spans="1:10">
      <c r="A787" s="31">
        <f>VLOOKUP($C787,SKU!$A:$I,3,FALSE)</f>
        <v>10086</v>
      </c>
      <c r="B787" s="31" t="str">
        <f>VLOOKUP($C787,SKU!$A:$I,2,FALSE)</f>
        <v>【潮迷文创】名侦探柯南-危险排队-周边创意艺术色纸</v>
      </c>
      <c r="C787" s="29" t="s">
        <v>319</v>
      </c>
      <c r="D787" s="29">
        <v>20</v>
      </c>
      <c r="E787" s="31">
        <f>D787*VLOOKUP(A787,Nhập入库!A:N,8,FALSE)</f>
        <v>20</v>
      </c>
      <c r="G787" s="29" t="s">
        <v>430</v>
      </c>
      <c r="H787" s="29" t="s">
        <v>431</v>
      </c>
      <c r="I787" s="34" t="s">
        <v>505</v>
      </c>
      <c r="J787" s="133">
        <v>0.729166666666667</v>
      </c>
    </row>
    <row r="788" spans="1:10">
      <c r="A788" s="31">
        <f>VLOOKUP($C788,SKU!$A:$I,3,FALSE)</f>
        <v>10094</v>
      </c>
      <c r="B788" s="31" t="str">
        <f>VLOOKUP($C788,SKU!$A:$I,2,FALSE)</f>
        <v>山海文创《蝶海梦花》耽美男神A6纯亚克力色纸</v>
      </c>
      <c r="C788" s="29" t="s">
        <v>341</v>
      </c>
      <c r="D788" s="29">
        <v>5</v>
      </c>
      <c r="E788" s="31">
        <f>D788*VLOOKUP(A788,Nhập入库!A:N,8,FALSE)</f>
        <v>25</v>
      </c>
      <c r="G788" s="29" t="s">
        <v>433</v>
      </c>
      <c r="H788" s="29" t="s">
        <v>431</v>
      </c>
      <c r="I788" s="34" t="s">
        <v>505</v>
      </c>
      <c r="J788" s="133">
        <v>0.729166666666667</v>
      </c>
    </row>
    <row r="789" spans="1:10">
      <c r="A789" s="31">
        <f>VLOOKUP($C789,SKU!$A:$I,3,FALSE)</f>
        <v>10109</v>
      </c>
      <c r="B789" s="31">
        <f>VLOOKUP($C789,SKU!$A:$I,2,FALSE)</f>
        <v>0</v>
      </c>
      <c r="C789" s="29" t="s">
        <v>382</v>
      </c>
      <c r="D789" s="29">
        <v>18</v>
      </c>
      <c r="E789" s="31">
        <f>D789*VLOOKUP(A789,Nhập入库!A:N,8,FALSE)</f>
        <v>180</v>
      </c>
      <c r="G789" s="29" t="s">
        <v>146</v>
      </c>
      <c r="H789" s="29" t="s">
        <v>428</v>
      </c>
      <c r="I789" s="34" t="s">
        <v>505</v>
      </c>
      <c r="J789" s="133">
        <v>0.770833333333333</v>
      </c>
    </row>
    <row r="790" spans="1:10">
      <c r="A790" s="31">
        <f>VLOOKUP($C790,SKU!$A:$I,3,FALSE)</f>
        <v>10108</v>
      </c>
      <c r="B790" s="31">
        <f>VLOOKUP($C790,SKU!$A:$I,2,FALSE)</f>
        <v>0</v>
      </c>
      <c r="C790" s="29" t="s">
        <v>380</v>
      </c>
      <c r="D790" s="29">
        <v>5</v>
      </c>
      <c r="E790" s="31">
        <f>D790*VLOOKUP(A790,Nhập入库!A:N,8,FALSE)</f>
        <v>50</v>
      </c>
      <c r="G790" s="29" t="s">
        <v>146</v>
      </c>
      <c r="H790" s="29" t="s">
        <v>428</v>
      </c>
      <c r="I790" s="34" t="s">
        <v>505</v>
      </c>
      <c r="J790" s="133">
        <v>0.770833333333333</v>
      </c>
    </row>
    <row r="791" spans="1:10">
      <c r="A791" s="31">
        <f>VLOOKUP($C791,SKU!$A:$I,3,FALSE)</f>
        <v>10094</v>
      </c>
      <c r="B791" s="31" t="str">
        <f>VLOOKUP($C791,SKU!$A:$I,2,FALSE)</f>
        <v>山海文创《蝶海梦花》耽美男神A6纯亚克力色纸</v>
      </c>
      <c r="C791" s="29" t="s">
        <v>341</v>
      </c>
      <c r="D791" s="29">
        <v>10</v>
      </c>
      <c r="E791" s="31">
        <f>D791*VLOOKUP(A791,Nhập入库!A:N,8,FALSE)</f>
        <v>50</v>
      </c>
      <c r="G791" s="29" t="s">
        <v>433</v>
      </c>
      <c r="H791" s="29" t="s">
        <v>431</v>
      </c>
      <c r="I791" s="34" t="s">
        <v>505</v>
      </c>
      <c r="J791" s="133">
        <v>0.8125</v>
      </c>
    </row>
    <row r="792" spans="1:10">
      <c r="A792" s="31">
        <f>VLOOKUP($C792,SKU!$A:$I,3,FALSE)</f>
        <v>10094</v>
      </c>
      <c r="B792" s="31" t="str">
        <f>VLOOKUP($C792,SKU!$A:$I,2,FALSE)</f>
        <v>山海文创《蝶海梦花》耽美男神A6纯亚克力色纸</v>
      </c>
      <c r="C792" s="29" t="s">
        <v>341</v>
      </c>
      <c r="D792" s="29">
        <v>5</v>
      </c>
      <c r="E792" s="31">
        <f>D792*VLOOKUP(A792,Nhập入库!A:N,8,FALSE)</f>
        <v>25</v>
      </c>
      <c r="G792" s="29" t="s">
        <v>433</v>
      </c>
      <c r="H792" s="29" t="s">
        <v>431</v>
      </c>
      <c r="I792" s="34" t="s">
        <v>505</v>
      </c>
      <c r="J792" s="133">
        <v>0.972222222222222</v>
      </c>
    </row>
    <row r="793" spans="1:10">
      <c r="A793" s="31">
        <f>VLOOKUP($C793,SKU!$A:$I,3,FALSE)</f>
        <v>10102</v>
      </c>
      <c r="B793" s="31" t="str">
        <f>VLOOKUP($C793,SKU!$A:$I,2,FALSE)</f>
        <v>麒麟文创航海王第一弹-仙道天下</v>
      </c>
      <c r="C793" s="29" t="s">
        <v>364</v>
      </c>
      <c r="D793" s="29">
        <v>10</v>
      </c>
      <c r="E793" s="31">
        <f>D793*VLOOKUP(A793,Nhập入库!A:N,8,FALSE)</f>
        <v>130</v>
      </c>
      <c r="G793" s="29" t="s">
        <v>429</v>
      </c>
      <c r="H793" s="29" t="s">
        <v>428</v>
      </c>
      <c r="I793" s="34" t="s">
        <v>505</v>
      </c>
      <c r="J793" s="133">
        <v>0.972222222222222</v>
      </c>
    </row>
    <row r="794" spans="1:10">
      <c r="A794" s="31">
        <f>VLOOKUP($C794,SKU!$A:$I,3,FALSE)</f>
        <v>10083</v>
      </c>
      <c r="B794" s="31" t="str">
        <f>VLOOKUP($C794,SKU!$A:$I,2,FALSE)</f>
        <v>天官赐福花灯照夜</v>
      </c>
      <c r="C794" s="29" t="s">
        <v>313</v>
      </c>
      <c r="D794" s="29">
        <v>5</v>
      </c>
      <c r="E794" s="31">
        <f>D794*VLOOKUP(A794,Nhập入库!A:N,8,FALSE)</f>
        <v>80</v>
      </c>
      <c r="G794" s="29" t="s">
        <v>422</v>
      </c>
      <c r="H794" s="29" t="s">
        <v>65</v>
      </c>
      <c r="I794" s="34" t="s">
        <v>506</v>
      </c>
      <c r="J794" s="133">
        <v>0.419444444444444</v>
      </c>
    </row>
    <row r="795" spans="1:10">
      <c r="A795" s="31">
        <f>VLOOKUP($C795,SKU!$A:$I,3,FALSE)</f>
        <v>10078</v>
      </c>
      <c r="B795" s="31" t="str">
        <f>VLOOKUP($C795,SKU!$A:$I,2,FALSE)</f>
        <v>摩斯社×名侦探柯南-摩斯密码系列评级邮票</v>
      </c>
      <c r="C795" s="29" t="s">
        <v>299</v>
      </c>
      <c r="D795" s="29">
        <v>10</v>
      </c>
      <c r="E795" s="31">
        <f>D795*VLOOKUP(A795,Nhập入库!A:N,8,FALSE)</f>
        <v>10</v>
      </c>
      <c r="G795" s="29" t="s">
        <v>426</v>
      </c>
      <c r="H795" s="29" t="s">
        <v>65</v>
      </c>
      <c r="I795" s="34" t="s">
        <v>506</v>
      </c>
      <c r="J795" s="133">
        <v>0.419444444444444</v>
      </c>
    </row>
    <row r="796" spans="1:10">
      <c r="A796" s="31">
        <f>VLOOKUP($C796,SKU!$A:$I,3,FALSE)</f>
        <v>10063</v>
      </c>
      <c r="B796" s="31" t="str">
        <f>VLOOKUP($C796,SKU!$A:$I,2,FALSE)</f>
        <v>浮梦集 「童境绮梦」艺术家联名收藏卡牌</v>
      </c>
      <c r="C796" s="29" t="s">
        <v>257</v>
      </c>
      <c r="D796" s="29">
        <v>6</v>
      </c>
      <c r="E796" s="31">
        <f>D796*VLOOKUP(A796,Nhập入库!A:N,8,FALSE)</f>
        <v>78</v>
      </c>
      <c r="G796" s="29" t="s">
        <v>422</v>
      </c>
      <c r="H796" s="29" t="s">
        <v>65</v>
      </c>
      <c r="I796" s="34" t="s">
        <v>506</v>
      </c>
      <c r="J796" s="133">
        <v>0.461111111111111</v>
      </c>
    </row>
    <row r="797" spans="1:10">
      <c r="A797" s="31">
        <f>VLOOKUP($C797,SKU!$A:$I,3,FALSE)</f>
        <v>10078</v>
      </c>
      <c r="B797" s="31" t="str">
        <f>VLOOKUP($C797,SKU!$A:$I,2,FALSE)</f>
        <v>摩斯社×名侦探柯南-摩斯密码系列评级邮票</v>
      </c>
      <c r="C797" s="29" t="s">
        <v>299</v>
      </c>
      <c r="D797" s="29">
        <v>10</v>
      </c>
      <c r="E797" s="31">
        <f>D797*VLOOKUP(A797,Nhập入库!A:N,8,FALSE)</f>
        <v>10</v>
      </c>
      <c r="G797" s="29" t="s">
        <v>426</v>
      </c>
      <c r="H797" s="29" t="s">
        <v>65</v>
      </c>
      <c r="I797" s="34" t="s">
        <v>506</v>
      </c>
      <c r="J797" s="133">
        <v>0.488194444444444</v>
      </c>
    </row>
    <row r="798" spans="1:10">
      <c r="A798" s="31">
        <f>VLOOKUP($C798,SKU!$A:$I,3,FALSE)</f>
        <v>10111</v>
      </c>
      <c r="B798" s="31">
        <f>VLOOKUP($C798,SKU!$A:$I,2,FALSE)</f>
        <v>0</v>
      </c>
      <c r="C798" s="29" t="s">
        <v>384</v>
      </c>
      <c r="D798" s="29">
        <v>1</v>
      </c>
      <c r="E798" s="31">
        <f>D798*VLOOKUP(A798,Nhập入库!A:N,8,FALSE)</f>
        <v>20</v>
      </c>
      <c r="G798" s="29" t="s">
        <v>426</v>
      </c>
      <c r="H798" s="29" t="s">
        <v>65</v>
      </c>
      <c r="I798" s="34" t="s">
        <v>506</v>
      </c>
      <c r="J798" s="133">
        <v>0.488194444444444</v>
      </c>
    </row>
    <row r="799" spans="1:10">
      <c r="A799" s="31">
        <f>VLOOKUP($C799,SKU!$A:$I,3,FALSE)</f>
        <v>10111</v>
      </c>
      <c r="B799" s="31">
        <f>VLOOKUP($C799,SKU!$A:$I,2,FALSE)</f>
        <v>0</v>
      </c>
      <c r="C799" s="29" t="s">
        <v>384</v>
      </c>
      <c r="D799" s="29">
        <v>1</v>
      </c>
      <c r="E799" s="31">
        <f>D799*VLOOKUP(A799,Nhập入库!A:N,8,FALSE)</f>
        <v>20</v>
      </c>
      <c r="G799" s="29" t="s">
        <v>432</v>
      </c>
      <c r="H799" s="29" t="s">
        <v>65</v>
      </c>
      <c r="I799" s="34" t="s">
        <v>506</v>
      </c>
      <c r="J799" s="133">
        <v>0.488194444444444</v>
      </c>
    </row>
    <row r="800" spans="1:10">
      <c r="A800" s="31">
        <f>VLOOKUP($C800,SKU!$A:$I,3,FALSE)</f>
        <v>10091</v>
      </c>
      <c r="B800" s="31" t="str">
        <f>VLOOKUP($C800,SKU!$A:$I,2,FALSE)</f>
        <v>星际宝贝百变顽家收藏卡</v>
      </c>
      <c r="C800" s="29" t="s">
        <v>333</v>
      </c>
      <c r="D800" s="29">
        <v>5</v>
      </c>
      <c r="E800" s="31">
        <f>D800*VLOOKUP(A800,Nhập入库!A:N,8,FALSE)</f>
        <v>50</v>
      </c>
      <c r="G800" s="29" t="s">
        <v>422</v>
      </c>
      <c r="H800" s="29" t="s">
        <v>65</v>
      </c>
      <c r="I800" s="34" t="s">
        <v>506</v>
      </c>
      <c r="J800" s="133">
        <v>0.541666666666667</v>
      </c>
    </row>
    <row r="801" spans="1:10">
      <c r="A801" s="31">
        <f>VLOOKUP($C801,SKU!$A:$I,3,FALSE)</f>
        <v>10078</v>
      </c>
      <c r="B801" s="31" t="str">
        <f>VLOOKUP($C801,SKU!$A:$I,2,FALSE)</f>
        <v>摩斯社×名侦探柯南-摩斯密码系列评级邮票</v>
      </c>
      <c r="C801" s="29" t="s">
        <v>299</v>
      </c>
      <c r="D801" s="29">
        <v>10</v>
      </c>
      <c r="E801" s="31">
        <f>D801*VLOOKUP(A801,Nhập入库!A:N,8,FALSE)</f>
        <v>10</v>
      </c>
      <c r="G801" s="29" t="s">
        <v>426</v>
      </c>
      <c r="H801" s="29" t="s">
        <v>65</v>
      </c>
      <c r="I801" s="34" t="s">
        <v>506</v>
      </c>
      <c r="J801" s="133">
        <v>0.597222222222222</v>
      </c>
    </row>
    <row r="802" spans="1:10">
      <c r="A802" s="31">
        <f>VLOOKUP($C802,SKU!$A:$I,3,FALSE)</f>
        <v>10085</v>
      </c>
      <c r="B802" s="31" t="str">
        <f>VLOOKUP($C802,SKU!$A:$I,2,FALSE)</f>
        <v>火影忍者·手绘复刻撕撕乐</v>
      </c>
      <c r="C802" s="29" t="s">
        <v>317</v>
      </c>
      <c r="E802" s="31">
        <f>D802*VLOOKUP(A802,Nhập入库!A:N,8,FALSE)</f>
        <v>0</v>
      </c>
      <c r="F802" s="29">
        <v>20</v>
      </c>
      <c r="G802" s="29" t="s">
        <v>166</v>
      </c>
      <c r="H802" s="29" t="s">
        <v>424</v>
      </c>
      <c r="I802" s="34" t="s">
        <v>506</v>
      </c>
      <c r="J802" s="133">
        <v>0.564583333333333</v>
      </c>
    </row>
    <row r="803" spans="1:10">
      <c r="A803" s="31">
        <f>VLOOKUP($C803,SKU!$A:$I,3,FALSE)</f>
        <v>10103</v>
      </c>
      <c r="B803" s="31" t="str">
        <f>VLOOKUP($C803,SKU!$A:$I,2,FALSE)</f>
        <v>疯狂动物城白金收藏卡狐兔神探</v>
      </c>
      <c r="C803" s="29" t="s">
        <v>367</v>
      </c>
      <c r="D803" s="29">
        <v>5</v>
      </c>
      <c r="E803" s="31">
        <f>D803*VLOOKUP(A803,Nhập入库!A:N,8,FALSE)</f>
        <v>100</v>
      </c>
      <c r="G803" s="29" t="s">
        <v>433</v>
      </c>
      <c r="H803" s="29" t="s">
        <v>431</v>
      </c>
      <c r="I803" s="34" t="s">
        <v>506</v>
      </c>
      <c r="J803" s="133">
        <v>0.902083333333333</v>
      </c>
    </row>
    <row r="804" spans="1:10">
      <c r="A804" s="31">
        <f>VLOOKUP($C804,SKU!$A:$I,3,FALSE)</f>
        <v>10078</v>
      </c>
      <c r="B804" s="31" t="str">
        <f>VLOOKUP($C804,SKU!$A:$I,2,FALSE)</f>
        <v>摩斯社×名侦探柯南-摩斯密码系列评级邮票</v>
      </c>
      <c r="C804" s="29" t="s">
        <v>299</v>
      </c>
      <c r="D804" s="29">
        <v>20</v>
      </c>
      <c r="E804" s="31">
        <f>D804*VLOOKUP(A804,Nhập入库!A:N,8,FALSE)</f>
        <v>20</v>
      </c>
      <c r="G804" s="29" t="s">
        <v>426</v>
      </c>
      <c r="H804" s="29" t="s">
        <v>65</v>
      </c>
      <c r="I804" s="34" t="s">
        <v>507</v>
      </c>
      <c r="J804" s="133">
        <v>0.458333333333333</v>
      </c>
    </row>
    <row r="805" spans="1:10">
      <c r="A805" s="31">
        <f>VLOOKUP($C805,SKU!$A:$I,3,FALSE)</f>
        <v>10012</v>
      </c>
      <c r="B805" s="31" t="str">
        <f>VLOOKUP($C805,SKU!$A:$I,2,FALSE)</f>
        <v>卡文化进击的巨人</v>
      </c>
      <c r="C805" s="29" t="s">
        <v>75</v>
      </c>
      <c r="D805" s="29">
        <v>3</v>
      </c>
      <c r="E805" s="31">
        <f>D805*VLOOKUP(A805,Nhập入库!A:N,8,FALSE)</f>
        <v>90</v>
      </c>
      <c r="G805" s="29" t="s">
        <v>174</v>
      </c>
      <c r="H805" s="29" t="s">
        <v>70</v>
      </c>
      <c r="I805" s="141" t="s">
        <v>507</v>
      </c>
      <c r="J805" s="133">
        <v>0.475694444444444</v>
      </c>
    </row>
    <row r="806" spans="1:10">
      <c r="A806" s="31">
        <f>VLOOKUP($C806,SKU!$A:$I,3,FALSE)</f>
        <v>10095</v>
      </c>
      <c r="B806" s="31" t="str">
        <f>VLOOKUP($C806,SKU!$A:$I,2,FALSE)</f>
        <v>WUPO艺术家手绘系列色纸第一弹</v>
      </c>
      <c r="C806" s="29" t="s">
        <v>344</v>
      </c>
      <c r="D806" s="29">
        <v>5</v>
      </c>
      <c r="E806" s="31">
        <f>D806*VLOOKUP(A806,Nhập入库!A:N,8,FALSE)</f>
        <v>30</v>
      </c>
      <c r="G806" s="29" t="s">
        <v>422</v>
      </c>
      <c r="H806" s="29" t="s">
        <v>65</v>
      </c>
      <c r="I806" s="141" t="s">
        <v>507</v>
      </c>
      <c r="J806" s="133">
        <v>0.493055555555556</v>
      </c>
    </row>
    <row r="807" spans="1:10">
      <c r="A807" s="31">
        <f>VLOOKUP($C807,SKU!$A:$I,3,FALSE)</f>
        <v>10093</v>
      </c>
      <c r="B807" s="31" t="str">
        <f>VLOOKUP($C807,SKU!$A:$I,2,FALSE)</f>
        <v>星绘社新海诚系列卡牌</v>
      </c>
      <c r="C807" s="29" t="s">
        <v>338</v>
      </c>
      <c r="D807" s="29">
        <v>5</v>
      </c>
      <c r="E807" s="31">
        <f>D807*VLOOKUP(A807,Nhập入库!A:N,8,FALSE)</f>
        <v>65</v>
      </c>
      <c r="G807" s="29" t="s">
        <v>432</v>
      </c>
      <c r="H807" s="29" t="s">
        <v>65</v>
      </c>
      <c r="I807" s="141" t="s">
        <v>507</v>
      </c>
      <c r="J807" s="133">
        <v>0.493055555555556</v>
      </c>
    </row>
    <row r="808" spans="1:10">
      <c r="A808" s="31">
        <f>VLOOKUP($C808,SKU!$A:$I,3,FALSE)</f>
        <v>10095</v>
      </c>
      <c r="B808" s="31" t="str">
        <f>VLOOKUP($C808,SKU!$A:$I,2,FALSE)</f>
        <v>WUPO艺术家手绘系列色纸第一弹</v>
      </c>
      <c r="C808" s="29" t="s">
        <v>344</v>
      </c>
      <c r="D808" s="29">
        <v>15</v>
      </c>
      <c r="E808" s="31">
        <f>D808*VLOOKUP(A808,Nhập入库!A:N,8,FALSE)</f>
        <v>90</v>
      </c>
      <c r="G808" s="29" t="s">
        <v>422</v>
      </c>
      <c r="H808" s="29" t="s">
        <v>65</v>
      </c>
      <c r="I808" s="141" t="s">
        <v>507</v>
      </c>
      <c r="J808" s="133">
        <v>0.563194444444444</v>
      </c>
    </row>
    <row r="809" spans="1:10">
      <c r="A809" s="31">
        <f>VLOOKUP($C809,SKU!$A:$I,3,FALSE)</f>
        <v>10086</v>
      </c>
      <c r="B809" s="31" t="str">
        <f>VLOOKUP($C809,SKU!$A:$I,2,FALSE)</f>
        <v>【潮迷文创】名侦探柯南-危险排队-周边创意艺术色纸</v>
      </c>
      <c r="C809" s="29" t="s">
        <v>319</v>
      </c>
      <c r="E809" s="31">
        <f>D809*VLOOKUP(A809,Nhập入库!A:N,8,FALSE)</f>
        <v>0</v>
      </c>
      <c r="F809" s="29">
        <v>90</v>
      </c>
      <c r="G809" s="29" t="s">
        <v>33</v>
      </c>
      <c r="H809" s="29" t="s">
        <v>424</v>
      </c>
      <c r="I809" s="141" t="s">
        <v>507</v>
      </c>
      <c r="J809" s="133">
        <v>0.619444444444444</v>
      </c>
    </row>
    <row r="810" spans="1:10">
      <c r="A810" s="31">
        <f>VLOOKUP($C810,SKU!$A:$I,3,FALSE)</f>
        <v>10039</v>
      </c>
      <c r="B810" s="31" t="str">
        <f>VLOOKUP($C810,SKU!$A:$I,2,FALSE)</f>
        <v>非凡航海王第五弹</v>
      </c>
      <c r="C810" s="29" t="s">
        <v>184</v>
      </c>
      <c r="D810" s="29">
        <v>5</v>
      </c>
      <c r="E810" s="31">
        <f>D810*VLOOKUP(A810,Nhập入库!A:N,8,FALSE)</f>
        <v>100</v>
      </c>
      <c r="G810" s="29" t="s">
        <v>130</v>
      </c>
      <c r="H810" s="29" t="s">
        <v>424</v>
      </c>
      <c r="I810" s="141" t="s">
        <v>507</v>
      </c>
      <c r="J810" s="133">
        <v>0.619444444444444</v>
      </c>
    </row>
    <row r="811" spans="1:10">
      <c r="A811" s="31">
        <f>VLOOKUP($C811,SKU!$A:$I,3,FALSE)</f>
        <v>10085</v>
      </c>
      <c r="B811" s="31" t="str">
        <f>VLOOKUP($C811,SKU!$A:$I,2,FALSE)</f>
        <v>火影忍者·手绘复刻撕撕乐</v>
      </c>
      <c r="C811" s="29" t="s">
        <v>317</v>
      </c>
      <c r="E811" s="31">
        <f>D811*VLOOKUP(A811,Nhập入库!A:N,8,FALSE)</f>
        <v>0</v>
      </c>
      <c r="F811" s="29">
        <v>20</v>
      </c>
      <c r="G811" s="29" t="s">
        <v>33</v>
      </c>
      <c r="H811" s="29" t="s">
        <v>424</v>
      </c>
      <c r="I811" s="141" t="s">
        <v>507</v>
      </c>
      <c r="J811" s="133">
        <v>0.375</v>
      </c>
    </row>
    <row r="812" spans="1:10">
      <c r="A812" s="31">
        <f>VLOOKUP($C812,SKU!$A:$I,3,FALSE)</f>
        <v>10100</v>
      </c>
      <c r="B812" s="31" t="str">
        <f>VLOOKUP($C812,SKU!$A:$I,2,FALSE)</f>
        <v>《意卡文创海贼王》第二弹</v>
      </c>
      <c r="C812" s="29" t="s">
        <v>358</v>
      </c>
      <c r="D812" s="29">
        <v>5</v>
      </c>
      <c r="E812" s="31">
        <f>D812*VLOOKUP(A812,Nhập入库!A:N,8,FALSE)</f>
        <v>65</v>
      </c>
      <c r="G812" s="29" t="s">
        <v>430</v>
      </c>
      <c r="H812" s="29" t="s">
        <v>431</v>
      </c>
      <c r="I812" s="34" t="s">
        <v>507</v>
      </c>
      <c r="J812" s="133">
        <v>0.847916666666667</v>
      </c>
    </row>
    <row r="813" spans="1:10">
      <c r="A813" s="31">
        <f>VLOOKUP($C813,SKU!$A:$I,3,FALSE)</f>
        <v>10107</v>
      </c>
      <c r="B813" s="31" t="str">
        <f>VLOOKUP($C813,SKU!$A:$I,2,FALSE)</f>
        <v>Hi卡柯南第四弹《一切都会大白于天下》</v>
      </c>
      <c r="C813" s="29" t="s">
        <v>377</v>
      </c>
      <c r="D813" s="29">
        <v>5</v>
      </c>
      <c r="E813" s="31">
        <f>D813*VLOOKUP(A813,Nhập入库!A:N,8,FALSE)</f>
        <v>75</v>
      </c>
      <c r="G813" s="29" t="s">
        <v>78</v>
      </c>
      <c r="H813" s="29" t="s">
        <v>428</v>
      </c>
      <c r="I813" s="34" t="s">
        <v>507</v>
      </c>
      <c r="J813" s="133">
        <v>0.80625</v>
      </c>
    </row>
    <row r="814" spans="1:10">
      <c r="A814" s="31">
        <f>VLOOKUP($C814,SKU!$A:$I,3,FALSE)</f>
        <v>10078</v>
      </c>
      <c r="B814" s="31" t="str">
        <f>VLOOKUP($C814,SKU!$A:$I,2,FALSE)</f>
        <v>摩斯社×名侦探柯南-摩斯密码系列评级邮票</v>
      </c>
      <c r="C814" s="29" t="s">
        <v>299</v>
      </c>
      <c r="D814" s="29">
        <v>10</v>
      </c>
      <c r="E814" s="31">
        <f>D814*VLOOKUP(A814,Nhập入库!A:N,8,FALSE)</f>
        <v>10</v>
      </c>
      <c r="G814" s="29" t="s">
        <v>429</v>
      </c>
      <c r="H814" s="29" t="s">
        <v>428</v>
      </c>
      <c r="I814" s="34" t="s">
        <v>507</v>
      </c>
      <c r="J814" s="133">
        <v>0.889583333333333</v>
      </c>
    </row>
    <row r="815" spans="1:10">
      <c r="A815" s="31">
        <f>VLOOKUP($C815,SKU!$A:$I,3,FALSE)</f>
        <v>10100</v>
      </c>
      <c r="B815" s="31" t="str">
        <f>VLOOKUP($C815,SKU!$A:$I,2,FALSE)</f>
        <v>《意卡文创海贼王》第二弹</v>
      </c>
      <c r="C815" s="29" t="s">
        <v>358</v>
      </c>
      <c r="D815" s="29">
        <v>5</v>
      </c>
      <c r="E815" s="31">
        <f>D815*VLOOKUP(A815,Nhập入库!A:N,8,FALSE)</f>
        <v>65</v>
      </c>
      <c r="G815" s="29" t="s">
        <v>90</v>
      </c>
      <c r="H815" s="29" t="s">
        <v>59</v>
      </c>
      <c r="I815" s="34" t="s">
        <v>508</v>
      </c>
      <c r="J815" s="133">
        <v>0.161805555555556</v>
      </c>
    </row>
    <row r="816" spans="1:10">
      <c r="A816" s="31">
        <f>VLOOKUP($C816,SKU!$A:$I,3,FALSE)</f>
        <v>10039</v>
      </c>
      <c r="B816" s="31" t="str">
        <f>VLOOKUP($C816,SKU!$A:$I,2,FALSE)</f>
        <v>非凡航海王第五弹</v>
      </c>
      <c r="C816" s="29" t="s">
        <v>184</v>
      </c>
      <c r="D816" s="29">
        <v>3</v>
      </c>
      <c r="E816" s="31">
        <f>D816*VLOOKUP(A816,Nhập入库!A:N,8,FALSE)</f>
        <v>60</v>
      </c>
      <c r="G816" s="29" t="s">
        <v>170</v>
      </c>
      <c r="H816" s="29" t="s">
        <v>70</v>
      </c>
      <c r="I816" s="34" t="s">
        <v>508</v>
      </c>
      <c r="J816" s="133">
        <v>0.440277777777778</v>
      </c>
    </row>
    <row r="817" spans="1:10">
      <c r="A817" s="31">
        <f>VLOOKUP($C817,SKU!$A:$I,3,FALSE)</f>
        <v>10039</v>
      </c>
      <c r="B817" s="31" t="str">
        <f>VLOOKUP($C817,SKU!$A:$I,2,FALSE)</f>
        <v>非凡航海王第五弹</v>
      </c>
      <c r="C817" s="29" t="s">
        <v>184</v>
      </c>
      <c r="D817" s="29">
        <v>5</v>
      </c>
      <c r="E817" s="31">
        <f>D817*VLOOKUP(A817,Nhập入库!A:N,8,FALSE)</f>
        <v>100</v>
      </c>
      <c r="G817" s="29" t="s">
        <v>110</v>
      </c>
      <c r="H817" s="29" t="s">
        <v>408</v>
      </c>
      <c r="I817" s="141" t="s">
        <v>506</v>
      </c>
    </row>
    <row r="818" spans="1:10">
      <c r="A818" s="31">
        <f>VLOOKUP($C818,SKU!$A:$I,3,FALSE)</f>
        <v>10088</v>
      </c>
      <c r="B818" s="31" t="str">
        <f>VLOOKUP($C818,SKU!$A:$I,2,FALSE)</f>
        <v>名侦探柯南-名推理收藏卡-觅影包-第3弹</v>
      </c>
      <c r="C818" s="29" t="s">
        <v>325</v>
      </c>
      <c r="D818" s="29">
        <v>12</v>
      </c>
      <c r="E818" s="31">
        <f>D818*VLOOKUP(A818,Nhập入库!A:N,8,FALSE)</f>
        <v>360</v>
      </c>
      <c r="G818" s="29" t="s">
        <v>110</v>
      </c>
      <c r="H818" s="29" t="s">
        <v>408</v>
      </c>
      <c r="I818" s="141" t="s">
        <v>506</v>
      </c>
    </row>
    <row r="819" spans="1:10">
      <c r="A819" s="31">
        <f>VLOOKUP($C819,SKU!$A:$I,3,FALSE)</f>
        <v>10072</v>
      </c>
      <c r="B819" s="31" t="str">
        <f>VLOOKUP($C819,SKU!$A:$I,2,FALSE)</f>
        <v>伴飞小鸟</v>
      </c>
      <c r="C819" s="29" t="s">
        <v>282</v>
      </c>
      <c r="D819" s="29">
        <v>2</v>
      </c>
      <c r="E819" s="31">
        <f>D819*VLOOKUP(A819,Nhập入库!A:N,8,FALSE)</f>
        <v>2</v>
      </c>
      <c r="G819" s="29" t="s">
        <v>183</v>
      </c>
      <c r="H819" s="29" t="s">
        <v>408</v>
      </c>
      <c r="I819" s="141" t="s">
        <v>506</v>
      </c>
    </row>
    <row r="820" spans="1:10">
      <c r="A820" s="31">
        <f>VLOOKUP($C820,SKU!$A:$I,3,FALSE)</f>
        <v>10107</v>
      </c>
      <c r="B820" s="31" t="str">
        <f>VLOOKUP($C820,SKU!$A:$I,2,FALSE)</f>
        <v>Hi卡柯南第四弹《一切都会大白于天下》</v>
      </c>
      <c r="C820" s="29" t="s">
        <v>377</v>
      </c>
      <c r="D820" s="29">
        <v>5</v>
      </c>
      <c r="E820" s="31">
        <f>D820*VLOOKUP(A820,Nhập入库!A:N,8,FALSE)</f>
        <v>75</v>
      </c>
      <c r="G820" s="29" t="s">
        <v>33</v>
      </c>
      <c r="H820" s="29" t="s">
        <v>424</v>
      </c>
      <c r="I820" s="141" t="s">
        <v>508</v>
      </c>
      <c r="J820" s="133">
        <v>0.433333333333333</v>
      </c>
    </row>
    <row r="821" spans="1:10">
      <c r="A821" s="31">
        <f>VLOOKUP($C821,SKU!$A:$I,3,FALSE)</f>
        <v>10100</v>
      </c>
      <c r="B821" s="31" t="str">
        <f>VLOOKUP($C821,SKU!$A:$I,2,FALSE)</f>
        <v>《意卡文创海贼王》第二弹</v>
      </c>
      <c r="C821" s="29" t="s">
        <v>358</v>
      </c>
      <c r="D821" s="29">
        <v>2</v>
      </c>
      <c r="E821" s="31">
        <f>D821*VLOOKUP(A821,Nhập入库!A:N,8,FALSE)</f>
        <v>26</v>
      </c>
      <c r="G821" s="29" t="s">
        <v>130</v>
      </c>
      <c r="H821" s="29" t="s">
        <v>424</v>
      </c>
      <c r="I821" s="141" t="s">
        <v>508</v>
      </c>
      <c r="J821" s="133">
        <v>0.433333333333333</v>
      </c>
    </row>
    <row r="822" spans="1:10">
      <c r="A822" s="31">
        <f>VLOOKUP($C822,SKU!$A:$I,3,FALSE)</f>
        <v>10100</v>
      </c>
      <c r="B822" s="31" t="str">
        <f>VLOOKUP($C822,SKU!$A:$I,2,FALSE)</f>
        <v>《意卡文创海贼王》第二弹</v>
      </c>
      <c r="C822" s="29" t="s">
        <v>358</v>
      </c>
      <c r="D822" s="29">
        <v>5</v>
      </c>
      <c r="E822" s="31">
        <f>D822*VLOOKUP(A822,Nhập入库!A:N,8,FALSE)</f>
        <v>65</v>
      </c>
      <c r="G822" s="29" t="s">
        <v>33</v>
      </c>
      <c r="H822" s="29" t="s">
        <v>424</v>
      </c>
      <c r="I822" s="141" t="s">
        <v>508</v>
      </c>
      <c r="J822" s="133">
        <v>0.507638888888889</v>
      </c>
    </row>
    <row r="823" spans="1:10">
      <c r="A823" s="31">
        <f>VLOOKUP($C823,SKU!$A:$I,3,FALSE)</f>
        <v>10096</v>
      </c>
      <c r="B823" s="31" t="str">
        <f>VLOOKUP($C823,SKU!$A:$I,2,FALSE)</f>
        <v>至臻文创美少女战士</v>
      </c>
      <c r="C823" s="29" t="s">
        <v>347</v>
      </c>
      <c r="D823" s="29">
        <v>5</v>
      </c>
      <c r="E823" s="31">
        <f>D823*VLOOKUP(A823,Nhập入库!A:N,8,FALSE)</f>
        <v>70</v>
      </c>
      <c r="G823" s="29" t="s">
        <v>130</v>
      </c>
      <c r="H823" s="29" t="s">
        <v>424</v>
      </c>
      <c r="I823" s="141" t="s">
        <v>508</v>
      </c>
      <c r="J823" s="133">
        <v>0.555555555555556</v>
      </c>
    </row>
    <row r="824" spans="1:10">
      <c r="A824" s="31">
        <f>VLOOKUP($C824,SKU!$A:$I,3,FALSE)</f>
        <v>10069</v>
      </c>
      <c r="B824" s="31" t="str">
        <f>VLOOKUP($C824,SKU!$A:$I,2,FALSE)</f>
        <v>【艺画文创】鸣潮撕撕乐</v>
      </c>
      <c r="C824" s="29" t="s">
        <v>274</v>
      </c>
      <c r="D824" s="29">
        <v>30</v>
      </c>
      <c r="E824" s="31">
        <f>D824*VLOOKUP(A824,Nhập入库!A:N,8,FALSE)</f>
        <v>30</v>
      </c>
      <c r="G824" s="29" t="s">
        <v>78</v>
      </c>
      <c r="H824" s="29" t="s">
        <v>428</v>
      </c>
      <c r="I824" s="141" t="s">
        <v>508</v>
      </c>
      <c r="J824" s="133">
        <v>0.763888888888889</v>
      </c>
    </row>
    <row r="825" spans="1:10">
      <c r="A825" s="31">
        <f>VLOOKUP($C825,SKU!$A:$I,3,FALSE)</f>
        <v>10107</v>
      </c>
      <c r="B825" s="31" t="str">
        <f>VLOOKUP($C825,SKU!$A:$I,2,FALSE)</f>
        <v>Hi卡柯南第四弹《一切都会大白于天下》</v>
      </c>
      <c r="C825" s="29" t="s">
        <v>377</v>
      </c>
      <c r="D825" s="29">
        <v>10</v>
      </c>
      <c r="E825" s="31">
        <f>D825*VLOOKUP(A825,Nhập入库!A:N,8,FALSE)</f>
        <v>150</v>
      </c>
      <c r="G825" s="29" t="s">
        <v>146</v>
      </c>
      <c r="H825" s="29" t="s">
        <v>428</v>
      </c>
      <c r="I825" s="141" t="s">
        <v>508</v>
      </c>
      <c r="J825" s="133">
        <v>0.805555555555556</v>
      </c>
    </row>
    <row r="826" spans="1:10">
      <c r="A826" s="31">
        <f>VLOOKUP($C826,SKU!$A:$I,3,FALSE)</f>
        <v>10103</v>
      </c>
      <c r="B826" s="31" t="str">
        <f>VLOOKUP($C826,SKU!$A:$I,2,FALSE)</f>
        <v>疯狂动物城白金收藏卡狐兔神探</v>
      </c>
      <c r="C826" s="29" t="s">
        <v>367</v>
      </c>
      <c r="D826" s="29">
        <v>10</v>
      </c>
      <c r="E826" s="31">
        <f>D826*VLOOKUP(A826,Nhập入库!A:N,8,FALSE)</f>
        <v>200</v>
      </c>
      <c r="G826" s="29" t="s">
        <v>433</v>
      </c>
      <c r="H826" s="29" t="s">
        <v>431</v>
      </c>
      <c r="I826" s="141" t="s">
        <v>508</v>
      </c>
      <c r="J826" s="133">
        <v>0.813194444444444</v>
      </c>
    </row>
    <row r="827" spans="1:10">
      <c r="A827" s="31">
        <f>VLOOKUP($C827,SKU!$A:$I,3,FALSE)</f>
        <v>10100</v>
      </c>
      <c r="B827" s="31" t="str">
        <f>VLOOKUP($C827,SKU!$A:$I,2,FALSE)</f>
        <v>《意卡文创海贼王》第二弹</v>
      </c>
      <c r="C827" s="29" t="s">
        <v>358</v>
      </c>
      <c r="D827" s="29">
        <v>5</v>
      </c>
      <c r="E827" s="31">
        <f>D827*VLOOKUP(A827,Nhập入库!A:N,8,FALSE)</f>
        <v>65</v>
      </c>
      <c r="G827" s="29" t="s">
        <v>90</v>
      </c>
      <c r="H827" s="29" t="s">
        <v>59</v>
      </c>
      <c r="I827" s="34" t="s">
        <v>509</v>
      </c>
      <c r="J827" s="133">
        <v>0.161805555555556</v>
      </c>
    </row>
    <row r="828" spans="1:10">
      <c r="A828" s="31">
        <f>VLOOKUP($C828,SKU!$A:$I,3,FALSE)</f>
        <v>10103</v>
      </c>
      <c r="B828" s="31" t="str">
        <f>VLOOKUP($C828,SKU!$A:$I,2,FALSE)</f>
        <v>疯狂动物城白金收藏卡狐兔神探</v>
      </c>
      <c r="C828" s="29" t="s">
        <v>367</v>
      </c>
      <c r="D828" s="29">
        <v>48</v>
      </c>
      <c r="E828" s="31">
        <f>D828*VLOOKUP(A828,Nhập入库!A:N,8,FALSE)</f>
        <v>960</v>
      </c>
      <c r="G828" s="29" t="s">
        <v>422</v>
      </c>
      <c r="H828" s="29" t="s">
        <v>65</v>
      </c>
      <c r="I828" s="34" t="s">
        <v>509</v>
      </c>
      <c r="J828" s="133">
        <v>0.375</v>
      </c>
    </row>
    <row r="829" spans="1:10">
      <c r="A829" s="31">
        <f>VLOOKUP($C829,SKU!$A:$I,3,FALSE)</f>
        <v>10012</v>
      </c>
      <c r="B829" s="31" t="str">
        <f>VLOOKUP($C829,SKU!$A:$I,2,FALSE)</f>
        <v>卡文化进击的巨人</v>
      </c>
      <c r="C829" s="29" t="s">
        <v>75</v>
      </c>
      <c r="D829" s="29">
        <v>5</v>
      </c>
      <c r="E829" s="31">
        <f>D829*VLOOKUP(A829,Nhập入库!A:N,8,FALSE)</f>
        <v>150</v>
      </c>
      <c r="G829" s="29" t="s">
        <v>98</v>
      </c>
      <c r="H829" s="29" t="s">
        <v>424</v>
      </c>
      <c r="I829" s="141" t="s">
        <v>509</v>
      </c>
      <c r="J829" s="133">
        <v>0.538194444444444</v>
      </c>
    </row>
    <row r="830" spans="1:10">
      <c r="A830" s="31">
        <f>VLOOKUP($C830,SKU!$A:$I,3,FALSE)</f>
        <v>10103</v>
      </c>
      <c r="B830" s="31" t="str">
        <f>VLOOKUP($C830,SKU!$A:$I,2,FALSE)</f>
        <v>疯狂动物城白金收藏卡狐兔神探</v>
      </c>
      <c r="C830" s="29" t="s">
        <v>367</v>
      </c>
      <c r="D830" s="29">
        <v>5</v>
      </c>
      <c r="E830" s="31">
        <f>D830*VLOOKUP(A830,Nhập入库!A:N,8,FALSE)</f>
        <v>100</v>
      </c>
      <c r="G830" s="29" t="s">
        <v>146</v>
      </c>
      <c r="H830" s="29" t="s">
        <v>428</v>
      </c>
      <c r="I830" s="141" t="s">
        <v>509</v>
      </c>
      <c r="J830" s="133">
        <v>0.746527777777778</v>
      </c>
    </row>
    <row r="831" spans="1:10">
      <c r="A831" s="31">
        <f>VLOOKUP($C831,SKU!$A:$I,3,FALSE)</f>
        <v>10102</v>
      </c>
      <c r="B831" s="31" t="str">
        <f>VLOOKUP($C831,SKU!$A:$I,2,FALSE)</f>
        <v>麒麟文创航海王第一弹-仙道天下</v>
      </c>
      <c r="C831" s="29" t="s">
        <v>364</v>
      </c>
      <c r="D831" s="29">
        <v>5</v>
      </c>
      <c r="E831" s="31">
        <f>D831*VLOOKUP(A831,Nhập入库!A:N,8,FALSE)</f>
        <v>65</v>
      </c>
      <c r="G831" s="29" t="s">
        <v>430</v>
      </c>
      <c r="H831" s="29" t="s">
        <v>431</v>
      </c>
      <c r="I831" s="141" t="s">
        <v>509</v>
      </c>
      <c r="J831" s="133">
        <v>0.791666666666667</v>
      </c>
    </row>
    <row r="832" spans="1:10">
      <c r="A832" s="31">
        <f>VLOOKUP($C832,SKU!$A:$I,3,FALSE)</f>
        <v>10103</v>
      </c>
      <c r="B832" s="31" t="str">
        <f>VLOOKUP($C832,SKU!$A:$I,2,FALSE)</f>
        <v>疯狂动物城白金收藏卡狐兔神探</v>
      </c>
      <c r="C832" s="29" t="s">
        <v>367</v>
      </c>
      <c r="D832" s="29">
        <v>10</v>
      </c>
      <c r="E832" s="31">
        <f>D832*VLOOKUP(A832,Nhập入库!A:N,8,FALSE)</f>
        <v>200</v>
      </c>
      <c r="G832" s="29" t="s">
        <v>146</v>
      </c>
      <c r="H832" s="29" t="s">
        <v>428</v>
      </c>
      <c r="I832" s="141" t="s">
        <v>509</v>
      </c>
      <c r="J832" s="133">
        <v>0.829861111111111</v>
      </c>
    </row>
    <row r="833" spans="1:10">
      <c r="A833" s="31">
        <f>VLOOKUP($C833,SKU!$A:$I,3,FALSE)</f>
        <v>10102</v>
      </c>
      <c r="B833" s="31" t="str">
        <f>VLOOKUP($C833,SKU!$A:$I,2,FALSE)</f>
        <v>麒麟文创航海王第一弹-仙道天下</v>
      </c>
      <c r="C833" s="29" t="s">
        <v>364</v>
      </c>
      <c r="D833" s="29">
        <v>5</v>
      </c>
      <c r="E833" s="31">
        <f>D833*VLOOKUP(A833,Nhập入库!A:N,8,FALSE)</f>
        <v>65</v>
      </c>
      <c r="G833" s="29" t="s">
        <v>90</v>
      </c>
      <c r="H833" s="29" t="s">
        <v>59</v>
      </c>
      <c r="I833" s="141" t="s">
        <v>510</v>
      </c>
      <c r="J833" s="133">
        <v>0.0555555555555556</v>
      </c>
    </row>
    <row r="834" spans="1:10">
      <c r="A834" s="31">
        <f>VLOOKUP($C834,SKU!$A:$I,3,FALSE)</f>
        <v>10069</v>
      </c>
      <c r="B834" s="31" t="str">
        <f>VLOOKUP($C834,SKU!$A:$I,2,FALSE)</f>
        <v>【艺画文创】鸣潮撕撕乐</v>
      </c>
      <c r="C834" s="29" t="s">
        <v>274</v>
      </c>
      <c r="D834" s="29">
        <v>30</v>
      </c>
      <c r="E834" s="31">
        <f>D834*VLOOKUP(A834,Nhập入库!A:N,8,FALSE)</f>
        <v>30</v>
      </c>
      <c r="G834" s="29" t="s">
        <v>426</v>
      </c>
      <c r="H834" s="29" t="s">
        <v>65</v>
      </c>
      <c r="I834" s="141" t="s">
        <v>511</v>
      </c>
      <c r="J834" s="133">
        <v>0.402083333333333</v>
      </c>
    </row>
    <row r="835" spans="1:10">
      <c r="A835" s="31">
        <f>VLOOKUP($C835,SKU!$A:$I,3,FALSE)</f>
        <v>10101</v>
      </c>
      <c r="B835" s="31" t="str">
        <f>VLOOKUP($C835,SKU!$A:$I,2,FALSE)</f>
        <v>卡迷家xROROJUMP肉肉酱正版授权第一弹《肉肉酱-百变系列-典藏卡》</v>
      </c>
      <c r="C835" s="29" t="s">
        <v>361</v>
      </c>
      <c r="D835" s="29">
        <v>36</v>
      </c>
      <c r="E835" s="31">
        <f>D835*VLOOKUP(A835,Nhập入库!A:N,8,FALSE)</f>
        <v>432</v>
      </c>
      <c r="G835" s="29" t="s">
        <v>422</v>
      </c>
      <c r="H835" s="29" t="s">
        <v>65</v>
      </c>
      <c r="I835" s="141" t="s">
        <v>511</v>
      </c>
      <c r="J835" s="133">
        <v>0.416666666666667</v>
      </c>
    </row>
    <row r="836" spans="1:10">
      <c r="A836" s="31">
        <f>VLOOKUP($C836,SKU!$A:$I,3,FALSE)</f>
        <v>10102</v>
      </c>
      <c r="B836" s="31" t="str">
        <f>VLOOKUP($C836,SKU!$A:$I,2,FALSE)</f>
        <v>麒麟文创航海王第一弹-仙道天下</v>
      </c>
      <c r="C836" s="29" t="s">
        <v>364</v>
      </c>
      <c r="D836" s="29">
        <v>5</v>
      </c>
      <c r="E836" s="31">
        <f>D836*VLOOKUP(A836,Nhập入库!A:N,8,FALSE)</f>
        <v>65</v>
      </c>
      <c r="G836" s="29" t="s">
        <v>426</v>
      </c>
      <c r="H836" s="29" t="s">
        <v>65</v>
      </c>
      <c r="I836" s="141" t="s">
        <v>511</v>
      </c>
      <c r="J836" s="133">
        <v>0.416666666666667</v>
      </c>
    </row>
    <row r="837" spans="1:10">
      <c r="A837" s="31">
        <f>VLOOKUP($C837,SKU!$A:$I,3,FALSE)</f>
        <v>10103</v>
      </c>
      <c r="B837" s="31" t="str">
        <f>VLOOKUP($C837,SKU!$A:$I,2,FALSE)</f>
        <v>疯狂动物城白金收藏卡狐兔神探</v>
      </c>
      <c r="C837" s="29" t="s">
        <v>367</v>
      </c>
      <c r="D837" s="29">
        <v>1</v>
      </c>
      <c r="E837" s="31">
        <f>D837*VLOOKUP(A837,Nhập入库!A:N,8,FALSE)</f>
        <v>20</v>
      </c>
      <c r="G837" s="29" t="s">
        <v>162</v>
      </c>
      <c r="H837" s="29" t="s">
        <v>65</v>
      </c>
      <c r="I837" s="141" t="s">
        <v>511</v>
      </c>
      <c r="J837" s="133">
        <v>0.416666666666667</v>
      </c>
    </row>
    <row r="838" spans="1:10">
      <c r="A838" s="31">
        <f>VLOOKUP($C838,SKU!$A:$I,3,FALSE)</f>
        <v>10106</v>
      </c>
      <c r="B838" s="31" t="str">
        <f>VLOOKUP($C838,SKU!$A:$I,2,FALSE)</f>
        <v>云映文化时光绘卷·宫崎骏珍藏卡牌</v>
      </c>
      <c r="C838" s="29" t="s">
        <v>374</v>
      </c>
      <c r="D838" s="29">
        <v>5</v>
      </c>
      <c r="E838" s="31">
        <f>D838*VLOOKUP(A838,Nhập入库!A:N,8,FALSE)</f>
        <v>65</v>
      </c>
      <c r="G838" s="29" t="s">
        <v>432</v>
      </c>
      <c r="H838" s="29" t="s">
        <v>65</v>
      </c>
      <c r="I838" s="141" t="s">
        <v>511</v>
      </c>
      <c r="J838" s="133">
        <v>0.416666666666667</v>
      </c>
    </row>
    <row r="839" spans="1:10">
      <c r="A839" s="31">
        <f>VLOOKUP($C839,SKU!$A:$I,3,FALSE)</f>
        <v>10106</v>
      </c>
      <c r="B839" s="31" t="str">
        <f>VLOOKUP($C839,SKU!$A:$I,2,FALSE)</f>
        <v>云映文化时光绘卷·宫崎骏珍藏卡牌</v>
      </c>
      <c r="C839" s="29" t="s">
        <v>374</v>
      </c>
      <c r="D839" s="29">
        <v>5</v>
      </c>
      <c r="E839" s="31">
        <f>D839*VLOOKUP(A839,Nhập入库!A:N,8,FALSE)</f>
        <v>65</v>
      </c>
      <c r="G839" s="29" t="s">
        <v>432</v>
      </c>
      <c r="H839" s="29" t="s">
        <v>65</v>
      </c>
      <c r="I839" s="141" t="s">
        <v>511</v>
      </c>
      <c r="J839" s="133">
        <v>0.416666666666667</v>
      </c>
    </row>
    <row r="840" spans="1:10">
      <c r="A840" s="31">
        <f>VLOOKUP($C840,SKU!$A:$I,3,FALSE)</f>
        <v>10106</v>
      </c>
      <c r="B840" s="31" t="str">
        <f>VLOOKUP($C840,SKU!$A:$I,2,FALSE)</f>
        <v>云映文化时光绘卷·宫崎骏珍藏卡牌</v>
      </c>
      <c r="C840" s="29" t="s">
        <v>374</v>
      </c>
      <c r="D840" s="29">
        <v>5</v>
      </c>
      <c r="E840" s="31">
        <f>D840*VLOOKUP(A840,Nhập入库!A:N,8,FALSE)</f>
        <v>65</v>
      </c>
      <c r="G840" s="29" t="s">
        <v>432</v>
      </c>
      <c r="H840" s="29" t="s">
        <v>65</v>
      </c>
      <c r="I840" s="141" t="s">
        <v>511</v>
      </c>
      <c r="J840" s="133">
        <v>0.416666666666667</v>
      </c>
    </row>
    <row r="841" spans="1:10">
      <c r="A841" s="31">
        <f>VLOOKUP($C841,SKU!$A:$I,3,FALSE)</f>
        <v>10039</v>
      </c>
      <c r="B841" s="31" t="str">
        <f>VLOOKUP($C841,SKU!$A:$I,2,FALSE)</f>
        <v>非凡航海王第五弹</v>
      </c>
      <c r="C841" s="29" t="s">
        <v>184</v>
      </c>
      <c r="D841" s="29">
        <v>5</v>
      </c>
      <c r="E841" s="31">
        <f>D841*VLOOKUP(A841,Nhập入库!A:N,8,FALSE)</f>
        <v>100</v>
      </c>
      <c r="G841" s="29" t="s">
        <v>162</v>
      </c>
      <c r="H841" s="29" t="s">
        <v>65</v>
      </c>
      <c r="I841" s="141" t="s">
        <v>511</v>
      </c>
      <c r="J841" s="133">
        <v>0.583333333333333</v>
      </c>
    </row>
    <row r="842" spans="1:10">
      <c r="A842" s="31">
        <f>VLOOKUP($C842,SKU!$A:$I,3,FALSE)</f>
        <v>10099</v>
      </c>
      <c r="B842" s="31" t="str">
        <f>VLOOKUP($C842,SKU!$A:$I,2,FALSE)</f>
        <v>青彦美少女战士 · 第 1 弹</v>
      </c>
      <c r="C842" s="29" t="s">
        <v>355</v>
      </c>
      <c r="D842" s="29">
        <v>5</v>
      </c>
      <c r="E842" s="31">
        <f>D842*VLOOKUP(A842,Nhập入库!A:N,8,FALSE)</f>
        <v>65</v>
      </c>
      <c r="G842" s="29" t="s">
        <v>130</v>
      </c>
      <c r="H842" s="29" t="s">
        <v>424</v>
      </c>
      <c r="I842" s="141" t="s">
        <v>511</v>
      </c>
      <c r="J842" s="133">
        <v>0.402777777777778</v>
      </c>
    </row>
    <row r="843" spans="1:10">
      <c r="A843" s="31">
        <f>VLOOKUP($C843,SKU!$A:$I,3,FALSE)</f>
        <v>10102</v>
      </c>
      <c r="B843" s="31" t="str">
        <f>VLOOKUP($C843,SKU!$A:$I,2,FALSE)</f>
        <v>麒麟文创航海王第一弹-仙道天下</v>
      </c>
      <c r="C843" s="29" t="s">
        <v>364</v>
      </c>
      <c r="D843" s="29">
        <v>5</v>
      </c>
      <c r="E843" s="31">
        <f>D843*VLOOKUP(A843,Nhập入库!A:N,8,FALSE)</f>
        <v>65</v>
      </c>
      <c r="G843" s="29" t="s">
        <v>98</v>
      </c>
      <c r="H843" s="29" t="s">
        <v>424</v>
      </c>
      <c r="I843" s="141" t="s">
        <v>511</v>
      </c>
      <c r="J843" s="133">
        <v>0.402777777777778</v>
      </c>
    </row>
    <row r="844" spans="1:10">
      <c r="A844" s="31">
        <f>VLOOKUP($C844,SKU!$A:$I,3,FALSE)</f>
        <v>10103</v>
      </c>
      <c r="B844" s="31" t="str">
        <f>VLOOKUP($C844,SKU!$A:$I,2,FALSE)</f>
        <v>疯狂动物城白金收藏卡狐兔神探</v>
      </c>
      <c r="C844" s="29" t="s">
        <v>367</v>
      </c>
      <c r="D844" s="29">
        <v>6</v>
      </c>
      <c r="E844" s="31">
        <f>D844*VLOOKUP(A844,Nhập入库!A:N,8,FALSE)</f>
        <v>120</v>
      </c>
      <c r="G844" s="29" t="s">
        <v>130</v>
      </c>
      <c r="H844" s="29" t="s">
        <v>424</v>
      </c>
      <c r="I844" s="141" t="s">
        <v>511</v>
      </c>
      <c r="J844" s="133">
        <v>0.524305555555556</v>
      </c>
    </row>
    <row r="845" spans="1:10">
      <c r="A845" s="31">
        <f>VLOOKUP($C845,SKU!$A:$I,3,FALSE)</f>
        <v>10012</v>
      </c>
      <c r="B845" s="31" t="str">
        <f>VLOOKUP($C845,SKU!$A:$I,2,FALSE)</f>
        <v>卡文化进击的巨人</v>
      </c>
      <c r="C845" s="29" t="s">
        <v>75</v>
      </c>
      <c r="D845" s="29">
        <v>5</v>
      </c>
      <c r="E845" s="31">
        <f>D845*VLOOKUP(A845,Nhập入库!A:N,8,FALSE)</f>
        <v>150</v>
      </c>
      <c r="G845" s="29" t="s">
        <v>33</v>
      </c>
      <c r="H845" s="29" t="s">
        <v>424</v>
      </c>
      <c r="I845" s="141" t="s">
        <v>511</v>
      </c>
      <c r="J845" s="133">
        <v>0.524305555555556</v>
      </c>
    </row>
    <row r="846" spans="1:10">
      <c r="A846" s="31">
        <f>VLOOKUP($C846,SKU!$A:$I,3,FALSE)</f>
        <v>10109</v>
      </c>
      <c r="B846" s="31">
        <f>VLOOKUP($C846,SKU!$A:$I,2,FALSE)</f>
        <v>0</v>
      </c>
      <c r="C846" s="29" t="s">
        <v>382</v>
      </c>
      <c r="D846" s="29">
        <v>1</v>
      </c>
      <c r="E846" s="31">
        <f>D846*VLOOKUP(A846,Nhập入库!A:N,8,FALSE)</f>
        <v>10</v>
      </c>
      <c r="G846" s="29" t="s">
        <v>191</v>
      </c>
      <c r="H846" s="29" t="s">
        <v>424</v>
      </c>
      <c r="I846" s="141" t="s">
        <v>511</v>
      </c>
      <c r="J846" s="133">
        <v>0.638888888888889</v>
      </c>
    </row>
    <row r="847" spans="1:10">
      <c r="A847" s="31">
        <f>VLOOKUP($C847,SKU!$A:$I,3,FALSE)</f>
        <v>10039</v>
      </c>
      <c r="B847" s="31" t="str">
        <f>VLOOKUP($C847,SKU!$A:$I,2,FALSE)</f>
        <v>非凡航海王第五弹</v>
      </c>
      <c r="C847" s="29" t="s">
        <v>184</v>
      </c>
      <c r="D847" s="29">
        <v>6</v>
      </c>
      <c r="E847" s="31">
        <f>D847*VLOOKUP(A847,Nhập入库!A:N,8,FALSE)</f>
        <v>120</v>
      </c>
      <c r="G847" s="29" t="s">
        <v>98</v>
      </c>
      <c r="H847" s="29" t="s">
        <v>424</v>
      </c>
      <c r="I847" s="141" t="s">
        <v>511</v>
      </c>
      <c r="J847" s="133">
        <v>0.654166666666667</v>
      </c>
    </row>
    <row r="848" spans="1:10">
      <c r="A848" s="31">
        <f>VLOOKUP($C848,SKU!$A:$I,3,FALSE)</f>
        <v>10103</v>
      </c>
      <c r="B848" s="31" t="str">
        <f>VLOOKUP($C848,SKU!$A:$I,2,FALSE)</f>
        <v>疯狂动物城白金收藏卡狐兔神探</v>
      </c>
      <c r="C848" s="29" t="s">
        <v>367</v>
      </c>
      <c r="D848" s="29">
        <v>5</v>
      </c>
      <c r="E848" s="31">
        <f>D848*VLOOKUP(A848,Nhập入库!A:N,8,FALSE)</f>
        <v>100</v>
      </c>
      <c r="G848" s="29" t="s">
        <v>430</v>
      </c>
      <c r="H848" s="29" t="s">
        <v>431</v>
      </c>
      <c r="I848" s="141" t="s">
        <v>511</v>
      </c>
      <c r="J848" s="133">
        <v>0.759722222222222</v>
      </c>
    </row>
    <row r="849" spans="1:11">
      <c r="A849" s="31">
        <f>VLOOKUP($C849,SKU!$A:$I,3,FALSE)</f>
        <v>10102</v>
      </c>
      <c r="B849" s="31" t="str">
        <f>VLOOKUP($C849,SKU!$A:$I,2,FALSE)</f>
        <v>麒麟文创航海王第一弹-仙道天下</v>
      </c>
      <c r="C849" s="29" t="s">
        <v>364</v>
      </c>
      <c r="D849" s="29">
        <v>5</v>
      </c>
      <c r="E849" s="31">
        <f>D849*VLOOKUP(A849,Nhập入库!A:N,8,FALSE)</f>
        <v>65</v>
      </c>
      <c r="G849" s="29" t="s">
        <v>78</v>
      </c>
      <c r="H849" s="29" t="s">
        <v>431</v>
      </c>
      <c r="I849" s="141" t="s">
        <v>511</v>
      </c>
      <c r="J849" s="133">
        <v>0.85</v>
      </c>
    </row>
    <row r="850" spans="1:11">
      <c r="A850" s="31">
        <f>VLOOKUP($C850,SKU!$A:$I,3,FALSE)</f>
        <v>10088</v>
      </c>
      <c r="B850" s="31" t="str">
        <f>VLOOKUP($C850,SKU!$A:$I,2,FALSE)</f>
        <v>名侦探柯南-名推理收藏卡-觅影包-第3弹</v>
      </c>
      <c r="C850" s="29" t="s">
        <v>325</v>
      </c>
      <c r="D850" s="29">
        <v>5</v>
      </c>
      <c r="E850" s="31">
        <f>D850*VLOOKUP(A850,Nhập入库!A:N,8,FALSE)</f>
        <v>150</v>
      </c>
      <c r="G850" s="29" t="s">
        <v>90</v>
      </c>
      <c r="H850" s="29" t="s">
        <v>59</v>
      </c>
      <c r="I850" s="141" t="s">
        <v>512</v>
      </c>
      <c r="J850" s="133">
        <v>0.1</v>
      </c>
    </row>
    <row r="851" spans="1:11">
      <c r="A851" s="31">
        <f>VLOOKUP($C851,SKU!$A:$I,3,FALSE)</f>
        <v>10106</v>
      </c>
      <c r="B851" s="31" t="str">
        <f>VLOOKUP($C851,SKU!$A:$I,2,FALSE)</f>
        <v>云映文化时光绘卷·宫崎骏珍藏卡牌</v>
      </c>
      <c r="C851" s="29" t="s">
        <v>374</v>
      </c>
      <c r="D851" s="29">
        <v>5</v>
      </c>
      <c r="E851" s="31">
        <f>D851*VLOOKUP(A851,Nhập入库!A:N,8,FALSE)</f>
        <v>65</v>
      </c>
      <c r="G851" s="29" t="s">
        <v>432</v>
      </c>
      <c r="H851" s="29" t="s">
        <v>65</v>
      </c>
      <c r="I851" s="141" t="s">
        <v>512</v>
      </c>
      <c r="J851" s="133">
        <v>0.553472222222222</v>
      </c>
    </row>
    <row r="852" spans="1:11">
      <c r="A852" s="31">
        <f>VLOOKUP($C852,SKU!$A:$I,3,FALSE)</f>
        <v>10102</v>
      </c>
      <c r="B852" s="31" t="str">
        <f>VLOOKUP($C852,SKU!$A:$I,2,FALSE)</f>
        <v>麒麟文创航海王第一弹-仙道天下</v>
      </c>
      <c r="C852" s="29" t="s">
        <v>364</v>
      </c>
      <c r="D852" s="29">
        <v>5</v>
      </c>
      <c r="E852" s="31">
        <f>D852*VLOOKUP(A852,Nhập入库!A:N,8,FALSE)</f>
        <v>65</v>
      </c>
      <c r="G852" s="29" t="s">
        <v>426</v>
      </c>
      <c r="H852" s="29" t="s">
        <v>65</v>
      </c>
      <c r="I852" s="141" t="s">
        <v>512</v>
      </c>
      <c r="J852" s="133">
        <v>0.504861111111111</v>
      </c>
    </row>
    <row r="853" spans="1:11">
      <c r="A853" s="31">
        <f>VLOOKUP($C853,SKU!$A:$I,3,FALSE)</f>
        <v>10100</v>
      </c>
      <c r="B853" s="31" t="str">
        <f>VLOOKUP($C853,SKU!$A:$I,2,FALSE)</f>
        <v>《意卡文创海贼王》第二弹</v>
      </c>
      <c r="C853" s="29" t="s">
        <v>358</v>
      </c>
      <c r="D853" s="29">
        <v>3</v>
      </c>
      <c r="E853" s="31">
        <f>D853*VLOOKUP(A853,Nhập入库!A:N,8,FALSE)</f>
        <v>39</v>
      </c>
      <c r="G853" s="29" t="s">
        <v>130</v>
      </c>
      <c r="H853" s="29" t="s">
        <v>424</v>
      </c>
      <c r="I853" s="141" t="s">
        <v>512</v>
      </c>
      <c r="J853" s="133">
        <v>0.494444444444444</v>
      </c>
    </row>
    <row r="854" spans="1:11">
      <c r="A854" s="31">
        <f>VLOOKUP($C854,SKU!$A:$I,3,FALSE)</f>
        <v>10039</v>
      </c>
      <c r="B854" s="31" t="str">
        <f>VLOOKUP($C854,SKU!$A:$I,2,FALSE)</f>
        <v>非凡航海王第五弹</v>
      </c>
      <c r="C854" s="29" t="s">
        <v>184</v>
      </c>
      <c r="D854" s="29">
        <v>24</v>
      </c>
      <c r="E854" s="31">
        <f>D854*VLOOKUP(A854,Nhập入库!A:N,8,FALSE)</f>
        <v>480</v>
      </c>
      <c r="G854" s="29" t="s">
        <v>98</v>
      </c>
      <c r="H854" s="29" t="s">
        <v>424</v>
      </c>
      <c r="I854" s="141" t="s">
        <v>512</v>
      </c>
      <c r="J854" s="133">
        <v>0.519444444444444</v>
      </c>
    </row>
    <row r="855" spans="1:11">
      <c r="A855" s="31">
        <f>VLOOKUP($C855,SKU!$A:$I,3,FALSE)</f>
        <v>10100</v>
      </c>
      <c r="B855" s="31" t="str">
        <f>VLOOKUP($C855,SKU!$A:$I,2,FALSE)</f>
        <v>《意卡文创海贼王》第二弹</v>
      </c>
      <c r="C855" s="29" t="s">
        <v>358</v>
      </c>
      <c r="D855" s="29">
        <v>0</v>
      </c>
      <c r="E855" s="31">
        <f>D855*VLOOKUP(A855,Nhập入库!A:N,8,FALSE)</f>
        <v>0</v>
      </c>
      <c r="G855" s="29" t="s">
        <v>130</v>
      </c>
      <c r="H855" s="29" t="s">
        <v>423</v>
      </c>
      <c r="I855" s="141" t="s">
        <v>513</v>
      </c>
      <c r="J855" s="133">
        <v>0.458333333333333</v>
      </c>
      <c r="K855" s="135" t="s">
        <v>514</v>
      </c>
    </row>
    <row r="856" spans="1:11">
      <c r="A856" s="31">
        <f>VLOOKUP($C856,SKU!$A:$I,3,FALSE)</f>
        <v>10102</v>
      </c>
      <c r="B856" s="31" t="str">
        <f>VLOOKUP($C856,SKU!$A:$I,2,FALSE)</f>
        <v>麒麟文创航海王第一弹-仙道天下</v>
      </c>
      <c r="C856" s="29" t="s">
        <v>364</v>
      </c>
      <c r="D856" s="29">
        <v>5</v>
      </c>
      <c r="E856" s="31">
        <f>D856*VLOOKUP(A856,Nhập入库!A:N,8,FALSE)</f>
        <v>65</v>
      </c>
      <c r="G856" s="29" t="s">
        <v>426</v>
      </c>
      <c r="H856" s="29" t="s">
        <v>65</v>
      </c>
      <c r="I856" s="141" t="s">
        <v>513</v>
      </c>
      <c r="J856" s="133">
        <v>0.458333333333333</v>
      </c>
    </row>
    <row r="857" spans="1:11">
      <c r="A857" s="31">
        <f>VLOOKUP($C857,SKU!$A:$I,3,FALSE)</f>
        <v>10091</v>
      </c>
      <c r="B857" s="31" t="str">
        <f>VLOOKUP($C857,SKU!$A:$I,2,FALSE)</f>
        <v>星际宝贝百变顽家收藏卡</v>
      </c>
      <c r="C857" s="29" t="s">
        <v>333</v>
      </c>
      <c r="D857" s="29">
        <v>5</v>
      </c>
      <c r="E857" s="31">
        <f>D857*VLOOKUP(A857,Nhập入库!A:N,8,FALSE)</f>
        <v>50</v>
      </c>
      <c r="G857" s="29" t="s">
        <v>422</v>
      </c>
      <c r="H857" s="29" t="s">
        <v>65</v>
      </c>
      <c r="I857" s="141" t="s">
        <v>513</v>
      </c>
      <c r="J857" s="133">
        <v>0.479166666666667</v>
      </c>
    </row>
    <row r="858" spans="1:11">
      <c r="A858" s="31">
        <f>VLOOKUP($C858,SKU!$A:$I,3,FALSE)</f>
        <v>10100</v>
      </c>
      <c r="B858" s="31" t="str">
        <f>VLOOKUP($C858,SKU!$A:$I,2,FALSE)</f>
        <v>《意卡文创海贼王》第二弹</v>
      </c>
      <c r="C858" s="29" t="s">
        <v>358</v>
      </c>
      <c r="D858" s="29">
        <v>5</v>
      </c>
      <c r="E858" s="31">
        <f>D858*VLOOKUP(A858,Nhập入库!A:N,8,FALSE)</f>
        <v>65</v>
      </c>
      <c r="G858" s="29" t="s">
        <v>130</v>
      </c>
      <c r="H858" s="29" t="s">
        <v>424</v>
      </c>
      <c r="I858" s="141" t="s">
        <v>513</v>
      </c>
      <c r="J858" s="133">
        <v>0.501388888888889</v>
      </c>
    </row>
    <row r="859" spans="1:11">
      <c r="A859" s="31">
        <f>VLOOKUP($C859,SKU!$A:$I,3,FALSE)</f>
        <v>10102</v>
      </c>
      <c r="B859" s="31" t="str">
        <f>VLOOKUP($C859,SKU!$A:$I,2,FALSE)</f>
        <v>麒麟文创航海王第一弹-仙道天下</v>
      </c>
      <c r="C859" s="29" t="s">
        <v>364</v>
      </c>
      <c r="D859" s="29">
        <v>5</v>
      </c>
      <c r="E859" s="31">
        <f>D859*VLOOKUP(A859,Nhập入库!A:N,8,FALSE)</f>
        <v>65</v>
      </c>
      <c r="G859" s="29" t="s">
        <v>130</v>
      </c>
      <c r="H859" s="29" t="s">
        <v>424</v>
      </c>
      <c r="I859" s="141" t="s">
        <v>513</v>
      </c>
      <c r="J859" s="133">
        <v>0.501388888888889</v>
      </c>
    </row>
    <row r="860" spans="1:11">
      <c r="A860" s="31">
        <f>VLOOKUP($C860,SKU!$A:$I,3,FALSE)</f>
        <v>10107</v>
      </c>
      <c r="B860" s="31" t="str">
        <f>VLOOKUP($C860,SKU!$A:$I,2,FALSE)</f>
        <v>Hi卡柯南第四弹《一切都会大白于天下》</v>
      </c>
      <c r="C860" s="29" t="s">
        <v>377</v>
      </c>
      <c r="D860" s="29">
        <v>5</v>
      </c>
      <c r="E860" s="31">
        <f>D860*VLOOKUP(A860,Nhập入库!A:N,8,FALSE)</f>
        <v>75</v>
      </c>
      <c r="G860" s="29" t="s">
        <v>33</v>
      </c>
      <c r="H860" s="29" t="s">
        <v>424</v>
      </c>
      <c r="I860" s="141" t="s">
        <v>513</v>
      </c>
      <c r="J860" s="133">
        <v>0.561111111111111</v>
      </c>
    </row>
    <row r="861" spans="1:11">
      <c r="A861" s="31">
        <f>VLOOKUP($C861,SKU!$A:$I,3,FALSE)</f>
        <v>10106</v>
      </c>
      <c r="B861" s="31" t="str">
        <f>VLOOKUP($C861,SKU!$A:$I,2,FALSE)</f>
        <v>云映文化时光绘卷·宫崎骏珍藏卡牌</v>
      </c>
      <c r="C861" s="29" t="s">
        <v>374</v>
      </c>
      <c r="D861" s="29">
        <v>5</v>
      </c>
      <c r="E861" s="31">
        <f>D861*VLOOKUP(A861,Nhập入库!A:N,8,FALSE)</f>
        <v>65</v>
      </c>
      <c r="G861" s="29" t="s">
        <v>432</v>
      </c>
      <c r="H861" s="29" t="s">
        <v>65</v>
      </c>
      <c r="I861" s="141" t="s">
        <v>513</v>
      </c>
      <c r="J861" s="133">
        <v>0.561111111111111</v>
      </c>
    </row>
    <row r="862" spans="1:11">
      <c r="A862" s="31">
        <f>VLOOKUP($C862,SKU!$A:$I,3,FALSE)</f>
        <v>10105</v>
      </c>
      <c r="B862" s="31" t="str">
        <f>VLOOKUP($C862,SKU!$A:$I,2,FALSE)</f>
        <v>木木卡舍·鬼灭之刃无限城篇</v>
      </c>
      <c r="C862" s="29" t="s">
        <v>371</v>
      </c>
      <c r="D862" s="29">
        <v>10</v>
      </c>
      <c r="E862" s="31">
        <f>D862*VLOOKUP(A862,Nhập入库!A:N,8,FALSE)</f>
        <v>50</v>
      </c>
      <c r="G862" s="29" t="s">
        <v>430</v>
      </c>
      <c r="H862" s="29" t="s">
        <v>431</v>
      </c>
      <c r="I862" s="141" t="s">
        <v>513</v>
      </c>
      <c r="J862" s="133">
        <v>0.689583333333333</v>
      </c>
    </row>
    <row r="863" spans="1:11">
      <c r="A863" s="31">
        <f>VLOOKUP($C863,SKU!$A:$I,3,FALSE)</f>
        <v>10102</v>
      </c>
      <c r="B863" s="31" t="str">
        <f>VLOOKUP($C863,SKU!$A:$I,2,FALSE)</f>
        <v>麒麟文创航海王第一弹-仙道天下</v>
      </c>
      <c r="C863" s="29" t="s">
        <v>364</v>
      </c>
      <c r="D863" s="29">
        <v>5</v>
      </c>
      <c r="E863" s="31">
        <f>D863*VLOOKUP(A863,Nhập入库!A:N,8,FALSE)</f>
        <v>65</v>
      </c>
      <c r="G863" s="29" t="s">
        <v>187</v>
      </c>
      <c r="H863" s="29" t="s">
        <v>431</v>
      </c>
      <c r="I863" s="141" t="s">
        <v>513</v>
      </c>
      <c r="J863" s="133">
        <v>0.75</v>
      </c>
    </row>
    <row r="864" spans="1:11">
      <c r="A864" s="31">
        <f>VLOOKUP($C864,SKU!$A:$I,3,FALSE)</f>
        <v>10091</v>
      </c>
      <c r="B864" s="31" t="str">
        <f>VLOOKUP($C864,SKU!$A:$I,2,FALSE)</f>
        <v>星际宝贝百变顽家收藏卡</v>
      </c>
      <c r="C864" s="29" t="s">
        <v>333</v>
      </c>
      <c r="D864" s="29">
        <v>10</v>
      </c>
      <c r="E864" s="31">
        <f>D864*VLOOKUP(A864,Nhập入库!A:N,8,FALSE)</f>
        <v>100</v>
      </c>
      <c r="G864" s="29" t="s">
        <v>422</v>
      </c>
      <c r="H864" s="29" t="s">
        <v>65</v>
      </c>
      <c r="I864" s="141" t="s">
        <v>515</v>
      </c>
      <c r="J864" s="133">
        <v>0.5</v>
      </c>
    </row>
    <row r="865" spans="1:10">
      <c r="A865" s="31">
        <f>VLOOKUP($C865,SKU!$A:$I,3,FALSE)</f>
        <v>10039</v>
      </c>
      <c r="B865" s="31" t="str">
        <f>VLOOKUP($C865,SKU!$A:$I,2,FALSE)</f>
        <v>非凡航海王第五弹</v>
      </c>
      <c r="C865" s="29" t="s">
        <v>184</v>
      </c>
      <c r="D865" s="29">
        <v>24</v>
      </c>
      <c r="E865" s="31">
        <f>D865*VLOOKUP(A865,Nhập入库!A:N,8,FALSE)</f>
        <v>480</v>
      </c>
      <c r="G865" s="29" t="s">
        <v>98</v>
      </c>
      <c r="H865" s="29" t="s">
        <v>424</v>
      </c>
      <c r="I865" s="141" t="s">
        <v>515</v>
      </c>
      <c r="J865" s="133">
        <v>0.590277777777778</v>
      </c>
    </row>
    <row r="866" spans="1:10">
      <c r="A866" s="31">
        <f>VLOOKUP($C866,SKU!$A:$I,3,FALSE)</f>
        <v>10107</v>
      </c>
      <c r="B866" s="31" t="str">
        <f>VLOOKUP($C866,SKU!$A:$I,2,FALSE)</f>
        <v>Hi卡柯南第四弹《一切都会大白于天下》</v>
      </c>
      <c r="C866" s="29" t="s">
        <v>377</v>
      </c>
      <c r="D866" s="29">
        <v>5</v>
      </c>
      <c r="E866" s="31">
        <f>D866*VLOOKUP(A866,Nhập入库!A:N,8,FALSE)</f>
        <v>75</v>
      </c>
      <c r="G866" s="29" t="s">
        <v>33</v>
      </c>
      <c r="H866" s="29" t="s">
        <v>424</v>
      </c>
      <c r="I866" s="141" t="s">
        <v>515</v>
      </c>
      <c r="J866" s="133">
        <v>0.668055555555556</v>
      </c>
    </row>
    <row r="867" spans="1:10">
      <c r="A867" s="31">
        <f>VLOOKUP($C867,SKU!$A:$I,3,FALSE)</f>
        <v>10086</v>
      </c>
      <c r="B867" s="31" t="str">
        <f>VLOOKUP($C867,SKU!$A:$I,2,FALSE)</f>
        <v>【潮迷文创】名侦探柯南-危险排队-周边创意艺术色纸</v>
      </c>
      <c r="C867" s="29" t="s">
        <v>319</v>
      </c>
      <c r="D867" s="29">
        <v>20</v>
      </c>
      <c r="E867" s="31">
        <f>D867*VLOOKUP(A867,Nhập入库!A:N,8,FALSE)</f>
        <v>20</v>
      </c>
      <c r="G867" s="29" t="s">
        <v>187</v>
      </c>
      <c r="H867" s="29" t="s">
        <v>431</v>
      </c>
      <c r="I867" s="141" t="s">
        <v>515</v>
      </c>
      <c r="J867" s="133">
        <v>0.720138888888889</v>
      </c>
    </row>
    <row r="868" spans="1:10">
      <c r="A868" s="31">
        <f>VLOOKUP($C868,SKU!$A:$I,3,FALSE)</f>
        <v>10092</v>
      </c>
      <c r="B868" s="31" t="str">
        <f>VLOOKUP($C868,SKU!$A:$I,2,FALSE)</f>
        <v>紫薇文创×魔卡少女樱·撕撕乐</v>
      </c>
      <c r="C868" s="29" t="s">
        <v>335</v>
      </c>
      <c r="D868" s="29">
        <v>20</v>
      </c>
      <c r="E868" s="31">
        <f>D868*VLOOKUP(A868,Nhập入库!A:N,8,FALSE)</f>
        <v>60</v>
      </c>
      <c r="G868" s="29" t="s">
        <v>433</v>
      </c>
      <c r="H868" s="29" t="s">
        <v>431</v>
      </c>
      <c r="I868" s="141" t="s">
        <v>515</v>
      </c>
      <c r="J868" s="133">
        <v>0.720138888888889</v>
      </c>
    </row>
    <row r="869" spans="1:10">
      <c r="A869" s="31">
        <f>VLOOKUP($C869,SKU!$A:$I,3,FALSE)</f>
        <v>10107</v>
      </c>
      <c r="B869" s="31" t="str">
        <f>VLOOKUP($C869,SKU!$A:$I,2,FALSE)</f>
        <v>Hi卡柯南第四弹《一切都会大白于天下》</v>
      </c>
      <c r="C869" s="29" t="s">
        <v>377</v>
      </c>
      <c r="D869" s="29">
        <v>1</v>
      </c>
      <c r="E869" s="31">
        <f>D869*VLOOKUP(A869,Nhập入库!A:N,8,FALSE)</f>
        <v>15</v>
      </c>
      <c r="G869" s="29" t="s">
        <v>78</v>
      </c>
      <c r="H869" s="29" t="s">
        <v>428</v>
      </c>
      <c r="I869" s="141" t="s">
        <v>515</v>
      </c>
      <c r="J869" s="133">
        <v>0.970138888888889</v>
      </c>
    </row>
    <row r="870" spans="1:10">
      <c r="A870" s="31">
        <f>VLOOKUP($C870,SKU!$A:$I,3,FALSE)</f>
        <v>10100</v>
      </c>
      <c r="B870" s="31" t="str">
        <f>VLOOKUP($C870,SKU!$A:$I,2,FALSE)</f>
        <v>《意卡文创海贼王》第二弹</v>
      </c>
      <c r="C870" s="29" t="s">
        <v>358</v>
      </c>
      <c r="D870" s="29">
        <v>5</v>
      </c>
      <c r="E870" s="31">
        <f>D870*VLOOKUP(A870,Nhập入库!A:N,8,FALSE)</f>
        <v>65</v>
      </c>
      <c r="G870" s="29" t="s">
        <v>90</v>
      </c>
      <c r="H870" s="29" t="s">
        <v>59</v>
      </c>
      <c r="I870" s="141" t="s">
        <v>516</v>
      </c>
      <c r="J870" s="133">
        <v>0.970138888888889</v>
      </c>
    </row>
    <row r="871" spans="1:10">
      <c r="A871" s="31">
        <f>VLOOKUP($C871,SKU!$A:$I,3,FALSE)</f>
        <v>10105</v>
      </c>
      <c r="B871" s="31" t="str">
        <f>VLOOKUP($C871,SKU!$A:$I,2,FALSE)</f>
        <v>木木卡舍·鬼灭之刃无限城篇</v>
      </c>
      <c r="C871" s="29" t="s">
        <v>371</v>
      </c>
      <c r="D871" s="29">
        <v>5</v>
      </c>
      <c r="E871" s="31">
        <f>D871*VLOOKUP(A871,Nhập入库!A:N,8,FALSE)</f>
        <v>25</v>
      </c>
      <c r="G871" s="29" t="s">
        <v>426</v>
      </c>
      <c r="H871" s="29" t="s">
        <v>65</v>
      </c>
      <c r="I871" s="141" t="s">
        <v>517</v>
      </c>
      <c r="J871" s="133">
        <v>0.425694444444444</v>
      </c>
    </row>
    <row r="872" spans="1:10">
      <c r="A872" s="31">
        <f>VLOOKUP($C872,SKU!$A:$I,3,FALSE)</f>
        <v>10102</v>
      </c>
      <c r="B872" s="31" t="str">
        <f>VLOOKUP($C872,SKU!$A:$I,2,FALSE)</f>
        <v>麒麟文创航海王第一弹-仙道天下</v>
      </c>
      <c r="C872" s="29" t="s">
        <v>364</v>
      </c>
      <c r="D872" s="29">
        <v>5</v>
      </c>
      <c r="E872" s="31">
        <f>D872*VLOOKUP(A872,Nhập入库!A:N,8,FALSE)</f>
        <v>65</v>
      </c>
      <c r="G872" s="29" t="s">
        <v>426</v>
      </c>
      <c r="H872" s="29" t="s">
        <v>65</v>
      </c>
      <c r="I872" s="141" t="s">
        <v>517</v>
      </c>
      <c r="J872" s="133">
        <v>0.543055555555556</v>
      </c>
    </row>
    <row r="873" spans="1:10">
      <c r="A873" s="31">
        <f>VLOOKUP($C873,SKU!$A:$I,3,FALSE)</f>
        <v>10039</v>
      </c>
      <c r="B873" s="31" t="str">
        <f>VLOOKUP($C873,SKU!$A:$I,2,FALSE)</f>
        <v>非凡航海王第五弹</v>
      </c>
      <c r="C873" s="29" t="s">
        <v>184</v>
      </c>
      <c r="D873" s="29">
        <v>24</v>
      </c>
      <c r="E873" s="31">
        <f>D873*VLOOKUP(A873,Nhập入库!A:N,8,FALSE)</f>
        <v>480</v>
      </c>
      <c r="G873" s="29" t="s">
        <v>98</v>
      </c>
      <c r="H873" s="29" t="s">
        <v>424</v>
      </c>
      <c r="I873" s="141" t="s">
        <v>517</v>
      </c>
      <c r="J873" s="133">
        <v>0.54375</v>
      </c>
    </row>
    <row r="874" spans="1:10">
      <c r="A874" s="31">
        <f>VLOOKUP($C874,SKU!$A:$I,3,FALSE)</f>
        <v>10107</v>
      </c>
      <c r="B874" s="31" t="str">
        <f>VLOOKUP($C874,SKU!$A:$I,2,FALSE)</f>
        <v>Hi卡柯南第四弹《一切都会大白于天下》</v>
      </c>
      <c r="C874" s="29" t="s">
        <v>377</v>
      </c>
      <c r="D874" s="29">
        <v>5</v>
      </c>
      <c r="E874" s="31">
        <f>D874*VLOOKUP(A874,Nhập入库!A:N,8,FALSE)</f>
        <v>75</v>
      </c>
      <c r="G874" s="29" t="s">
        <v>33</v>
      </c>
      <c r="H874" s="29" t="s">
        <v>424</v>
      </c>
      <c r="I874" s="141" t="s">
        <v>517</v>
      </c>
      <c r="J874" s="133">
        <v>0.54375</v>
      </c>
    </row>
    <row r="875" spans="1:10">
      <c r="A875" s="31">
        <f>VLOOKUP($C875,SKU!$A:$I,3,FALSE)</f>
        <v>10039</v>
      </c>
      <c r="B875" s="31" t="str">
        <f>VLOOKUP($C875,SKU!$A:$I,2,FALSE)</f>
        <v>非凡航海王第五弹</v>
      </c>
      <c r="C875" s="29" t="s">
        <v>184</v>
      </c>
      <c r="D875" s="29">
        <v>24</v>
      </c>
      <c r="E875" s="31">
        <f>D875*VLOOKUP(A875,Nhập入库!A:N,8,FALSE)</f>
        <v>480</v>
      </c>
      <c r="G875" s="29" t="s">
        <v>429</v>
      </c>
      <c r="H875" s="29" t="s">
        <v>428</v>
      </c>
      <c r="I875" s="141" t="s">
        <v>517</v>
      </c>
      <c r="J875" s="133">
        <v>0.752083333333333</v>
      </c>
    </row>
    <row r="876" spans="1:10">
      <c r="A876" s="31">
        <f>VLOOKUP($C876,SKU!$A:$I,3,FALSE)</f>
        <v>10039</v>
      </c>
      <c r="B876" s="31" t="str">
        <f>VLOOKUP($C876,SKU!$A:$I,2,FALSE)</f>
        <v>非凡航海王第五弹</v>
      </c>
      <c r="C876" s="29" t="s">
        <v>184</v>
      </c>
      <c r="D876" s="29">
        <v>10</v>
      </c>
      <c r="E876" s="31">
        <f>D876*VLOOKUP(A876,Nhập入库!A:N,8,FALSE)</f>
        <v>200</v>
      </c>
      <c r="G876" s="29" t="s">
        <v>78</v>
      </c>
      <c r="H876" s="29" t="s">
        <v>428</v>
      </c>
      <c r="I876" s="141" t="s">
        <v>517</v>
      </c>
      <c r="J876" s="133">
        <v>0.7875</v>
      </c>
    </row>
    <row r="877" spans="1:10">
      <c r="A877" s="31">
        <f>VLOOKUP($C877,SKU!$A:$I,3,FALSE)</f>
        <v>10105</v>
      </c>
      <c r="B877" s="31" t="str">
        <f>VLOOKUP($C877,SKU!$A:$I,2,FALSE)</f>
        <v>木木卡舍·鬼灭之刃无限城篇</v>
      </c>
      <c r="C877" s="29" t="s">
        <v>371</v>
      </c>
      <c r="D877" s="29">
        <v>1</v>
      </c>
      <c r="E877" s="31">
        <f>D877*VLOOKUP(A877,Nhập入库!A:N,8,FALSE)</f>
        <v>5</v>
      </c>
      <c r="G877" s="29" t="s">
        <v>429</v>
      </c>
      <c r="H877" s="29" t="s">
        <v>428</v>
      </c>
      <c r="I877" s="141" t="s">
        <v>517</v>
      </c>
      <c r="J877" s="133">
        <v>0.843055555555556</v>
      </c>
    </row>
    <row r="878" spans="1:10">
      <c r="A878" s="31">
        <f>VLOOKUP($C878,SKU!$A:$I,3,FALSE)</f>
        <v>10086</v>
      </c>
      <c r="B878" s="31" t="str">
        <f>VLOOKUP($C878,SKU!$A:$I,2,FALSE)</f>
        <v>【潮迷文创】名侦探柯南-危险排队-周边创意艺术色纸</v>
      </c>
      <c r="C878" s="29" t="s">
        <v>319</v>
      </c>
      <c r="D878" s="29">
        <v>10</v>
      </c>
      <c r="E878" s="31">
        <f>D878*VLOOKUP(A878,Nhập入库!A:N,8,FALSE)</f>
        <v>10</v>
      </c>
      <c r="G878" s="29" t="s">
        <v>429</v>
      </c>
      <c r="H878" s="29" t="s">
        <v>428</v>
      </c>
      <c r="I878" s="141" t="s">
        <v>517</v>
      </c>
      <c r="J878" s="133">
        <v>0.858333333333333</v>
      </c>
    </row>
    <row r="879" spans="1:10">
      <c r="A879" s="31">
        <f>VLOOKUP($C879,SKU!$A:$I,3,FALSE)</f>
        <v>10086</v>
      </c>
      <c r="B879" s="31" t="str">
        <f>VLOOKUP($C879,SKU!$A:$I,2,FALSE)</f>
        <v>【潮迷文创】名侦探柯南-危险排队-周边创意艺术色纸</v>
      </c>
      <c r="C879" s="29" t="s">
        <v>319</v>
      </c>
      <c r="D879" s="29">
        <v>10</v>
      </c>
      <c r="E879" s="31">
        <f>D879*VLOOKUP(A879,Nhập入库!A:N,8,FALSE)</f>
        <v>10</v>
      </c>
      <c r="G879" s="29" t="s">
        <v>78</v>
      </c>
      <c r="H879" s="29" t="s">
        <v>428</v>
      </c>
      <c r="I879" s="141" t="s">
        <v>517</v>
      </c>
      <c r="J879" s="133">
        <v>0.925</v>
      </c>
    </row>
    <row r="880" spans="1:10">
      <c r="A880" s="31">
        <f>VLOOKUP($C880,SKU!$A:$I,3,FALSE)</f>
        <v>10091</v>
      </c>
      <c r="B880" s="31" t="str">
        <f>VLOOKUP($C880,SKU!$A:$I,2,FALSE)</f>
        <v>星际宝贝百变顽家收藏卡</v>
      </c>
      <c r="C880" s="29" t="s">
        <v>333</v>
      </c>
      <c r="D880" s="29">
        <v>5</v>
      </c>
      <c r="E880" s="31">
        <f>D880*VLOOKUP(A880,Nhập入库!A:N,8,FALSE)</f>
        <v>50</v>
      </c>
      <c r="G880" s="29" t="s">
        <v>422</v>
      </c>
      <c r="H880" s="29" t="s">
        <v>65</v>
      </c>
      <c r="I880" s="141" t="s">
        <v>518</v>
      </c>
      <c r="J880" s="133">
        <v>0.432638888888889</v>
      </c>
    </row>
    <row r="881" spans="1:10">
      <c r="A881" s="31">
        <f>VLOOKUP($C881,SKU!$A:$I,3,FALSE)</f>
        <v>10039</v>
      </c>
      <c r="B881" s="31" t="str">
        <f>VLOOKUP($C881,SKU!$A:$I,2,FALSE)</f>
        <v>非凡航海王第五弹</v>
      </c>
      <c r="C881" s="29" t="s">
        <v>184</v>
      </c>
      <c r="D881" s="29">
        <v>5</v>
      </c>
      <c r="E881" s="31">
        <f>D881*VLOOKUP(A881,Nhập入库!A:N,8,FALSE)</f>
        <v>100</v>
      </c>
      <c r="G881" s="29" t="s">
        <v>426</v>
      </c>
      <c r="H881" s="29" t="s">
        <v>65</v>
      </c>
      <c r="I881" s="141" t="s">
        <v>518</v>
      </c>
      <c r="J881" s="133">
        <v>0.447916666666667</v>
      </c>
    </row>
    <row r="882" spans="1:10">
      <c r="A882" s="31">
        <f>VLOOKUP($C882,SKU!$A:$I,3,FALSE)</f>
        <v>10080</v>
      </c>
      <c r="B882" s="31" t="str">
        <f>VLOOKUP($C882,SKU!$A:$I,2,FALSE)</f>
        <v>《小蘑菇》流荧版收藏卡-末世深渊</v>
      </c>
      <c r="C882" s="34" t="s">
        <v>305</v>
      </c>
      <c r="D882" s="29">
        <v>5</v>
      </c>
      <c r="E882" s="31">
        <f>D882*VLOOKUP(A882,Nhập入库!A:N,8,FALSE)</f>
        <v>50</v>
      </c>
      <c r="G882" s="29" t="s">
        <v>422</v>
      </c>
      <c r="H882" s="29" t="s">
        <v>65</v>
      </c>
      <c r="I882" s="141" t="s">
        <v>518</v>
      </c>
      <c r="J882" s="133">
        <v>0.503472222222222</v>
      </c>
    </row>
    <row r="883" spans="1:10">
      <c r="A883" s="31">
        <f>VLOOKUP($C883,SKU!$A:$I,3,FALSE)</f>
        <v>10039</v>
      </c>
      <c r="B883" s="31" t="str">
        <f>VLOOKUP($C883,SKU!$A:$I,2,FALSE)</f>
        <v>非凡航海王第五弹</v>
      </c>
      <c r="C883" s="34" t="s">
        <v>184</v>
      </c>
      <c r="D883" s="29">
        <v>8</v>
      </c>
      <c r="E883" s="31">
        <f>D883*VLOOKUP(A883,Nhập入库!A:N,8,FALSE)</f>
        <v>160</v>
      </c>
      <c r="G883" s="29" t="s">
        <v>33</v>
      </c>
      <c r="H883" s="29" t="s">
        <v>424</v>
      </c>
      <c r="I883" s="141" t="s">
        <v>518</v>
      </c>
      <c r="J883" s="155">
        <v>0.534027777777778</v>
      </c>
    </row>
    <row r="884" spans="1:10">
      <c r="A884" s="31">
        <f>VLOOKUP($C884,SKU!$A:$I,3,FALSE)</f>
        <v>10039</v>
      </c>
      <c r="B884" s="31" t="str">
        <f>VLOOKUP($C884,SKU!$A:$I,2,FALSE)</f>
        <v>非凡航海王第五弹</v>
      </c>
      <c r="C884" s="34" t="s">
        <v>184</v>
      </c>
      <c r="D884" s="29">
        <v>16</v>
      </c>
      <c r="E884" s="31">
        <f>D884*VLOOKUP(A884,Nhập入库!A:N,8,FALSE)</f>
        <v>320</v>
      </c>
      <c r="G884" s="29" t="s">
        <v>98</v>
      </c>
      <c r="H884" s="29" t="s">
        <v>424</v>
      </c>
      <c r="I884" s="141" t="s">
        <v>518</v>
      </c>
      <c r="J884" s="133">
        <v>0.534027777777778</v>
      </c>
    </row>
    <row r="885" spans="1:10">
      <c r="A885" s="31">
        <f>VLOOKUP($C885,SKU!$A:$I,3,FALSE)</f>
        <v>10043</v>
      </c>
      <c r="B885" s="31" t="str">
        <f>VLOOKUP($C885,SKU!$A:$I,2,FALSE)</f>
        <v>光恋XR-披荆斩棘-美少女战士</v>
      </c>
      <c r="C885" s="34" t="s">
        <v>199</v>
      </c>
      <c r="D885" s="29">
        <v>5</v>
      </c>
      <c r="E885" s="31">
        <f>D885*VLOOKUP(A885,Nhập入库!A:N,8,FALSE)</f>
        <v>65</v>
      </c>
      <c r="G885" s="29" t="s">
        <v>130</v>
      </c>
      <c r="H885" s="29" t="s">
        <v>424</v>
      </c>
      <c r="I885" s="141" t="s">
        <v>518</v>
      </c>
      <c r="J885" s="133">
        <v>0.552777777777778</v>
      </c>
    </row>
    <row r="886" spans="1:10">
      <c r="A886" s="31">
        <f>VLOOKUP($C886,SKU!$A:$I,3,FALSE)</f>
        <v>10100</v>
      </c>
      <c r="B886" s="31" t="str">
        <f>VLOOKUP($C886,SKU!$A:$I,2,FALSE)</f>
        <v>《意卡文创海贼王》第二弹</v>
      </c>
      <c r="C886" s="34" t="s">
        <v>358</v>
      </c>
      <c r="D886" s="29">
        <v>4</v>
      </c>
      <c r="E886" s="31">
        <f>D886*VLOOKUP(A886,Nhập入库!A:N,8,FALSE)</f>
        <v>52</v>
      </c>
      <c r="G886" s="29" t="s">
        <v>33</v>
      </c>
      <c r="H886" s="29" t="s">
        <v>424</v>
      </c>
      <c r="I886" s="141" t="s">
        <v>518</v>
      </c>
      <c r="J886" s="133">
        <v>0.43125</v>
      </c>
    </row>
    <row r="887" spans="1:10">
      <c r="A887" s="31">
        <f>VLOOKUP($C887,SKU!$A:$I,3,FALSE)</f>
        <v>10096</v>
      </c>
      <c r="B887" s="31" t="str">
        <f>VLOOKUP($C887,SKU!$A:$I,2,FALSE)</f>
        <v>至臻文创美少女战士</v>
      </c>
      <c r="C887" s="34" t="s">
        <v>347</v>
      </c>
      <c r="D887" s="29">
        <v>5</v>
      </c>
      <c r="E887" s="31">
        <f>D887*VLOOKUP(A887,Nhập入库!A:N,8,FALSE)</f>
        <v>70</v>
      </c>
      <c r="G887" s="34" t="s">
        <v>130</v>
      </c>
      <c r="H887" s="34" t="s">
        <v>424</v>
      </c>
      <c r="I887" s="141" t="s">
        <v>518</v>
      </c>
      <c r="J887" s="133">
        <v>0.604861111111111</v>
      </c>
    </row>
    <row r="888" spans="1:10">
      <c r="A888" s="31">
        <f>VLOOKUP($C888,SKU!$A:$I,3,FALSE)</f>
        <v>10091</v>
      </c>
      <c r="B888" s="31" t="str">
        <f>VLOOKUP($C888,SKU!$A:$I,2,FALSE)</f>
        <v>星际宝贝百变顽家收藏卡</v>
      </c>
      <c r="C888" s="34" t="s">
        <v>333</v>
      </c>
      <c r="D888" s="29">
        <v>13</v>
      </c>
      <c r="E888" s="31">
        <f>D888*VLOOKUP(A888,Nhập入库!A:N,8,FALSE)</f>
        <v>130</v>
      </c>
      <c r="G888" s="34" t="s">
        <v>422</v>
      </c>
      <c r="H888" s="34" t="s">
        <v>65</v>
      </c>
      <c r="I888" s="141" t="s">
        <v>518</v>
      </c>
      <c r="J888" s="133">
        <v>0.625</v>
      </c>
    </row>
    <row r="889" spans="1:10">
      <c r="A889" s="31">
        <f>VLOOKUP($C889,SKU!$A:$I,3,FALSE)</f>
        <v>10039</v>
      </c>
      <c r="B889" s="31" t="str">
        <f>VLOOKUP($C889,SKU!$A:$I,2,FALSE)</f>
        <v>非凡航海王第五弹</v>
      </c>
      <c r="C889" s="34" t="s">
        <v>184</v>
      </c>
      <c r="D889" s="29">
        <v>4</v>
      </c>
      <c r="E889" s="31">
        <f>D889*VLOOKUP(A889,Nhập入库!A:N,8,FALSE)</f>
        <v>80</v>
      </c>
      <c r="G889" s="34" t="s">
        <v>130</v>
      </c>
      <c r="H889" s="29" t="s">
        <v>424</v>
      </c>
      <c r="I889" s="141" t="s">
        <v>519</v>
      </c>
      <c r="J889" s="133">
        <v>0.4</v>
      </c>
    </row>
    <row r="890" spans="1:10">
      <c r="A890" s="31">
        <f>VLOOKUP($C890,SKU!$A:$I,3,FALSE)</f>
        <v>10086</v>
      </c>
      <c r="B890" s="31" t="str">
        <f>VLOOKUP($C890,SKU!$A:$I,2,FALSE)</f>
        <v>【潮迷文创】名侦探柯南-危险排队-周边创意艺术色纸</v>
      </c>
      <c r="C890" s="34" t="s">
        <v>319</v>
      </c>
      <c r="E890" s="31">
        <f>D890*VLOOKUP(A890,Nhập入库!A:N,8,FALSE)</f>
        <v>0</v>
      </c>
      <c r="F890" s="29">
        <v>5</v>
      </c>
      <c r="G890" s="29" t="s">
        <v>33</v>
      </c>
      <c r="H890" s="29" t="s">
        <v>424</v>
      </c>
      <c r="I890" s="141" t="s">
        <v>519</v>
      </c>
      <c r="J890" s="133">
        <v>0.413888888888889</v>
      </c>
    </row>
    <row r="891" spans="1:10">
      <c r="A891" s="31">
        <f>VLOOKUP($C891,SKU!$A:$I,3,FALSE)</f>
        <v>10090</v>
      </c>
      <c r="B891" s="31" t="str">
        <f>VLOOKUP($C891,SKU!$A:$I,2,FALSE)</f>
        <v>依梦×宫崎骏の治愈一生</v>
      </c>
      <c r="C891" s="34" t="s">
        <v>330</v>
      </c>
      <c r="D891" s="29">
        <v>6</v>
      </c>
      <c r="E891" s="31">
        <f>D891*VLOOKUP(A891,Nhập入库!A:N,8,FALSE)</f>
        <v>78</v>
      </c>
      <c r="G891" s="29" t="s">
        <v>432</v>
      </c>
      <c r="H891" s="29" t="s">
        <v>65</v>
      </c>
      <c r="I891" s="141" t="s">
        <v>519</v>
      </c>
      <c r="J891" s="133">
        <v>0.416666666666667</v>
      </c>
    </row>
    <row r="892" spans="1:10">
      <c r="A892" s="31">
        <f>VLOOKUP($C892,SKU!$A:$I,3,FALSE)</f>
        <v>10086</v>
      </c>
      <c r="B892" s="31" t="str">
        <f>VLOOKUP($C892,SKU!$A:$I,2,FALSE)</f>
        <v>【潮迷文创】名侦探柯南-危险排队-周边创意艺术色纸</v>
      </c>
      <c r="C892" s="34" t="s">
        <v>319</v>
      </c>
      <c r="E892" s="31">
        <f>D892*VLOOKUP(A892,Nhập入库!A:N,8,FALSE)</f>
        <v>0</v>
      </c>
      <c r="F892" s="29">
        <v>5</v>
      </c>
      <c r="G892" s="34" t="s">
        <v>33</v>
      </c>
      <c r="H892" s="29" t="s">
        <v>424</v>
      </c>
      <c r="I892" s="141" t="s">
        <v>519</v>
      </c>
      <c r="J892" s="133">
        <v>0.422222222222222</v>
      </c>
    </row>
    <row r="893" spans="1:10">
      <c r="A893" s="31">
        <f>VLOOKUP($C893,SKU!$A:$I,3,FALSE)</f>
        <v>10102</v>
      </c>
      <c r="B893" s="31" t="str">
        <f>VLOOKUP($C893,SKU!$A:$I,2,FALSE)</f>
        <v>麒麟文创航海王第一弹-仙道天下</v>
      </c>
      <c r="C893" s="34" t="s">
        <v>364</v>
      </c>
      <c r="D893" s="29">
        <v>5</v>
      </c>
      <c r="E893" s="31">
        <f>D893*VLOOKUP(A893,Nhập入库!A:N,8,FALSE)</f>
        <v>65</v>
      </c>
      <c r="F893" s="29">
        <v>0</v>
      </c>
      <c r="G893" s="34" t="s">
        <v>426</v>
      </c>
      <c r="H893" s="29" t="s">
        <v>65</v>
      </c>
      <c r="I893" s="141" t="s">
        <v>519</v>
      </c>
      <c r="J893" s="133">
        <v>0.458333333333333</v>
      </c>
    </row>
    <row r="894" spans="1:10">
      <c r="A894" s="31">
        <f>VLOOKUP($C894,SKU!$A:$I,3,FALSE)</f>
        <v>10096</v>
      </c>
      <c r="B894" s="31" t="str">
        <f>VLOOKUP($C894,SKU!$A:$I,2,FALSE)</f>
        <v>至臻文创美少女战士</v>
      </c>
      <c r="C894" s="34" t="s">
        <v>347</v>
      </c>
      <c r="D894" s="29">
        <v>5</v>
      </c>
      <c r="E894" s="31">
        <f>D894*VLOOKUP(A894,Nhập入库!A:N,8,FALSE)</f>
        <v>70</v>
      </c>
      <c r="G894" s="34" t="s">
        <v>130</v>
      </c>
      <c r="H894" s="29" t="s">
        <v>424</v>
      </c>
      <c r="I894" s="141" t="s">
        <v>519</v>
      </c>
      <c r="J894" s="133">
        <v>0.0597222222222222</v>
      </c>
    </row>
    <row r="895" spans="1:10">
      <c r="A895" s="31">
        <f>VLOOKUP($C895,SKU!$A:$I,3,FALSE)</f>
        <v>10081</v>
      </c>
      <c r="B895" s="31" t="str">
        <f>VLOOKUP($C895,SKU!$A:$I,2,FALSE)</f>
        <v>京都社 美少女战士 · 第4弹</v>
      </c>
      <c r="C895" s="34" t="s">
        <v>307</v>
      </c>
      <c r="D895" s="29">
        <v>5</v>
      </c>
      <c r="E895" s="31">
        <f>D895*VLOOKUP(A895,Nhập入库!A:N,8,FALSE)</f>
        <v>65</v>
      </c>
      <c r="G895" s="29" t="s">
        <v>130</v>
      </c>
      <c r="H895" s="29" t="s">
        <v>424</v>
      </c>
      <c r="I895" s="141" t="s">
        <v>519</v>
      </c>
      <c r="J895" s="133">
        <v>0.0777777777777778</v>
      </c>
    </row>
    <row r="896" spans="1:10">
      <c r="A896" s="31">
        <f>VLOOKUP($C896,SKU!$A:$I,3,FALSE)</f>
        <v>10008</v>
      </c>
      <c r="B896" s="31" t="str">
        <f>VLOOKUP($C896,SKU!$A:$I,2,FALSE)</f>
        <v>XWork美少女战士-璀璨之梦</v>
      </c>
      <c r="C896" s="29" t="s">
        <v>55</v>
      </c>
      <c r="D896" s="29">
        <v>5</v>
      </c>
      <c r="E896" s="31">
        <f>D896*VLOOKUP(A896,Nhập入库!A:N,8,FALSE)</f>
        <v>50</v>
      </c>
      <c r="G896" s="29" t="s">
        <v>130</v>
      </c>
      <c r="H896" s="29" t="s">
        <v>424</v>
      </c>
      <c r="I896" s="141" t="s">
        <v>519</v>
      </c>
      <c r="J896" s="133">
        <v>0.559027777777778</v>
      </c>
    </row>
    <row r="897" spans="1:10">
      <c r="A897" s="31">
        <f>VLOOKUP($C897,SKU!$A:$I,3,FALSE)</f>
        <v>10039</v>
      </c>
      <c r="B897" s="31" t="str">
        <f>VLOOKUP($C897,SKU!$A:$I,2,FALSE)</f>
        <v>非凡航海王第五弹</v>
      </c>
      <c r="C897" s="29" t="s">
        <v>184</v>
      </c>
      <c r="D897" s="29">
        <v>24</v>
      </c>
      <c r="E897" s="31">
        <f>D897*VLOOKUP(A897,Nhập入库!A:N,8,FALSE)</f>
        <v>480</v>
      </c>
      <c r="G897" s="29" t="s">
        <v>98</v>
      </c>
      <c r="H897" s="29" t="s">
        <v>424</v>
      </c>
      <c r="I897" s="141" t="s">
        <v>519</v>
      </c>
      <c r="J897" s="133">
        <v>0.53125</v>
      </c>
    </row>
    <row r="898" spans="1:10">
      <c r="A898" s="31">
        <f>VLOOKUP($C898,SKU!$A:$I,3,FALSE)</f>
        <v>10098</v>
      </c>
      <c r="B898" s="31" t="str">
        <f>VLOOKUP($C898,SKU!$A:$I,2,FALSE)</f>
        <v>【念君集·双心占卜·耽美系列】三界情缘塔罗牌</v>
      </c>
      <c r="C898" s="29" t="s">
        <v>352</v>
      </c>
      <c r="D898" s="29">
        <v>10</v>
      </c>
      <c r="E898" s="31">
        <f>D898*VLOOKUP(A898,Nhập入库!A:N,8,FALSE)</f>
        <v>120</v>
      </c>
      <c r="G898" s="29" t="s">
        <v>433</v>
      </c>
      <c r="H898" s="29" t="s">
        <v>431</v>
      </c>
      <c r="I898" s="141" t="s">
        <v>519</v>
      </c>
      <c r="J898" s="133">
        <v>0.68125</v>
      </c>
    </row>
    <row r="899" spans="1:10">
      <c r="A899" s="31">
        <f>VLOOKUP($C899,SKU!$A:$I,3,FALSE)</f>
        <v>10039</v>
      </c>
      <c r="B899" s="31" t="str">
        <f>VLOOKUP($C899,SKU!$A:$I,2,FALSE)</f>
        <v>非凡航海王第五弹</v>
      </c>
      <c r="C899" s="29" t="s">
        <v>184</v>
      </c>
      <c r="D899" s="29">
        <v>24</v>
      </c>
      <c r="E899" s="31">
        <f>D899*VLOOKUP(A899,Nhập入库!A:N,8,FALSE)</f>
        <v>480</v>
      </c>
      <c r="G899" s="29" t="s">
        <v>78</v>
      </c>
      <c r="H899" s="29" t="s">
        <v>428</v>
      </c>
      <c r="I899" s="141" t="s">
        <v>519</v>
      </c>
      <c r="J899" s="133">
        <v>0.792361111111111</v>
      </c>
    </row>
    <row r="900" spans="1:10">
      <c r="A900" s="31">
        <f>VLOOKUP($C900,SKU!$A:$I,3,FALSE)</f>
        <v>10039</v>
      </c>
      <c r="B900" s="31" t="str">
        <f>VLOOKUP($C900,SKU!$A:$I,2,FALSE)</f>
        <v>非凡航海王第五弹</v>
      </c>
      <c r="C900" s="29" t="s">
        <v>184</v>
      </c>
      <c r="D900" s="29">
        <v>5</v>
      </c>
      <c r="E900" s="31">
        <f>D900*VLOOKUP(A900,Nhập入库!A:N,8,FALSE)</f>
        <v>100</v>
      </c>
      <c r="G900" s="29" t="s">
        <v>187</v>
      </c>
      <c r="H900" s="29" t="s">
        <v>431</v>
      </c>
      <c r="I900" s="141" t="s">
        <v>519</v>
      </c>
      <c r="J900" s="133">
        <v>0.923611111111111</v>
      </c>
    </row>
    <row r="901" spans="1:10">
      <c r="A901" s="31">
        <f>VLOOKUP($C901,SKU!$A:$I,3,FALSE)</f>
        <v>10080</v>
      </c>
      <c r="B901" s="31" t="str">
        <f>VLOOKUP($C901,SKU!$A:$I,2,FALSE)</f>
        <v>《小蘑菇》流荧版收藏卡-末世深渊</v>
      </c>
      <c r="C901" s="29" t="s">
        <v>305</v>
      </c>
      <c r="D901" s="29">
        <v>5</v>
      </c>
      <c r="E901" s="31">
        <f>D901*VLOOKUP(A901,Nhập入库!A:N,8,FALSE)</f>
        <v>50</v>
      </c>
      <c r="G901" s="29" t="s">
        <v>433</v>
      </c>
      <c r="H901" s="29" t="s">
        <v>431</v>
      </c>
      <c r="I901" s="141" t="s">
        <v>519</v>
      </c>
      <c r="J901" s="133">
        <v>0.821527777777778</v>
      </c>
    </row>
    <row r="902" spans="1:10">
      <c r="A902" s="31">
        <f>VLOOKUP($C902,SKU!$A:$I,3,FALSE)</f>
        <v>10069</v>
      </c>
      <c r="B902" s="31" t="str">
        <f>VLOOKUP($C902,SKU!$A:$I,2,FALSE)</f>
        <v>【艺画文创】鸣潮撕撕乐</v>
      </c>
      <c r="C902" s="29" t="s">
        <v>274</v>
      </c>
      <c r="D902" s="29">
        <v>60</v>
      </c>
      <c r="E902" s="31">
        <f>D902*VLOOKUP(A902,Nhập入库!A:N,8,FALSE)</f>
        <v>60</v>
      </c>
      <c r="G902" s="29" t="s">
        <v>78</v>
      </c>
      <c r="H902" s="29" t="s">
        <v>428</v>
      </c>
      <c r="I902" s="141" t="s">
        <v>519</v>
      </c>
      <c r="J902" s="133">
        <v>0.884722222222222</v>
      </c>
    </row>
    <row r="903" spans="1:10">
      <c r="A903" s="31">
        <f>VLOOKUP($C903,SKU!$A:$I,3,FALSE)</f>
        <v>10100</v>
      </c>
      <c r="B903" s="31" t="str">
        <f>VLOOKUP($C903,SKU!$A:$I,2,FALSE)</f>
        <v>《意卡文创海贼王》第二弹</v>
      </c>
      <c r="C903" s="29" t="s">
        <v>358</v>
      </c>
      <c r="D903" s="29">
        <v>5</v>
      </c>
      <c r="E903" s="31">
        <f>D903*VLOOKUP(A903,Nhập入库!A:N,8,FALSE)</f>
        <v>65</v>
      </c>
      <c r="G903" s="29" t="s">
        <v>78</v>
      </c>
      <c r="H903" s="29" t="s">
        <v>428</v>
      </c>
      <c r="I903" s="141" t="s">
        <v>519</v>
      </c>
      <c r="J903" s="133">
        <v>0.897916666666667</v>
      </c>
    </row>
    <row r="904" spans="1:10">
      <c r="A904" s="31">
        <f>VLOOKUP($C904,SKU!$A:$I,3,FALSE)</f>
        <v>10086</v>
      </c>
      <c r="B904" s="31" t="str">
        <f>VLOOKUP($C904,SKU!$A:$I,2,FALSE)</f>
        <v>【潮迷文创】名侦探柯南-危险排队-周边创意艺术色纸</v>
      </c>
      <c r="C904" s="29" t="s">
        <v>319</v>
      </c>
      <c r="E904" s="31">
        <f>D904*VLOOKUP(A904,Nhập入库!A:N,8,FALSE)</f>
        <v>0</v>
      </c>
      <c r="F904" s="29">
        <v>18</v>
      </c>
      <c r="G904" s="29" t="s">
        <v>90</v>
      </c>
      <c r="H904" s="29" t="s">
        <v>59</v>
      </c>
      <c r="I904" s="141" t="s">
        <v>519</v>
      </c>
      <c r="J904" s="133">
        <v>0.98125</v>
      </c>
    </row>
    <row r="905" spans="1:10">
      <c r="A905" s="31">
        <f>VLOOKUP($C905,SKU!$A:$I,3,FALSE)</f>
        <v>10102</v>
      </c>
      <c r="B905" s="31" t="str">
        <f>VLOOKUP($C905,SKU!$A:$I,2,FALSE)</f>
        <v>麒麟文创航海王第一弹-仙道天下</v>
      </c>
      <c r="C905" s="29" t="s">
        <v>364</v>
      </c>
      <c r="D905" s="29">
        <v>5</v>
      </c>
      <c r="E905" s="31">
        <f>D905*VLOOKUP(A905,Nhập入库!A:N,8,FALSE)</f>
        <v>65</v>
      </c>
      <c r="G905" s="29" t="s">
        <v>426</v>
      </c>
      <c r="H905" s="29" t="s">
        <v>65</v>
      </c>
      <c r="I905" s="141" t="s">
        <v>520</v>
      </c>
      <c r="J905" s="133">
        <v>0.407638888888889</v>
      </c>
    </row>
    <row r="906" spans="1:10">
      <c r="A906" s="31">
        <f>VLOOKUP($C906,SKU!$A:$I,3,FALSE)</f>
        <v>10087</v>
      </c>
      <c r="B906" s="31" t="str">
        <f>VLOOKUP($C906,SKU!$A:$I,2,FALSE)</f>
        <v>世界杯足球2026</v>
      </c>
      <c r="C906" s="34" t="s">
        <v>322</v>
      </c>
      <c r="D906" s="29">
        <v>5</v>
      </c>
      <c r="E906" s="31">
        <f>D906*VLOOKUP(A906,Nhập入库!A:N,8,FALSE)</f>
        <v>180</v>
      </c>
      <c r="G906" s="34" t="s">
        <v>130</v>
      </c>
      <c r="H906" s="34" t="s">
        <v>424</v>
      </c>
      <c r="I906" s="141" t="s">
        <v>520</v>
      </c>
      <c r="J906" s="133">
        <v>0.503472222222222</v>
      </c>
    </row>
    <row r="907" spans="1:10">
      <c r="A907" s="31">
        <f>VLOOKUP($C907,SKU!$A:$I,3,FALSE)</f>
        <v>10096</v>
      </c>
      <c r="B907" s="31" t="str">
        <f>VLOOKUP($C907,SKU!$A:$I,2,FALSE)</f>
        <v>至臻文创美少女战士</v>
      </c>
      <c r="C907" s="34" t="s">
        <v>347</v>
      </c>
      <c r="D907" s="29">
        <v>7</v>
      </c>
      <c r="E907" s="31">
        <f>D907*VLOOKUP(A907,Nhập入库!A:N,8,FALSE)</f>
        <v>98</v>
      </c>
      <c r="G907" s="34" t="s">
        <v>130</v>
      </c>
      <c r="H907" s="29" t="s">
        <v>424</v>
      </c>
      <c r="I907" s="141" t="s">
        <v>520</v>
      </c>
      <c r="J907" s="133">
        <v>0.05625</v>
      </c>
    </row>
    <row r="908" spans="1:10">
      <c r="A908" s="31">
        <f>VLOOKUP($C908,SKU!$A:$I,3,FALSE)</f>
        <v>10008</v>
      </c>
      <c r="B908" s="31" t="str">
        <f>VLOOKUP($C908,SKU!$A:$I,2,FALSE)</f>
        <v>XWork美少女战士-璀璨之梦</v>
      </c>
      <c r="C908" s="34" t="s">
        <v>55</v>
      </c>
      <c r="D908" s="29">
        <v>5</v>
      </c>
      <c r="E908" s="31">
        <f>D908*VLOOKUP(A908,Nhập入库!A:N,8,FALSE)</f>
        <v>50</v>
      </c>
      <c r="G908" s="34" t="s">
        <v>426</v>
      </c>
      <c r="H908" s="29" t="s">
        <v>65</v>
      </c>
      <c r="I908" s="141" t="s">
        <v>520</v>
      </c>
      <c r="J908" s="133">
        <v>0.558333333333333</v>
      </c>
    </row>
    <row r="909" spans="1:10">
      <c r="A909" s="31">
        <f>VLOOKUP($C909,SKU!$A:$I,3,FALSE)</f>
        <v>10080</v>
      </c>
      <c r="B909" s="31" t="str">
        <f>VLOOKUP($C909,SKU!$A:$I,2,FALSE)</f>
        <v>《小蘑菇》流荧版收藏卡-末世深渊</v>
      </c>
      <c r="C909" s="34" t="s">
        <v>305</v>
      </c>
      <c r="D909" s="29">
        <v>5</v>
      </c>
      <c r="E909" s="31">
        <f>D909*VLOOKUP(A909,Nhập入库!A:N,8,FALSE)</f>
        <v>50</v>
      </c>
      <c r="G909" s="34" t="s">
        <v>422</v>
      </c>
      <c r="H909" s="29" t="s">
        <v>65</v>
      </c>
      <c r="I909" s="141" t="s">
        <v>520</v>
      </c>
      <c r="J909" s="133">
        <v>0.569444444444444</v>
      </c>
    </row>
    <row r="910" spans="1:10">
      <c r="A910" s="31">
        <f>VLOOKUP($C910,SKU!$A:$I,3,FALSE)</f>
        <v>10006</v>
      </c>
      <c r="B910" s="31" t="str">
        <f>VLOOKUP($C910,SKU!$A:$I,2,FALSE)</f>
        <v>云映文化「云之境の夏」第二弹·宫崎骏珍藏卡牌</v>
      </c>
      <c r="C910" s="29" t="s">
        <v>43</v>
      </c>
      <c r="D910" s="29">
        <v>5</v>
      </c>
      <c r="E910" s="31">
        <f>D910*VLOOKUP(A910,Nhập入库!A:N,8,FALSE)</f>
        <v>65</v>
      </c>
      <c r="G910" s="29" t="s">
        <v>425</v>
      </c>
      <c r="H910" s="29" t="s">
        <v>424</v>
      </c>
      <c r="I910" s="156" t="s">
        <v>435</v>
      </c>
      <c r="J910" s="133">
        <v>0.579861111111111</v>
      </c>
    </row>
    <row r="911" spans="1:10">
      <c r="A911" s="31">
        <f>VLOOKUP($C911,SKU!$A:$I,3,FALSE)</f>
        <v>10080</v>
      </c>
      <c r="B911" s="31" t="str">
        <f>VLOOKUP($C911,SKU!$A:$I,2,FALSE)</f>
        <v>《小蘑菇》流荧版收藏卡-末世深渊</v>
      </c>
      <c r="C911" s="29" t="s">
        <v>305</v>
      </c>
      <c r="D911" s="34">
        <v>11</v>
      </c>
      <c r="E911" s="31">
        <f>D911*VLOOKUP(A911,Nhập入库!A:N,8,FALSE)</f>
        <v>110</v>
      </c>
      <c r="G911" s="34" t="s">
        <v>422</v>
      </c>
      <c r="H911" s="29" t="s">
        <v>65</v>
      </c>
      <c r="I911" s="141" t="s">
        <v>520</v>
      </c>
      <c r="J911" s="133">
        <v>0.648611111111111</v>
      </c>
    </row>
    <row r="912" spans="1:10">
      <c r="A912" s="31">
        <f>VLOOKUP($C912,SKU!$A:$I,3,FALSE)</f>
        <v>10086</v>
      </c>
      <c r="B912" s="31" t="str">
        <f>VLOOKUP($C912,SKU!$A:$I,2,FALSE)</f>
        <v>【潮迷文创】名侦探柯南-危险排队-周边创意艺术色纸</v>
      </c>
      <c r="C912" s="29" t="s">
        <v>319</v>
      </c>
      <c r="D912" s="34">
        <v>2</v>
      </c>
      <c r="E912" s="31">
        <f>D912*VLOOKUP(A912,Nhập入库!A:N,8,FALSE)</f>
        <v>2</v>
      </c>
      <c r="G912" s="34" t="s">
        <v>429</v>
      </c>
      <c r="H912" s="29" t="s">
        <v>428</v>
      </c>
      <c r="I912" s="141" t="s">
        <v>520</v>
      </c>
      <c r="J912" s="133">
        <v>0.731944444444444</v>
      </c>
    </row>
    <row r="913" spans="1:10">
      <c r="A913" s="31">
        <f>VLOOKUP($C913,SKU!$A:$I,3,FALSE)</f>
        <v>10039</v>
      </c>
      <c r="B913" s="31" t="str">
        <f>VLOOKUP($C913,SKU!$A:$I,2,FALSE)</f>
        <v>非凡航海王第五弹</v>
      </c>
      <c r="C913" s="29" t="s">
        <v>184</v>
      </c>
      <c r="E913" s="31">
        <f>D913*VLOOKUP(A913,Nhập入库!A:N,8,FALSE)</f>
        <v>0</v>
      </c>
      <c r="F913" s="29">
        <v>125</v>
      </c>
      <c r="G913" s="29" t="s">
        <v>432</v>
      </c>
      <c r="H913" s="29" t="s">
        <v>431</v>
      </c>
      <c r="I913" s="141" t="s">
        <v>519</v>
      </c>
      <c r="J913" s="133">
        <v>0.761111111111111</v>
      </c>
    </row>
    <row r="914" spans="1:10">
      <c r="A914" s="31">
        <f>VLOOKUP($C914,SKU!$A:$I,3,FALSE)</f>
        <v>10062</v>
      </c>
      <c r="B914" s="31" t="str">
        <f>VLOOKUP($C914,SKU!$A:$I,2,FALSE)</f>
        <v>Mobile Legends: Bang Bang-Collectible Cards-Hand of Destiny-001A-SEA</v>
      </c>
      <c r="C914" s="29" t="s">
        <v>255</v>
      </c>
      <c r="D914" s="29">
        <v>5</v>
      </c>
      <c r="E914" s="31">
        <f>D914*VLOOKUP(A914,Nhập入库!A:N,8,FALSE)</f>
        <v>100</v>
      </c>
      <c r="G914" s="29" t="s">
        <v>430</v>
      </c>
      <c r="H914" s="29" t="s">
        <v>431</v>
      </c>
      <c r="I914" s="141" t="s">
        <v>519</v>
      </c>
      <c r="J914" s="133">
        <v>0.988194444444444</v>
      </c>
    </row>
    <row r="915" spans="1:10">
      <c r="A915" s="31">
        <f>VLOOKUP($C915,SKU!$A:$I,3,FALSE)</f>
        <v>10093</v>
      </c>
      <c r="B915" s="31" t="str">
        <f>VLOOKUP($C915,SKU!$A:$I,2,FALSE)</f>
        <v>星绘社新海诚系列卡牌</v>
      </c>
      <c r="C915" s="29" t="s">
        <v>338</v>
      </c>
      <c r="D915" s="34">
        <v>5</v>
      </c>
      <c r="E915" s="31">
        <f>D915*VLOOKUP(A915,Nhập入库!A:N,8,FALSE)</f>
        <v>65</v>
      </c>
      <c r="G915" s="34" t="s">
        <v>429</v>
      </c>
      <c r="H915" s="29" t="s">
        <v>428</v>
      </c>
      <c r="I915" s="141" t="s">
        <v>520</v>
      </c>
      <c r="J915" s="133">
        <v>0.970138888888889</v>
      </c>
    </row>
    <row r="916" spans="1:10">
      <c r="A916" s="31">
        <f>VLOOKUP($C916,SKU!$A:$I,3,FALSE)</f>
        <v>10106</v>
      </c>
      <c r="B916" s="31" t="str">
        <f>VLOOKUP($C916,SKU!$A:$I,2,FALSE)</f>
        <v>云映文化时光绘卷·宫崎骏珍藏卡牌</v>
      </c>
      <c r="C916" s="29" t="s">
        <v>374</v>
      </c>
      <c r="D916" s="34">
        <v>5</v>
      </c>
      <c r="E916" s="31">
        <f>D916*VLOOKUP(A916,Nhập入库!A:N,8,FALSE)</f>
        <v>65</v>
      </c>
      <c r="G916" s="29" t="s">
        <v>90</v>
      </c>
      <c r="H916" s="29" t="s">
        <v>59</v>
      </c>
      <c r="I916" s="141" t="s">
        <v>521</v>
      </c>
      <c r="J916" s="133">
        <v>0.886805555555556</v>
      </c>
    </row>
    <row r="917" spans="1:10">
      <c r="A917" s="31">
        <f>VLOOKUP($C917,SKU!$A:$I,3,FALSE)</f>
        <v>10106</v>
      </c>
      <c r="B917" s="31" t="str">
        <f>VLOOKUP($C917,SKU!$A:$I,2,FALSE)</f>
        <v>云映文化时光绘卷·宫崎骏珍藏卡牌</v>
      </c>
      <c r="C917" s="29" t="s">
        <v>374</v>
      </c>
      <c r="D917" s="34">
        <v>5</v>
      </c>
      <c r="E917" s="31">
        <f>D917*VLOOKUP(A917,Nhập入库!A:N,8,FALSE)</f>
        <v>65</v>
      </c>
      <c r="G917" s="29" t="s">
        <v>90</v>
      </c>
      <c r="H917" s="29" t="s">
        <v>59</v>
      </c>
      <c r="I917" s="141" t="s">
        <v>521</v>
      </c>
      <c r="J917" s="133">
        <v>0.0118055555555556</v>
      </c>
    </row>
    <row r="918" spans="1:10">
      <c r="A918" s="31">
        <f>VLOOKUP($C918,SKU!$A:$I,3,FALSE)</f>
        <v>10106</v>
      </c>
      <c r="B918" s="31" t="str">
        <f>VLOOKUP($C918,SKU!$A:$I,2,FALSE)</f>
        <v>云映文化时光绘卷·宫崎骏珍藏卡牌</v>
      </c>
      <c r="C918" s="29" t="s">
        <v>374</v>
      </c>
      <c r="D918" s="34">
        <v>5</v>
      </c>
      <c r="E918" s="31">
        <f>D918*VLOOKUP(A918,Nhập入库!A:N,8,FALSE)</f>
        <v>65</v>
      </c>
      <c r="G918" s="29" t="s">
        <v>90</v>
      </c>
      <c r="H918" s="29" t="s">
        <v>59</v>
      </c>
      <c r="I918" s="141" t="s">
        <v>521</v>
      </c>
      <c r="J918" s="133">
        <v>0.03125</v>
      </c>
    </row>
    <row r="919" spans="1:10">
      <c r="A919" s="31">
        <f>VLOOKUP($C919,SKU!$A:$I,3,FALSE)</f>
        <v>10008</v>
      </c>
      <c r="B919" s="31" t="str">
        <f>VLOOKUP($C919,SKU!$A:$I,2,FALSE)</f>
        <v>XWork美少女战士-璀璨之梦</v>
      </c>
      <c r="C919" s="29" t="s">
        <v>55</v>
      </c>
      <c r="D919" s="34">
        <v>6</v>
      </c>
      <c r="E919" s="31">
        <f>D919*VLOOKUP(A919,Nhập入库!A:N,8,FALSE)</f>
        <v>60</v>
      </c>
      <c r="G919" s="29" t="s">
        <v>426</v>
      </c>
      <c r="H919" s="29" t="s">
        <v>65</v>
      </c>
      <c r="I919" s="141" t="s">
        <v>521</v>
      </c>
      <c r="J919" s="133">
        <v>0.488888888888889</v>
      </c>
    </row>
    <row r="920" spans="1:10">
      <c r="A920" s="31">
        <f>VLOOKUP($C920,SKU!$A:$I,3,FALSE)</f>
        <v>10092</v>
      </c>
      <c r="B920" s="31" t="str">
        <f>VLOOKUP($C920,SKU!$A:$I,2,FALSE)</f>
        <v>紫薇文创×魔卡少女樱·撕撕乐</v>
      </c>
      <c r="C920" s="29" t="s">
        <v>335</v>
      </c>
      <c r="D920" s="34">
        <v>182</v>
      </c>
      <c r="E920" s="31">
        <f>D920*VLOOKUP(A920,Nhập入库!A:N,8,FALSE)</f>
        <v>546</v>
      </c>
      <c r="G920" s="29" t="s">
        <v>422</v>
      </c>
      <c r="H920" s="29" t="s">
        <v>65</v>
      </c>
      <c r="I920" s="141" t="s">
        <v>521</v>
      </c>
      <c r="J920" s="133">
        <v>0.488888888888889</v>
      </c>
    </row>
    <row r="921" spans="1:10">
      <c r="A921" s="31">
        <f>VLOOKUP($C921,SKU!$A:$I,3,FALSE)</f>
        <v>10102</v>
      </c>
      <c r="B921" s="31" t="str">
        <f>VLOOKUP($C921,SKU!$A:$I,2,FALSE)</f>
        <v>麒麟文创航海王第一弹-仙道天下</v>
      </c>
      <c r="C921" s="29" t="s">
        <v>364</v>
      </c>
      <c r="D921" s="34">
        <v>2</v>
      </c>
      <c r="E921" s="31">
        <f>D921*VLOOKUP(A921,Nhập入库!A:N,8,FALSE)</f>
        <v>26</v>
      </c>
      <c r="G921" s="29" t="s">
        <v>426</v>
      </c>
      <c r="H921" s="29" t="s">
        <v>65</v>
      </c>
      <c r="I921" s="141" t="s">
        <v>521</v>
      </c>
      <c r="J921" s="155">
        <v>0.5</v>
      </c>
    </row>
    <row r="922" spans="1:10">
      <c r="A922" s="31">
        <f>VLOOKUP($C922,SKU!$A:$I,3,FALSE)</f>
        <v>10096</v>
      </c>
      <c r="B922" s="31" t="str">
        <f>VLOOKUP($C922,SKU!$A:$I,2,FALSE)</f>
        <v>至臻文创美少女战士</v>
      </c>
      <c r="C922" s="29" t="s">
        <v>347</v>
      </c>
      <c r="D922" s="34">
        <v>5</v>
      </c>
      <c r="E922" s="31">
        <f>D922*VLOOKUP(A922,Nhập入库!A:N,8,FALSE)</f>
        <v>70</v>
      </c>
      <c r="G922" s="29" t="s">
        <v>429</v>
      </c>
      <c r="H922" s="29" t="s">
        <v>428</v>
      </c>
      <c r="I922" s="141" t="s">
        <v>521</v>
      </c>
      <c r="J922" s="155">
        <v>0.782638888888889</v>
      </c>
    </row>
    <row r="923" spans="1:10">
      <c r="A923" s="31">
        <f>VLOOKUP($C923,SKU!$A:$I,3,FALSE)</f>
        <v>10093</v>
      </c>
      <c r="B923" s="31" t="str">
        <f>VLOOKUP($C923,SKU!$A:$I,2,FALSE)</f>
        <v>星绘社新海诚系列卡牌</v>
      </c>
      <c r="C923" s="29" t="s">
        <v>338</v>
      </c>
      <c r="D923" s="34">
        <v>5</v>
      </c>
      <c r="E923" s="31">
        <f>D923*VLOOKUP(A923,Nhập入库!A:N,8,FALSE)</f>
        <v>65</v>
      </c>
      <c r="G923" s="29" t="s">
        <v>430</v>
      </c>
      <c r="H923" s="29" t="s">
        <v>431</v>
      </c>
      <c r="I923" s="141" t="s">
        <v>521</v>
      </c>
      <c r="J923" s="155">
        <v>0.761805555555556</v>
      </c>
    </row>
    <row r="924" spans="1:10">
      <c r="A924" s="31">
        <f>VLOOKUP($C924,SKU!$A:$I,3,FALSE)</f>
        <v>10093</v>
      </c>
      <c r="B924" s="31" t="str">
        <f>VLOOKUP($C924,SKU!$A:$I,2,FALSE)</f>
        <v>星绘社新海诚系列卡牌</v>
      </c>
      <c r="C924" s="29" t="s">
        <v>338</v>
      </c>
      <c r="D924" s="34">
        <v>4</v>
      </c>
      <c r="E924" s="31">
        <f>D924*VLOOKUP(A924,Nhập入库!A:N,8,FALSE)</f>
        <v>52</v>
      </c>
      <c r="G924" s="29" t="s">
        <v>430</v>
      </c>
      <c r="H924" s="29" t="s">
        <v>431</v>
      </c>
      <c r="I924" s="141" t="s">
        <v>521</v>
      </c>
      <c r="J924" s="155">
        <v>0.836111111111111</v>
      </c>
    </row>
    <row r="925" ht="14.25" customHeight="1"/>
  </sheetData>
  <sheetProtection sheet="1" formatCells="0" formatColumns="0" formatRows="0" insertRows="0" insertColumns="0" insertHyperlinks="0" deleteColumns="0" deleteRows="0" sort="0" autoFilter="0" pivotTables="0"/>
  <protectedRanges>
    <protectedRange sqref="$A1:$XFD330" name="Range1"/>
    <protectedRange sqref="$A331:$XFD341" name="Range2"/>
    <protectedRange sqref="$A342:$XFD363" name="Range3"/>
    <protectedRange sqref="$A364:$XFD443" name="Range4"/>
    <protectedRange sqref="$A444:$XFD456" name="Range5"/>
    <protectedRange sqref="$A457:$XFD541" name="Range6"/>
    <protectedRange sqref="$A542:$XFD552" name="Range7"/>
    <protectedRange sqref="$A553:$XFD595" name="Range8"/>
    <protectedRange sqref="$A596:$XFD637" name="Range9"/>
    <protectedRange sqref="$A638:$XFD661" name="Range10"/>
    <protectedRange sqref="$A662:$XFD669" name="Range11"/>
    <protectedRange sqref="$A670:$XFD711" name="Range12"/>
    <protectedRange sqref="$A712:$XFD713" name="Range13"/>
    <protectedRange sqref="$A714:$XFD730" name="Range14"/>
    <protectedRange sqref="$A731:$XFD778" name="Range15"/>
    <protectedRange sqref="$A779:$XFD832" name="Range16"/>
    <protectedRange sqref="$A833:$XFD833" name="Range17"/>
    <protectedRange sqref="$A834:$XFD904" name="Range18"/>
  </protectedRanges>
  <dataValidations count="4">
    <dataValidation type="list" allowBlank="1" showInputMessage="1" showErrorMessage="1" sqref="C191 C202 C204:C205 C209:C211">
      <formula1>英文_越文名_Tên_SP</formula1>
    </dataValidation>
    <dataValidation type="list" allowBlank="1" showInputMessage="1" showErrorMessage="1" errorTitle="错误提示" error="请输入下拉列表中的值" sqref="C203 C1:C190 C192:C201 C206:C208 C212:C1048576">
      <formula1>英文_越文名_Tên_SP</formula1>
    </dataValidation>
    <dataValidation type="list" allowBlank="1" showInputMessage="1" showErrorMessage="1" sqref="G2:G1048576">
      <formula1>主播</formula1>
    </dataValidation>
    <dataValidation type="list" allowBlank="1" showInputMessage="1" showErrorMessage="1" sqref="H2:H1048576">
      <formula1>运营</formula1>
    </dataValidation>
  </dataValidations>
  <pageMargins left="0.75" right="0.75" top="1" bottom="1" header="0.5" footer="0.5"/>
  <headerFooter/>
  <ignoredErrors>
    <ignoredError sqref="C1" listDataValidation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1"/>
  <sheetViews>
    <sheetView workbookViewId="0">
      <pane ySplit="1" topLeftCell="A140" activePane="bottomLeft" state="frozen"/>
      <selection/>
      <selection pane="bottomLeft" activeCell="A3" sqref="A3:K3"/>
    </sheetView>
  </sheetViews>
  <sheetFormatPr defaultColWidth="8.70833333333333" defaultRowHeight="15"/>
  <cols>
    <col min="1" max="1" width="13" style="1" customWidth="1"/>
    <col min="2" max="2" width="43.2833333333333" style="1" customWidth="1"/>
    <col min="3" max="3" width="36.375" style="1" customWidth="1"/>
    <col min="4" max="4" width="10.1416666666667" style="1" customWidth="1"/>
    <col min="5" max="5" width="17.375" style="1" customWidth="1"/>
    <col min="6" max="6" width="9.56666666666667" style="1" customWidth="1"/>
    <col min="7" max="7" width="16.5" style="1" customWidth="1"/>
    <col min="8" max="8" width="15" style="1" customWidth="1"/>
    <col min="9" max="9" width="14" style="1" customWidth="1"/>
    <col min="10" max="10" width="9.85833333333333" style="1" customWidth="1"/>
    <col min="11" max="16384" width="8.70833333333333" style="2"/>
  </cols>
  <sheetData>
    <row r="1" ht="30" customHeight="1" spans="1:10">
      <c r="A1" s="3" t="s">
        <v>386</v>
      </c>
      <c r="B1" s="3" t="s">
        <v>387</v>
      </c>
      <c r="C1" s="3" t="s">
        <v>413</v>
      </c>
      <c r="D1" s="4" t="s">
        <v>522</v>
      </c>
      <c r="E1" s="137" t="s">
        <v>523</v>
      </c>
      <c r="F1" s="3" t="s">
        <v>416</v>
      </c>
      <c r="G1" s="137" t="s">
        <v>524</v>
      </c>
      <c r="H1" s="3" t="s">
        <v>525</v>
      </c>
      <c r="I1" s="3" t="s">
        <v>526</v>
      </c>
      <c r="J1" s="3" t="s">
        <v>527</v>
      </c>
    </row>
    <row r="2" spans="1:10">
      <c r="A2" s="9">
        <f>VLOOKUP($C2,SKU!$A:$I,3,FALSE)</f>
        <v>10013</v>
      </c>
      <c r="B2" s="9" t="str">
        <f>VLOOKUP($C2,SKU!$A:$I,2,FALSE)</f>
        <v>皇卡 × 鬼灭《血月之契》篇决战无限城收藏卡</v>
      </c>
      <c r="C2" s="6" t="s">
        <v>79</v>
      </c>
      <c r="D2" s="6"/>
      <c r="E2" s="9">
        <f>D2*VLOOKUP(A2,Nhập入库!A:N,8,FALSE)</f>
        <v>0</v>
      </c>
      <c r="F2" s="6">
        <v>36</v>
      </c>
      <c r="G2" s="6" t="s">
        <v>430</v>
      </c>
      <c r="H2" s="6" t="s">
        <v>428</v>
      </c>
      <c r="I2" s="10" t="s">
        <v>459</v>
      </c>
      <c r="J2" s="138">
        <v>0.783333333333333</v>
      </c>
    </row>
    <row r="3" spans="1:10">
      <c r="A3" s="9">
        <f>VLOOKUP($C3,SKU!$A:$I,3,FALSE)</f>
        <v>10013</v>
      </c>
      <c r="B3" s="9" t="str">
        <f>VLOOKUP($C3,SKU!$A:$I,2,FALSE)</f>
        <v>皇卡 × 鬼灭《血月之契》篇决战无限城收藏卡</v>
      </c>
      <c r="C3" s="6" t="s">
        <v>79</v>
      </c>
      <c r="D3" s="6">
        <v>3</v>
      </c>
      <c r="E3" s="9">
        <f>D3*VLOOKUP(A3,Nhập入库!A:N,8,FALSE)</f>
        <v>36</v>
      </c>
      <c r="F3" s="6">
        <v>44</v>
      </c>
      <c r="G3" s="6" t="s">
        <v>430</v>
      </c>
      <c r="H3" s="6" t="s">
        <v>423</v>
      </c>
      <c r="I3" s="10" t="s">
        <v>528</v>
      </c>
      <c r="J3" s="138">
        <v>0.416666666666667</v>
      </c>
    </row>
    <row r="4" spans="1:10">
      <c r="A4" s="9">
        <f>VLOOKUP($C4,SKU!$A:$I,3,FALSE)</f>
        <v>10039</v>
      </c>
      <c r="B4" s="9" t="str">
        <f>VLOOKUP($C4,SKU!$A:$I,2,FALSE)</f>
        <v>非凡航海王第五弹</v>
      </c>
      <c r="C4" s="6" t="s">
        <v>184</v>
      </c>
      <c r="D4" s="6">
        <v>5</v>
      </c>
      <c r="E4" s="9">
        <f>D4*VLOOKUP(A4,Nhập入库!A:N,8,FALSE)</f>
        <v>100</v>
      </c>
      <c r="F4" s="6">
        <v>21</v>
      </c>
      <c r="G4" s="6" t="s">
        <v>69</v>
      </c>
      <c r="H4" s="6" t="s">
        <v>424</v>
      </c>
      <c r="I4" s="10" t="s">
        <v>459</v>
      </c>
      <c r="J4" s="138">
        <v>0.372222222222222</v>
      </c>
    </row>
    <row r="5" spans="1:10">
      <c r="A5" s="9">
        <f>VLOOKUP($C5,SKU!$A:$I,3,FALSE)</f>
        <v>10003</v>
      </c>
      <c r="B5" s="9" t="str">
        <f>VLOOKUP($C5,SKU!$A:$I,2,FALSE)</f>
        <v>DUO米全新出品鬼灭之刃-柱合会议篇第二弹</v>
      </c>
      <c r="C5" s="6" t="s">
        <v>24</v>
      </c>
      <c r="D5" s="6">
        <v>5</v>
      </c>
      <c r="E5" s="9">
        <f>D5*VLOOKUP(A5,Nhập入库!A:N,8,FALSE)</f>
        <v>65</v>
      </c>
      <c r="F5" s="6"/>
      <c r="G5" s="6" t="s">
        <v>114</v>
      </c>
      <c r="H5" s="6" t="s">
        <v>431</v>
      </c>
      <c r="I5" s="10" t="s">
        <v>528</v>
      </c>
      <c r="J5" s="138">
        <v>0.888888888888889</v>
      </c>
    </row>
    <row r="6" spans="1:10">
      <c r="A6" s="9">
        <f>VLOOKUP($C6,SKU!$A:$I,3,FALSE)</f>
        <v>10003</v>
      </c>
      <c r="B6" s="9" t="str">
        <f>VLOOKUP($C6,SKU!$A:$I,2,FALSE)</f>
        <v>DUO米全新出品鬼灭之刃-柱合会议篇第二弹</v>
      </c>
      <c r="C6" s="6" t="s">
        <v>24</v>
      </c>
      <c r="D6" s="6">
        <v>5</v>
      </c>
      <c r="E6" s="9">
        <f>D6*VLOOKUP(A6,Nhập入库!A:N,8,FALSE)</f>
        <v>65</v>
      </c>
      <c r="F6" s="6"/>
      <c r="G6" s="6" t="s">
        <v>425</v>
      </c>
      <c r="H6" s="6" t="s">
        <v>428</v>
      </c>
      <c r="I6" s="10" t="s">
        <v>529</v>
      </c>
      <c r="J6" s="138">
        <v>0.954861111111111</v>
      </c>
    </row>
    <row r="7" spans="1:10">
      <c r="A7" s="9">
        <f>VLOOKUP($C7,SKU!$A:$I,3,FALSE)</f>
        <v>10003</v>
      </c>
      <c r="B7" s="9" t="str">
        <f>VLOOKUP($C7,SKU!$A:$I,2,FALSE)</f>
        <v>DUO米全新出品鬼灭之刃-柱合会议篇第二弹</v>
      </c>
      <c r="C7" s="6" t="s">
        <v>24</v>
      </c>
      <c r="D7" s="6">
        <v>1</v>
      </c>
      <c r="E7" s="9">
        <f>D7*VLOOKUP(A7,Nhập入库!A:N,8,FALSE)</f>
        <v>13</v>
      </c>
      <c r="F7" s="6">
        <v>13</v>
      </c>
      <c r="G7" s="6" t="s">
        <v>430</v>
      </c>
      <c r="H7" s="6" t="s">
        <v>424</v>
      </c>
      <c r="I7" s="10" t="s">
        <v>529</v>
      </c>
      <c r="J7" s="138">
        <v>0.636111111111111</v>
      </c>
    </row>
    <row r="8" spans="1:10">
      <c r="A8" s="9">
        <f>VLOOKUP($C8,SKU!$A:$I,3,FALSE)</f>
        <v>10021</v>
      </c>
      <c r="B8" s="9" t="str">
        <f>VLOOKUP($C8,SKU!$A:$I,2,FALSE)</f>
        <v>新谷动漫名侦探柯南·仲夏夜之恋邮票集</v>
      </c>
      <c r="C8" s="6" t="s">
        <v>111</v>
      </c>
      <c r="D8" s="6">
        <v>4</v>
      </c>
      <c r="E8" s="9">
        <f>D8*VLOOKUP(A8,Nhập入库!A:N,8,FALSE)</f>
        <v>20</v>
      </c>
      <c r="F8" s="6"/>
      <c r="G8" s="6" t="s">
        <v>33</v>
      </c>
      <c r="H8" s="6" t="s">
        <v>428</v>
      </c>
      <c r="I8" s="10" t="s">
        <v>530</v>
      </c>
      <c r="J8" s="138">
        <v>0.730555555555556</v>
      </c>
    </row>
    <row r="9" spans="1:10">
      <c r="A9" s="9">
        <f>VLOOKUP($C9,SKU!$A:$I,3,FALSE)</f>
        <v>10003</v>
      </c>
      <c r="B9" s="9" t="str">
        <f>VLOOKUP($C9,SKU!$A:$I,2,FALSE)</f>
        <v>DUO米全新出品鬼灭之刃-柱合会议篇第二弹</v>
      </c>
      <c r="C9" s="6" t="s">
        <v>24</v>
      </c>
      <c r="D9" s="6">
        <v>4</v>
      </c>
      <c r="E9" s="9">
        <f>D9*VLOOKUP(A9,Nhập入库!A:N,8,FALSE)</f>
        <v>52</v>
      </c>
      <c r="F9" s="6"/>
      <c r="G9" s="6" t="s">
        <v>114</v>
      </c>
      <c r="H9" s="6" t="s">
        <v>431</v>
      </c>
      <c r="I9" s="10" t="s">
        <v>530</v>
      </c>
      <c r="J9" s="138">
        <v>0.815972222222222</v>
      </c>
    </row>
    <row r="10" spans="1:10">
      <c r="A10" s="9">
        <f>VLOOKUP($C10,SKU!$A:$I,3,FALSE)</f>
        <v>10003</v>
      </c>
      <c r="B10" s="9" t="str">
        <f>VLOOKUP($C10,SKU!$A:$I,2,FALSE)</f>
        <v>DUO米全新出品鬼灭之刃-柱合会议篇第二弹</v>
      </c>
      <c r="C10" s="6" t="s">
        <v>24</v>
      </c>
      <c r="D10" s="6"/>
      <c r="E10" s="9">
        <f>D10*VLOOKUP(A10,Nhập入库!A:N,8,FALSE)</f>
        <v>0</v>
      </c>
      <c r="F10" s="6">
        <v>85</v>
      </c>
      <c r="G10" s="6" t="s">
        <v>33</v>
      </c>
      <c r="H10" s="6" t="s">
        <v>428</v>
      </c>
      <c r="I10" s="10" t="s">
        <v>531</v>
      </c>
      <c r="J10" s="138">
        <v>0.782638888888889</v>
      </c>
    </row>
    <row r="11" spans="1:10">
      <c r="A11" s="9">
        <f>VLOOKUP($C11,SKU!$A:$I,3,FALSE)</f>
        <v>10010</v>
      </c>
      <c r="B11" s="9" t="str">
        <f>VLOOKUP($C11,SKU!$A:$I,2,FALSE)</f>
        <v>玩的入迷-魔卡少女樱第一弹—樱之绮遇</v>
      </c>
      <c r="C11" s="6" t="s">
        <v>66</v>
      </c>
      <c r="D11" s="6">
        <v>5</v>
      </c>
      <c r="E11" s="9">
        <f>D11*VLOOKUP(A11,Nhập入库!A:N,8,FALSE)</f>
        <v>65</v>
      </c>
      <c r="F11" s="6">
        <v>24</v>
      </c>
      <c r="G11" s="6" t="s">
        <v>422</v>
      </c>
      <c r="H11" s="6" t="s">
        <v>431</v>
      </c>
      <c r="I11" s="10" t="s">
        <v>531</v>
      </c>
      <c r="J11" s="138">
        <v>0.974305555555556</v>
      </c>
    </row>
    <row r="12" spans="1:10">
      <c r="A12" s="9">
        <f>VLOOKUP($C12,SKU!$A:$I,3,FALSE)</f>
        <v>10003</v>
      </c>
      <c r="B12" s="9" t="str">
        <f>VLOOKUP($C12,SKU!$A:$I,2,FALSE)</f>
        <v>DUO米全新出品鬼灭之刃-柱合会议篇第二弹</v>
      </c>
      <c r="C12" s="6" t="s">
        <v>24</v>
      </c>
      <c r="D12" s="6">
        <v>1</v>
      </c>
      <c r="E12" s="9">
        <f>D12*VLOOKUP(A12,Nhập入库!A:N,8,FALSE)</f>
        <v>13</v>
      </c>
      <c r="F12" s="6">
        <v>13</v>
      </c>
      <c r="G12" s="6" t="s">
        <v>429</v>
      </c>
      <c r="H12" s="6" t="s">
        <v>424</v>
      </c>
      <c r="I12" s="10" t="s">
        <v>532</v>
      </c>
      <c r="J12" s="138">
        <v>0.375</v>
      </c>
    </row>
    <row r="13" spans="1:10">
      <c r="A13" s="9">
        <f>VLOOKUP($C13,SKU!$A:$I,3,FALSE)</f>
        <v>10003</v>
      </c>
      <c r="B13" s="9" t="str">
        <f>VLOOKUP($C13,SKU!$A:$I,2,FALSE)</f>
        <v>DUO米全新出品鬼灭之刃-柱合会议篇第二弹</v>
      </c>
      <c r="C13" s="10" t="s">
        <v>24</v>
      </c>
      <c r="D13" s="6">
        <v>1</v>
      </c>
      <c r="E13" s="9">
        <f>D13*VLOOKUP(A13,Nhập入库!A:N,8,FALSE)</f>
        <v>13</v>
      </c>
      <c r="F13" s="6">
        <v>13</v>
      </c>
      <c r="G13" s="6" t="s">
        <v>430</v>
      </c>
      <c r="H13" s="6" t="s">
        <v>424</v>
      </c>
      <c r="I13" s="10" t="s">
        <v>529</v>
      </c>
      <c r="J13" s="138">
        <v>0.375</v>
      </c>
    </row>
    <row r="14" spans="1:10">
      <c r="A14" s="9">
        <f>VLOOKUP($C14,SKU!$A:$I,3,FALSE)</f>
        <v>10044</v>
      </c>
      <c r="B14" s="9" t="str">
        <f>VLOOKUP($C14,SKU!$A:$I,2,FALSE)</f>
        <v>源宇宙原神.空月の歌·周边CD票根邮票组合套装</v>
      </c>
      <c r="C14" s="6" t="s">
        <v>202</v>
      </c>
      <c r="D14" s="6">
        <v>1</v>
      </c>
      <c r="E14" s="9">
        <f>D14*VLOOKUP(A14,Nhập入库!A:N,8,FALSE)</f>
        <v>1</v>
      </c>
      <c r="F14" s="6"/>
      <c r="G14" s="6" t="s">
        <v>426</v>
      </c>
      <c r="H14" s="6" t="s">
        <v>424</v>
      </c>
      <c r="I14" s="10" t="s">
        <v>533</v>
      </c>
      <c r="J14" s="138">
        <v>0.375</v>
      </c>
    </row>
    <row r="15" spans="1:10">
      <c r="A15" s="9">
        <f>VLOOKUP($C15,SKU!$A:$I,3,FALSE)</f>
        <v>10003</v>
      </c>
      <c r="B15" s="9" t="str">
        <f>VLOOKUP($C15,SKU!$A:$I,2,FALSE)</f>
        <v>DUO米全新出品鬼灭之刃-柱合会议篇第二弹</v>
      </c>
      <c r="C15" s="6" t="s">
        <v>24</v>
      </c>
      <c r="D15" s="6"/>
      <c r="E15" s="9">
        <f>D15*VLOOKUP(A15,Nhập入库!A:N,8,FALSE)</f>
        <v>0</v>
      </c>
      <c r="F15" s="6">
        <v>17</v>
      </c>
      <c r="G15" s="6" t="s">
        <v>33</v>
      </c>
      <c r="H15" s="6" t="s">
        <v>424</v>
      </c>
      <c r="I15" s="10" t="s">
        <v>534</v>
      </c>
      <c r="J15" s="138">
        <v>0.563194444444444</v>
      </c>
    </row>
    <row r="16" spans="1:10">
      <c r="A16" s="9">
        <f>VLOOKUP($C16,SKU!$A:$I,3,FALSE)</f>
        <v>10003</v>
      </c>
      <c r="B16" s="9" t="str">
        <f>VLOOKUP($C16,SKU!$A:$I,2,FALSE)</f>
        <v>DUO米全新出品鬼灭之刃-柱合会议篇第二弹</v>
      </c>
      <c r="C16" s="6" t="s">
        <v>24</v>
      </c>
      <c r="D16" s="6"/>
      <c r="E16" s="9">
        <f>D16*VLOOKUP(A16,Nhập入库!A:N,8,FALSE)</f>
        <v>0</v>
      </c>
      <c r="F16" s="6">
        <v>15</v>
      </c>
      <c r="G16" s="6" t="s">
        <v>429</v>
      </c>
      <c r="H16" s="6" t="s">
        <v>424</v>
      </c>
      <c r="I16" s="10" t="s">
        <v>534</v>
      </c>
      <c r="J16" s="138">
        <v>0.583333333333333</v>
      </c>
    </row>
    <row r="17" spans="1:10">
      <c r="A17" s="9">
        <f>VLOOKUP($C17,SKU!$A:$I,3,FALSE)</f>
        <v>10003</v>
      </c>
      <c r="B17" s="9" t="str">
        <f>VLOOKUP($C17,SKU!$A:$I,2,FALSE)</f>
        <v>DUO米全新出品鬼灭之刃-柱合会议篇第二弹</v>
      </c>
      <c r="C17" s="6" t="s">
        <v>24</v>
      </c>
      <c r="D17" s="6">
        <v>1</v>
      </c>
      <c r="E17" s="9">
        <f>D17*VLOOKUP(A17,Nhập入库!A:N,8,FALSE)</f>
        <v>13</v>
      </c>
      <c r="F17" s="6"/>
      <c r="G17" s="6" t="s">
        <v>429</v>
      </c>
      <c r="H17" s="6" t="s">
        <v>431</v>
      </c>
      <c r="I17" s="10" t="s">
        <v>534</v>
      </c>
      <c r="J17" s="138">
        <v>0.347222222222222</v>
      </c>
    </row>
    <row r="18" spans="1:10">
      <c r="A18" s="9">
        <f>VLOOKUP($C18,SKU!$A:$I,3,FALSE)</f>
        <v>10021</v>
      </c>
      <c r="B18" s="9" t="str">
        <f>VLOOKUP($C18,SKU!$A:$I,2,FALSE)</f>
        <v>新谷动漫名侦探柯南·仲夏夜之恋邮票集</v>
      </c>
      <c r="C18" s="6" t="s">
        <v>111</v>
      </c>
      <c r="D18" s="6"/>
      <c r="E18" s="9">
        <f>D18*VLOOKUP(A18,Nhập入库!A:N,8,FALSE)</f>
        <v>0</v>
      </c>
      <c r="F18" s="6">
        <v>1</v>
      </c>
      <c r="G18" s="6" t="s">
        <v>33</v>
      </c>
      <c r="H18" s="6" t="s">
        <v>431</v>
      </c>
      <c r="I18" s="10" t="s">
        <v>534</v>
      </c>
      <c r="J18" s="138">
        <v>0.990972222222222</v>
      </c>
    </row>
    <row r="19" spans="1:10">
      <c r="A19" s="9">
        <f>VLOOKUP($C19,SKU!$A:$I,3,FALSE)</f>
        <v>10003</v>
      </c>
      <c r="B19" s="9" t="str">
        <f>VLOOKUP($C19,SKU!$A:$I,2,FALSE)</f>
        <v>DUO米全新出品鬼灭之刃-柱合会议篇第二弹</v>
      </c>
      <c r="C19" s="6" t="s">
        <v>24</v>
      </c>
      <c r="D19" s="6">
        <v>1</v>
      </c>
      <c r="E19" s="9">
        <f>D19*VLOOKUP(A19,Nhập入库!A:N,8,FALSE)</f>
        <v>13</v>
      </c>
      <c r="F19" s="6">
        <v>13</v>
      </c>
      <c r="G19" s="6" t="s">
        <v>430</v>
      </c>
      <c r="H19" s="6" t="s">
        <v>431</v>
      </c>
      <c r="I19" s="10" t="s">
        <v>534</v>
      </c>
      <c r="J19" s="138">
        <v>0.990972222222222</v>
      </c>
    </row>
    <row r="20" spans="1:10">
      <c r="A20" s="9">
        <f>VLOOKUP($C20,SKU!$A:$I,3,FALSE)</f>
        <v>10003</v>
      </c>
      <c r="B20" s="9" t="str">
        <f>VLOOKUP($C20,SKU!$A:$I,2,FALSE)</f>
        <v>DUO米全新出品鬼灭之刃-柱合会议篇第二弹</v>
      </c>
      <c r="C20" s="6" t="s">
        <v>24</v>
      </c>
      <c r="D20" s="6"/>
      <c r="E20" s="9">
        <f>D20*VLOOKUP(A20,Nhập入库!A:N,8,FALSE)</f>
        <v>0</v>
      </c>
      <c r="F20" s="6">
        <v>13</v>
      </c>
      <c r="G20" s="6" t="s">
        <v>430</v>
      </c>
      <c r="H20" s="6" t="s">
        <v>424</v>
      </c>
      <c r="I20" s="10" t="s">
        <v>534</v>
      </c>
      <c r="J20" s="138">
        <v>0.541666666666667</v>
      </c>
    </row>
    <row r="21" spans="1:10">
      <c r="A21" s="9">
        <f>VLOOKUP($C21,SKU!$A:$I,3,FALSE)</f>
        <v>10003</v>
      </c>
      <c r="B21" s="9" t="str">
        <f>VLOOKUP($C21,SKU!$A:$I,2,FALSE)</f>
        <v>DUO米全新出品鬼灭之刃-柱合会议篇第二弹</v>
      </c>
      <c r="C21" s="6" t="s">
        <v>24</v>
      </c>
      <c r="D21" s="6"/>
      <c r="E21" s="9">
        <f>D21*VLOOKUP(A21,Nhập入库!A:N,8,FALSE)</f>
        <v>0</v>
      </c>
      <c r="F21" s="6">
        <v>36</v>
      </c>
      <c r="G21" s="6" t="s">
        <v>426</v>
      </c>
      <c r="H21" s="6" t="s">
        <v>434</v>
      </c>
      <c r="I21" s="10" t="s">
        <v>535</v>
      </c>
      <c r="J21" s="138">
        <v>0.777083333333333</v>
      </c>
    </row>
    <row r="22" spans="1:10">
      <c r="A22" s="9">
        <f>VLOOKUP($C22,SKU!$A:$I,3,FALSE)</f>
        <v>10044</v>
      </c>
      <c r="B22" s="9" t="str">
        <f>VLOOKUP($C22,SKU!$A:$I,2,FALSE)</f>
        <v>源宇宙原神.空月の歌·周边CD票根邮票组合套装</v>
      </c>
      <c r="C22" s="6" t="s">
        <v>202</v>
      </c>
      <c r="D22" s="6"/>
      <c r="E22" s="9">
        <f>D22*VLOOKUP(A22,Nhập入库!A:N,8,FALSE)</f>
        <v>0</v>
      </c>
      <c r="F22" s="6">
        <v>7</v>
      </c>
      <c r="G22" s="6" t="s">
        <v>429</v>
      </c>
      <c r="H22" s="6" t="s">
        <v>406</v>
      </c>
      <c r="I22" s="10" t="s">
        <v>534</v>
      </c>
      <c r="J22" s="138">
        <v>0.541666666666667</v>
      </c>
    </row>
    <row r="23" spans="1:10">
      <c r="A23" s="9">
        <f>VLOOKUP($C23,SKU!$A:$I,3,FALSE)</f>
        <v>10001</v>
      </c>
      <c r="B23" s="9" t="str">
        <f>VLOOKUP($C23,SKU!$A:$I,2,FALSE)</f>
        <v>《东株社》宝可梦水晶砖</v>
      </c>
      <c r="C23" s="6" t="s">
        <v>12</v>
      </c>
      <c r="D23" s="6"/>
      <c r="E23" s="9">
        <f>D23*VLOOKUP(A23,Nhập入库!A:N,8,FALSE)</f>
        <v>0</v>
      </c>
      <c r="F23" s="6">
        <v>3</v>
      </c>
      <c r="G23" s="6" t="s">
        <v>426</v>
      </c>
      <c r="H23" s="6" t="s">
        <v>406</v>
      </c>
      <c r="I23" s="10" t="s">
        <v>534</v>
      </c>
      <c r="J23" s="138">
        <v>0.541666666666667</v>
      </c>
    </row>
    <row r="24" spans="1:10">
      <c r="A24" s="9">
        <f>VLOOKUP($C24,SKU!$A:$I,3,FALSE)</f>
        <v>10004</v>
      </c>
      <c r="B24" s="9" t="str">
        <f>VLOOKUP($C24,SKU!$A:$I,2,FALSE)</f>
        <v>初见花海咒术回战第一弹</v>
      </c>
      <c r="C24" s="10" t="s">
        <v>30</v>
      </c>
      <c r="D24" s="6"/>
      <c r="E24" s="9">
        <f>D24*VLOOKUP(A24,Nhập入库!A:N,8,FALSE)</f>
        <v>0</v>
      </c>
      <c r="F24" s="6">
        <v>15</v>
      </c>
      <c r="G24" s="10" t="s">
        <v>33</v>
      </c>
      <c r="H24" s="10" t="s">
        <v>406</v>
      </c>
      <c r="I24" s="10" t="s">
        <v>448</v>
      </c>
      <c r="J24" s="138">
        <v>0.391666666666667</v>
      </c>
    </row>
    <row r="25" spans="1:10">
      <c r="A25" s="9">
        <f>VLOOKUP($C25,SKU!$A:$I,3,FALSE)</f>
        <v>10010</v>
      </c>
      <c r="B25" s="9" t="str">
        <f>VLOOKUP($C25,SKU!$A:$I,2,FALSE)</f>
        <v>玩的入迷-魔卡少女樱第一弹—樱之绮遇</v>
      </c>
      <c r="C25" s="10" t="s">
        <v>66</v>
      </c>
      <c r="D25" s="6"/>
      <c r="E25" s="9">
        <f>D25*VLOOKUP(A25,Nhập入库!A:N,8,FALSE)</f>
        <v>0</v>
      </c>
      <c r="F25" s="6">
        <v>23</v>
      </c>
      <c r="G25" s="10" t="s">
        <v>433</v>
      </c>
      <c r="H25" s="10" t="s">
        <v>406</v>
      </c>
      <c r="I25" s="10" t="s">
        <v>536</v>
      </c>
      <c r="J25" s="138">
        <v>0.425694444444444</v>
      </c>
    </row>
    <row r="26" spans="1:10">
      <c r="A26" s="9">
        <f>VLOOKUP($C26,SKU!$A:$I,3,FALSE)</f>
        <v>10037</v>
      </c>
      <c r="B26" s="9" t="str">
        <f>VLOOKUP($C26,SKU!$A:$I,2,FALSE)</f>
        <v>磁吸邮票《咪咕咪咕&amp;魔卡少女樱》</v>
      </c>
      <c r="C26" s="10" t="s">
        <v>175</v>
      </c>
      <c r="D26" s="6">
        <v>20</v>
      </c>
      <c r="E26" s="9">
        <f>D26*VLOOKUP(A26,Nhập入库!A:N,8,FALSE)</f>
        <v>20</v>
      </c>
      <c r="F26" s="6"/>
      <c r="G26" s="10" t="s">
        <v>422</v>
      </c>
      <c r="H26" s="10" t="s">
        <v>406</v>
      </c>
      <c r="I26" s="10" t="s">
        <v>536</v>
      </c>
      <c r="J26" s="138"/>
    </row>
    <row r="27" spans="1:10">
      <c r="A27" s="9">
        <f>VLOOKUP($C27,SKU!$A:$I,3,FALSE)</f>
        <v>10025</v>
      </c>
      <c r="B27" s="9" t="str">
        <f>VLOOKUP($C27,SKU!$A:$I,2,FALSE)</f>
        <v>君屹文化耽美古风收藏新纪元《言辞忆梦》撕撕乐</v>
      </c>
      <c r="C27" s="6" t="s">
        <v>127</v>
      </c>
      <c r="D27" s="6"/>
      <c r="E27" s="9">
        <f>D27*VLOOKUP(A27,Nhập入库!A:N,8,FALSE)</f>
        <v>0</v>
      </c>
      <c r="F27" s="6">
        <v>18</v>
      </c>
      <c r="G27" s="6" t="s">
        <v>433</v>
      </c>
      <c r="H27" s="6" t="s">
        <v>431</v>
      </c>
      <c r="I27" s="10" t="s">
        <v>536</v>
      </c>
      <c r="J27" s="138">
        <v>0.708333333333333</v>
      </c>
    </row>
    <row r="28" spans="1:10">
      <c r="A28" s="9">
        <f>VLOOKUP($C28,SKU!$A:$I,3,FALSE)</f>
        <v>10017</v>
      </c>
      <c r="B28" s="9" t="str">
        <f>VLOOKUP($C28,SKU!$A:$I,2,FALSE)</f>
        <v>梦境-美少女战士第一弹</v>
      </c>
      <c r="C28" s="10" t="s">
        <v>95</v>
      </c>
      <c r="D28" s="6">
        <v>2</v>
      </c>
      <c r="E28" s="9">
        <f>D28*VLOOKUP(A28,Nhập入库!A:N,8,FALSE)</f>
        <v>26</v>
      </c>
      <c r="F28" s="6"/>
      <c r="G28" s="10" t="s">
        <v>425</v>
      </c>
      <c r="H28" s="10" t="s">
        <v>406</v>
      </c>
      <c r="I28" s="10" t="s">
        <v>448</v>
      </c>
      <c r="J28" s="138">
        <v>0.622222222222222</v>
      </c>
    </row>
    <row r="29" spans="1:10">
      <c r="A29" s="9">
        <f>VLOOKUP($C29,SKU!$A:$I,3,FALSE)</f>
        <v>10013</v>
      </c>
      <c r="B29" s="9" t="str">
        <f>VLOOKUP($C29,SKU!$A:$I,2,FALSE)</f>
        <v>皇卡 × 鬼灭《血月之契》篇决战无限城收藏卡</v>
      </c>
      <c r="C29" s="10" t="s">
        <v>79</v>
      </c>
      <c r="D29" s="6">
        <v>3</v>
      </c>
      <c r="E29" s="9">
        <f>D29*VLOOKUP(A29,Nhập入库!A:N,8,FALSE)</f>
        <v>36</v>
      </c>
      <c r="F29" s="6"/>
      <c r="G29" s="10" t="s">
        <v>114</v>
      </c>
      <c r="H29" s="10" t="s">
        <v>434</v>
      </c>
      <c r="I29" s="10" t="s">
        <v>448</v>
      </c>
      <c r="J29" s="138">
        <v>0.730555555555556</v>
      </c>
    </row>
    <row r="30" spans="1:10">
      <c r="A30" s="9">
        <f>VLOOKUP($C30,SKU!$A:$I,3,FALSE)</f>
        <v>10003</v>
      </c>
      <c r="B30" s="9" t="str">
        <f>VLOOKUP($C30,SKU!$A:$I,2,FALSE)</f>
        <v>DUO米全新出品鬼灭之刃-柱合会议篇第二弹</v>
      </c>
      <c r="C30" s="6" t="s">
        <v>24</v>
      </c>
      <c r="D30" s="6">
        <v>3</v>
      </c>
      <c r="E30" s="9">
        <f>D30*VLOOKUP(A30,Nhập入库!A:N,8,FALSE)</f>
        <v>39</v>
      </c>
      <c r="F30" s="6"/>
      <c r="G30" s="6" t="s">
        <v>425</v>
      </c>
      <c r="H30" s="6" t="s">
        <v>431</v>
      </c>
      <c r="I30" s="10" t="s">
        <v>448</v>
      </c>
      <c r="J30" s="138">
        <v>0.823611111111111</v>
      </c>
    </row>
    <row r="31" spans="1:10">
      <c r="A31" s="9">
        <f>VLOOKUP($C31,SKU!$A:$I,3,FALSE)</f>
        <v>10003</v>
      </c>
      <c r="B31" s="9" t="str">
        <f>VLOOKUP($C31,SKU!$A:$I,2,FALSE)</f>
        <v>DUO米全新出品鬼灭之刃-柱合会议篇第二弹</v>
      </c>
      <c r="C31" s="6" t="s">
        <v>24</v>
      </c>
      <c r="D31" s="6"/>
      <c r="E31" s="9">
        <f>D31*VLOOKUP(A31,Nhập入库!A:N,8,FALSE)</f>
        <v>0</v>
      </c>
      <c r="F31" s="6">
        <v>20</v>
      </c>
      <c r="G31" s="6" t="s">
        <v>114</v>
      </c>
      <c r="H31" s="6" t="s">
        <v>431</v>
      </c>
      <c r="I31" s="10" t="s">
        <v>448</v>
      </c>
      <c r="J31" s="138">
        <v>0.890277777777778</v>
      </c>
    </row>
    <row r="32" spans="1:10">
      <c r="A32" s="9">
        <f>VLOOKUP($C32,SKU!$A:$I,3,FALSE)</f>
        <v>10003</v>
      </c>
      <c r="B32" s="9" t="str">
        <f>VLOOKUP($C32,SKU!$A:$I,2,FALSE)</f>
        <v>DUO米全新出品鬼灭之刃-柱合会议篇第二弹</v>
      </c>
      <c r="C32" s="6" t="s">
        <v>24</v>
      </c>
      <c r="D32" s="6"/>
      <c r="E32" s="9">
        <f>D32*VLOOKUP(A32,Nhập入库!A:N,8,FALSE)</f>
        <v>0</v>
      </c>
      <c r="F32" s="6">
        <v>12</v>
      </c>
      <c r="G32" s="6" t="s">
        <v>425</v>
      </c>
      <c r="H32" s="6" t="s">
        <v>431</v>
      </c>
      <c r="I32" s="10" t="s">
        <v>448</v>
      </c>
      <c r="J32" s="138">
        <v>0.911111111111111</v>
      </c>
    </row>
    <row r="33" spans="1:10">
      <c r="A33" s="9">
        <f>VLOOKUP($C33,SKU!$A:$I,3,FALSE)</f>
        <v>10003</v>
      </c>
      <c r="B33" s="9" t="str">
        <f>VLOOKUP($C33,SKU!$A:$I,2,FALSE)</f>
        <v>DUO米全新出品鬼灭之刃-柱合会议篇第二弹</v>
      </c>
      <c r="C33" s="6" t="s">
        <v>24</v>
      </c>
      <c r="D33" s="6"/>
      <c r="E33" s="9">
        <f>D33*VLOOKUP(A33,Nhập入库!A:N,8,FALSE)</f>
        <v>0</v>
      </c>
      <c r="F33" s="6">
        <f>30+28</f>
        <v>58</v>
      </c>
      <c r="G33" s="6" t="s">
        <v>425</v>
      </c>
      <c r="H33" s="6" t="s">
        <v>431</v>
      </c>
      <c r="I33" s="10" t="s">
        <v>448</v>
      </c>
      <c r="J33" s="138">
        <v>0.9625</v>
      </c>
    </row>
    <row r="34" spans="1:10">
      <c r="A34" s="9">
        <f>VLOOKUP($C34,SKU!$A:$I,3,FALSE)</f>
        <v>10003</v>
      </c>
      <c r="B34" s="9" t="str">
        <f>VLOOKUP($C34,SKU!$A:$I,2,FALSE)</f>
        <v>DUO米全新出品鬼灭之刃-柱合会议篇第二弹</v>
      </c>
      <c r="C34" s="6" t="s">
        <v>24</v>
      </c>
      <c r="D34" s="6"/>
      <c r="E34" s="9">
        <f>D34*VLOOKUP(A34,Nhập入库!A:N,8,FALSE)</f>
        <v>0</v>
      </c>
      <c r="F34" s="6">
        <v>49</v>
      </c>
      <c r="G34" s="6" t="s">
        <v>430</v>
      </c>
      <c r="H34" s="6" t="s">
        <v>428</v>
      </c>
      <c r="I34" s="10" t="s">
        <v>448</v>
      </c>
      <c r="J34" s="138">
        <v>0.990972222222222</v>
      </c>
    </row>
    <row r="35" spans="1:10">
      <c r="A35" s="9">
        <f>VLOOKUP($C35,SKU!$A:$I,3,FALSE)</f>
        <v>10037</v>
      </c>
      <c r="B35" s="9" t="str">
        <f>VLOOKUP($C35,SKU!$A:$I,2,FALSE)</f>
        <v>磁吸邮票《咪咕咪咕&amp;魔卡少女樱》</v>
      </c>
      <c r="C35" s="10" t="s">
        <v>175</v>
      </c>
      <c r="D35" s="6">
        <v>20</v>
      </c>
      <c r="E35" s="9">
        <f>D35*VLOOKUP(A35,Nhập入库!A:N,8,FALSE)</f>
        <v>20</v>
      </c>
      <c r="F35" s="6"/>
      <c r="G35" s="10" t="s">
        <v>422</v>
      </c>
      <c r="H35" s="10" t="s">
        <v>406</v>
      </c>
      <c r="I35" s="10" t="s">
        <v>449</v>
      </c>
      <c r="J35" s="138">
        <v>0.490972222222222</v>
      </c>
    </row>
    <row r="36" spans="1:10">
      <c r="A36" s="9">
        <f>VLOOKUP($C36,SKU!$A:$I,3,FALSE)</f>
        <v>10035</v>
      </c>
      <c r="B36" s="9" t="str">
        <f>VLOOKUP($C36,SKU!$A:$I,2,FALSE)</f>
        <v>KK CARD × 新海诚系列第一弹</v>
      </c>
      <c r="C36" s="10" t="s">
        <v>167</v>
      </c>
      <c r="D36" s="6"/>
      <c r="E36" s="9">
        <f>D36*VLOOKUP(A36,Nhập入库!A:N,8,FALSE)</f>
        <v>0</v>
      </c>
      <c r="F36" s="6">
        <v>41</v>
      </c>
      <c r="G36" s="10" t="s">
        <v>422</v>
      </c>
      <c r="H36" s="10" t="s">
        <v>406</v>
      </c>
      <c r="I36" s="10" t="s">
        <v>449</v>
      </c>
      <c r="J36" s="138">
        <v>0.595138888888889</v>
      </c>
    </row>
    <row r="37" spans="1:10">
      <c r="A37" s="9">
        <f>VLOOKUP($C37,SKU!$A:$I,3,FALSE)</f>
        <v>10004</v>
      </c>
      <c r="B37" s="9" t="str">
        <f>VLOOKUP($C37,SKU!$A:$I,2,FALSE)</f>
        <v>初见花海咒术回战第一弹</v>
      </c>
      <c r="C37" s="10" t="s">
        <v>30</v>
      </c>
      <c r="D37" s="6">
        <v>22</v>
      </c>
      <c r="E37" s="9">
        <f>D37*VLOOKUP(A37,Nhập入库!A:N,8,FALSE)</f>
        <v>22</v>
      </c>
      <c r="F37" s="6"/>
      <c r="G37" s="10" t="s">
        <v>82</v>
      </c>
      <c r="H37" s="10" t="s">
        <v>423</v>
      </c>
      <c r="I37" s="10" t="s">
        <v>537</v>
      </c>
      <c r="J37" s="138">
        <v>0.0965277777777778</v>
      </c>
    </row>
    <row r="38" spans="1:10">
      <c r="A38" s="9">
        <f>VLOOKUP($C38,SKU!$A:$I,3,FALSE)</f>
        <v>10039</v>
      </c>
      <c r="B38" s="9" t="str">
        <f>VLOOKUP($C38,SKU!$A:$I,2,FALSE)</f>
        <v>非凡航海王第五弹</v>
      </c>
      <c r="C38" s="10" t="s">
        <v>184</v>
      </c>
      <c r="D38" s="6">
        <v>5</v>
      </c>
      <c r="E38" s="9">
        <f>D38*VLOOKUP(A38,Nhập入库!A:N,8,FALSE)</f>
        <v>100</v>
      </c>
      <c r="F38" s="6"/>
      <c r="G38" s="10" t="s">
        <v>82</v>
      </c>
      <c r="H38" s="10" t="s">
        <v>423</v>
      </c>
      <c r="I38" s="10" t="s">
        <v>537</v>
      </c>
      <c r="J38" s="138">
        <v>0.0965277777777778</v>
      </c>
    </row>
    <row r="39" spans="1:10">
      <c r="A39" s="9">
        <f>VLOOKUP($C39,SKU!$A:$I,3,FALSE)</f>
        <v>10014</v>
      </c>
      <c r="B39" s="9" t="str">
        <f>VLOOKUP($C39,SKU!$A:$I,2,FALSE)</f>
        <v>星梦文创-Studio Ghibli宫崎骏撕撕乐系列 </v>
      </c>
      <c r="C39" s="10" t="s">
        <v>83</v>
      </c>
      <c r="D39" s="6">
        <v>20</v>
      </c>
      <c r="E39" s="9">
        <f>D39*VLOOKUP(A39,Nhập入库!A:N,8,FALSE)</f>
        <v>60</v>
      </c>
      <c r="F39" s="6"/>
      <c r="G39" s="10" t="s">
        <v>82</v>
      </c>
      <c r="H39" s="10" t="s">
        <v>423</v>
      </c>
      <c r="I39" s="10" t="s">
        <v>537</v>
      </c>
      <c r="J39" s="138">
        <v>0.0965277777777778</v>
      </c>
    </row>
    <row r="40" spans="1:10">
      <c r="A40" s="9">
        <f>VLOOKUP($C40,SKU!$A:$I,3,FALSE)</f>
        <v>10017</v>
      </c>
      <c r="B40" s="9" t="str">
        <f>VLOOKUP($C40,SKU!$A:$I,2,FALSE)</f>
        <v>梦境-美少女战士第一弹</v>
      </c>
      <c r="C40" s="10" t="s">
        <v>95</v>
      </c>
      <c r="D40" s="6"/>
      <c r="E40" s="9">
        <f>D40*VLOOKUP(A40,Nhập入库!A:N,8,FALSE)</f>
        <v>0</v>
      </c>
      <c r="F40" s="6">
        <v>29</v>
      </c>
      <c r="G40" s="10" t="s">
        <v>425</v>
      </c>
      <c r="H40" s="10" t="s">
        <v>423</v>
      </c>
      <c r="I40" s="10" t="s">
        <v>448</v>
      </c>
      <c r="J40" s="138">
        <v>0.63125</v>
      </c>
    </row>
    <row r="41" spans="1:10">
      <c r="A41" s="9">
        <f>VLOOKUP($C41,SKU!$A:$I,3,FALSE)</f>
        <v>10003</v>
      </c>
      <c r="B41" s="9" t="str">
        <f>VLOOKUP($C41,SKU!$A:$I,2,FALSE)</f>
        <v>DUO米全新出品鬼灭之刃-柱合会议篇第二弹</v>
      </c>
      <c r="C41" s="6" t="s">
        <v>24</v>
      </c>
      <c r="D41" s="6"/>
      <c r="E41" s="9">
        <f>D41*VLOOKUP(A41,Nhập入库!A:N,8,FALSE)</f>
        <v>0</v>
      </c>
      <c r="F41" s="6">
        <f>21+23</f>
        <v>44</v>
      </c>
      <c r="G41" s="6" t="s">
        <v>429</v>
      </c>
      <c r="H41" s="6" t="s">
        <v>431</v>
      </c>
      <c r="I41" s="10" t="s">
        <v>449</v>
      </c>
      <c r="J41" s="138">
        <v>0.849305555555556</v>
      </c>
    </row>
    <row r="42" spans="1:10">
      <c r="A42" s="9">
        <f>VLOOKUP($C42,SKU!$A:$I,3,FALSE)</f>
        <v>10003</v>
      </c>
      <c r="B42" s="9" t="str">
        <f>VLOOKUP($C42,SKU!$A:$I,2,FALSE)</f>
        <v>DUO米全新出品鬼灭之刃-柱合会议篇第二弹</v>
      </c>
      <c r="C42" s="6" t="s">
        <v>24</v>
      </c>
      <c r="D42" s="6"/>
      <c r="E42" s="9">
        <f>D42*VLOOKUP(A42,Nhập入库!A:N,8,FALSE)</f>
        <v>0</v>
      </c>
      <c r="F42" s="6">
        <v>21</v>
      </c>
      <c r="G42" s="6" t="s">
        <v>426</v>
      </c>
      <c r="H42" s="6" t="s">
        <v>431</v>
      </c>
      <c r="I42" s="10" t="s">
        <v>449</v>
      </c>
      <c r="J42" s="138">
        <v>0.849305555555556</v>
      </c>
    </row>
    <row r="43" spans="1:10">
      <c r="A43" s="9">
        <f>VLOOKUP($C43,SKU!$A:$I,3,FALSE)</f>
        <v>10003</v>
      </c>
      <c r="B43" s="9" t="str">
        <f>VLOOKUP($C43,SKU!$A:$I,2,FALSE)</f>
        <v>DUO米全新出品鬼灭之刃-柱合会议篇第二弹</v>
      </c>
      <c r="C43" s="6" t="s">
        <v>24</v>
      </c>
      <c r="D43" s="6"/>
      <c r="E43" s="9">
        <f>D43*VLOOKUP(A43,Nhập入库!A:N,8,FALSE)</f>
        <v>0</v>
      </c>
      <c r="F43" s="6">
        <v>1</v>
      </c>
      <c r="G43" s="6" t="s">
        <v>33</v>
      </c>
      <c r="H43" s="6" t="s">
        <v>431</v>
      </c>
      <c r="I43" s="10" t="s">
        <v>449</v>
      </c>
      <c r="J43" s="138">
        <v>0.849305555555556</v>
      </c>
    </row>
    <row r="44" spans="1:10">
      <c r="A44" s="9">
        <f>VLOOKUP($C44,SKU!$A:$I,3,FALSE)</f>
        <v>10028</v>
      </c>
      <c r="B44" s="9" t="str">
        <f>VLOOKUP($C44,SKU!$A:$I,2,FALSE)</f>
        <v>潮玩咔原神 尘世收藏卡</v>
      </c>
      <c r="C44" s="6" t="s">
        <v>139</v>
      </c>
      <c r="D44" s="6">
        <v>2</v>
      </c>
      <c r="E44" s="9">
        <f>D44*VLOOKUP(A44,Nhập入库!A:N,8,FALSE)</f>
        <v>26</v>
      </c>
      <c r="F44" s="6"/>
      <c r="G44" s="6" t="s">
        <v>429</v>
      </c>
      <c r="H44" s="6" t="s">
        <v>424</v>
      </c>
      <c r="I44" s="10" t="s">
        <v>450</v>
      </c>
      <c r="J44" s="138">
        <v>0.375</v>
      </c>
    </row>
    <row r="45" spans="1:10">
      <c r="A45" s="9">
        <f>VLOOKUP($C45,SKU!$A:$I,3,FALSE)</f>
        <v>10007</v>
      </c>
      <c r="B45" s="9" t="str">
        <f>VLOOKUP($C45,SKU!$A:$I,2,FALSE)</f>
        <v>kawaii宫崎骏梦幻之国</v>
      </c>
      <c r="C45" s="6" t="s">
        <v>49</v>
      </c>
      <c r="D45" s="6">
        <v>5</v>
      </c>
      <c r="E45" s="9">
        <f>D45*VLOOKUP(A45,Nhập入库!A:N,8,FALSE)</f>
        <v>65</v>
      </c>
      <c r="F45" s="6"/>
      <c r="G45" s="6" t="s">
        <v>433</v>
      </c>
      <c r="H45" s="6" t="s">
        <v>428</v>
      </c>
      <c r="I45" s="10" t="s">
        <v>451</v>
      </c>
      <c r="J45" s="138">
        <v>0.0416666666666667</v>
      </c>
    </row>
    <row r="46" spans="1:10">
      <c r="A46" s="9">
        <f>VLOOKUP($C46,SKU!$A:$I,3,FALSE)</f>
        <v>10011</v>
      </c>
      <c r="B46" s="9" t="str">
        <f>VLOOKUP($C46,SKU!$A:$I,2,FALSE)</f>
        <v>灿卡文创宫崎骏第二弹《花涧物语》</v>
      </c>
      <c r="C46" s="6" t="s">
        <v>71</v>
      </c>
      <c r="D46" s="6">
        <v>5</v>
      </c>
      <c r="E46" s="9">
        <f>D46*VLOOKUP(A46,Nhập入库!A:N,8,FALSE)</f>
        <v>65</v>
      </c>
      <c r="F46" s="6"/>
      <c r="G46" s="6" t="s">
        <v>433</v>
      </c>
      <c r="H46" s="6" t="s">
        <v>428</v>
      </c>
      <c r="I46" s="10" t="s">
        <v>451</v>
      </c>
      <c r="J46" s="138">
        <v>0.0736111111111111</v>
      </c>
    </row>
    <row r="47" spans="1:10">
      <c r="A47" s="9">
        <f>VLOOKUP($C47,SKU!$A:$I,3,FALSE)</f>
        <v>10006</v>
      </c>
      <c r="B47" s="9" t="str">
        <f>VLOOKUP($C47,SKU!$A:$I,2,FALSE)</f>
        <v>云映文化「云之境の夏」第二弹·宫崎骏珍藏卡牌</v>
      </c>
      <c r="C47" s="6" t="s">
        <v>43</v>
      </c>
      <c r="D47" s="6"/>
      <c r="E47" s="9">
        <f>D47*VLOOKUP(A47,Nhập入库!A:N,8,FALSE)</f>
        <v>0</v>
      </c>
      <c r="F47" s="6">
        <v>64</v>
      </c>
      <c r="G47" s="6" t="s">
        <v>427</v>
      </c>
      <c r="H47" s="6" t="s">
        <v>428</v>
      </c>
      <c r="I47" s="10" t="s">
        <v>451</v>
      </c>
      <c r="J47" s="138">
        <v>0.0736111111111111</v>
      </c>
    </row>
    <row r="48" spans="1:10">
      <c r="A48" s="9">
        <f>VLOOKUP($C48,SKU!$A:$I,3,FALSE)</f>
        <v>10017</v>
      </c>
      <c r="B48" s="9" t="str">
        <f>VLOOKUP($C48,SKU!$A:$I,2,FALSE)</f>
        <v>梦境-美少女战士第一弹</v>
      </c>
      <c r="C48" s="10" t="s">
        <v>95</v>
      </c>
      <c r="D48" s="6">
        <v>5</v>
      </c>
      <c r="E48" s="9">
        <f>D48*VLOOKUP(A48,Nhập入库!A:N,8,FALSE)</f>
        <v>65</v>
      </c>
      <c r="F48" s="6"/>
      <c r="G48" s="10" t="s">
        <v>114</v>
      </c>
      <c r="H48" s="10" t="s">
        <v>406</v>
      </c>
      <c r="I48" s="10" t="s">
        <v>450</v>
      </c>
      <c r="J48" s="138"/>
    </row>
    <row r="49" spans="1:10">
      <c r="A49" s="9">
        <f>VLOOKUP($C49,SKU!$A:$I,3,FALSE)</f>
        <v>10023</v>
      </c>
      <c r="B49" s="9" t="str">
        <f>VLOOKUP($C49,SKU!$A:$I,2,FALSE)</f>
        <v>风信文创尘世相逢之约星光来信原神邮票第一弹</v>
      </c>
      <c r="C49" s="34" t="s">
        <v>119</v>
      </c>
      <c r="D49" s="29">
        <v>14</v>
      </c>
      <c r="E49" s="9">
        <f>D49*VLOOKUP(A49,Nhập入库!A:N,8,FALSE)</f>
        <v>14</v>
      </c>
      <c r="F49" s="29"/>
      <c r="G49" s="34" t="s">
        <v>429</v>
      </c>
      <c r="H49" s="10" t="s">
        <v>406</v>
      </c>
      <c r="I49" s="34" t="s">
        <v>451</v>
      </c>
      <c r="J49" s="133">
        <v>0.525694444444444</v>
      </c>
    </row>
    <row r="50" spans="1:10">
      <c r="A50" s="9">
        <f>VLOOKUP($C50,SKU!$A:$I,3,FALSE)</f>
        <v>10039</v>
      </c>
      <c r="B50" s="9" t="str">
        <f>VLOOKUP($C50,SKU!$A:$I,2,FALSE)</f>
        <v>非凡航海王第五弹</v>
      </c>
      <c r="C50" s="6" t="s">
        <v>184</v>
      </c>
      <c r="D50" s="6">
        <v>17</v>
      </c>
      <c r="E50" s="9">
        <f>D50*VLOOKUP(A50,Nhập入库!A:N,8,FALSE)</f>
        <v>340</v>
      </c>
      <c r="F50" s="6"/>
      <c r="G50" s="6" t="s">
        <v>69</v>
      </c>
      <c r="H50" s="6" t="s">
        <v>424</v>
      </c>
      <c r="I50" s="10" t="s">
        <v>538</v>
      </c>
      <c r="J50" s="139">
        <v>0.509027777777778</v>
      </c>
    </row>
    <row r="51" spans="1:10">
      <c r="A51" s="9">
        <f>VLOOKUP($C51,SKU!$A:$I,3,FALSE)</f>
        <v>10039</v>
      </c>
      <c r="B51" s="9" t="str">
        <f>VLOOKUP($C51,SKU!$A:$I,2,FALSE)</f>
        <v>非凡航海王第五弹</v>
      </c>
      <c r="C51" s="6" t="s">
        <v>184</v>
      </c>
      <c r="D51" s="6">
        <v>27</v>
      </c>
      <c r="E51" s="9">
        <f>D51*VLOOKUP(A51,Nhập入库!A:N,8,FALSE)</f>
        <v>540</v>
      </c>
      <c r="F51" s="6"/>
      <c r="G51" s="6" t="s">
        <v>69</v>
      </c>
      <c r="H51" s="6" t="s">
        <v>424</v>
      </c>
      <c r="I51" s="10" t="s">
        <v>451</v>
      </c>
      <c r="J51" s="138">
        <v>0.556944444444444</v>
      </c>
    </row>
    <row r="52" spans="1:10">
      <c r="A52" s="140">
        <f>VLOOKUP($C52,SKU!$A:$I,3,FALSE)</f>
        <v>10007</v>
      </c>
      <c r="B52" s="31" t="str">
        <f>VLOOKUP($C52,SKU!$A:$I,2,FALSE)</f>
        <v>kawaii宫崎骏梦幻之国</v>
      </c>
      <c r="C52" s="34" t="s">
        <v>49</v>
      </c>
      <c r="D52" s="29">
        <v>5</v>
      </c>
      <c r="E52" s="31">
        <f>D52*VLOOKUP(A52,Nhập入库!A:N,8,FALSE)</f>
        <v>65</v>
      </c>
      <c r="F52" s="29"/>
      <c r="G52" s="34" t="s">
        <v>86</v>
      </c>
      <c r="H52" s="34" t="s">
        <v>424</v>
      </c>
      <c r="I52" s="141" t="s">
        <v>451</v>
      </c>
      <c r="J52" s="138"/>
    </row>
    <row r="53" spans="1:10">
      <c r="A53" s="140">
        <f>VLOOKUP($C53,SKU!$A:$I,3,FALSE)</f>
        <v>10004</v>
      </c>
      <c r="B53" s="31" t="str">
        <f>VLOOKUP($C53,SKU!$A:$I,2,FALSE)</f>
        <v>初见花海咒术回战第一弹</v>
      </c>
      <c r="C53" s="34" t="s">
        <v>30</v>
      </c>
      <c r="D53" s="29">
        <v>12</v>
      </c>
      <c r="E53" s="31">
        <f>D53*VLOOKUP(A53,Nhập入库!A:N,8,FALSE)</f>
        <v>12</v>
      </c>
      <c r="F53" s="29"/>
      <c r="G53" s="34" t="s">
        <v>429</v>
      </c>
      <c r="H53" s="34" t="s">
        <v>428</v>
      </c>
      <c r="I53" s="141" t="s">
        <v>451</v>
      </c>
      <c r="J53" s="138">
        <v>0.803472222222222</v>
      </c>
    </row>
    <row r="54" spans="1:10">
      <c r="A54" s="140">
        <f>VLOOKUP($C54,SKU!$A:$I,3,FALSE)</f>
        <v>10017</v>
      </c>
      <c r="B54" s="31" t="str">
        <f>VLOOKUP($C54,SKU!$A:$I,2,FALSE)</f>
        <v>梦境-美少女战士第一弹</v>
      </c>
      <c r="C54" s="34" t="s">
        <v>95</v>
      </c>
      <c r="D54" s="29"/>
      <c r="E54" s="31">
        <f>D54*VLOOKUP(A54,Nhập入库!A:N,8,FALSE)</f>
        <v>0</v>
      </c>
      <c r="F54" s="29">
        <v>78</v>
      </c>
      <c r="G54" s="34" t="s">
        <v>422</v>
      </c>
      <c r="H54" s="34" t="s">
        <v>428</v>
      </c>
      <c r="I54" s="142" t="s">
        <v>451</v>
      </c>
      <c r="J54" s="139">
        <v>0.872916666666667</v>
      </c>
    </row>
    <row r="55" spans="1:10">
      <c r="A55" s="140">
        <f>VLOOKUP($C55,SKU!$A:$I,3,FALSE)</f>
        <v>10039</v>
      </c>
      <c r="B55" s="31" t="str">
        <f>VLOOKUP($C55,SKU!$A:$I,2,FALSE)</f>
        <v>非凡航海王第五弹</v>
      </c>
      <c r="C55" s="34" t="s">
        <v>184</v>
      </c>
      <c r="D55" s="29">
        <v>5</v>
      </c>
      <c r="E55" s="31">
        <f>D55*VLOOKUP(A55,Nhập入库!A:N,8,FALSE)</f>
        <v>100</v>
      </c>
      <c r="F55" s="29"/>
      <c r="G55" s="34" t="s">
        <v>33</v>
      </c>
      <c r="H55" s="34" t="s">
        <v>428</v>
      </c>
      <c r="I55" s="143" t="s">
        <v>451</v>
      </c>
      <c r="J55" s="139">
        <v>0.995833333333333</v>
      </c>
    </row>
    <row r="56" spans="1:10">
      <c r="A56" s="9">
        <f>VLOOKUP($C56,SKU!$A:$I,3,FALSE)</f>
        <v>10011</v>
      </c>
      <c r="B56" s="9" t="str">
        <f>VLOOKUP($C56,SKU!$A:$I,2,FALSE)</f>
        <v>灿卡文创宫崎骏第二弹《花涧物语》</v>
      </c>
      <c r="C56" s="6" t="s">
        <v>71</v>
      </c>
      <c r="D56" s="6">
        <v>4</v>
      </c>
      <c r="E56" s="9">
        <f>D56*VLOOKUP(A56,Nhập入库!A:N,8,FALSE)</f>
        <v>52</v>
      </c>
      <c r="F56" s="6"/>
      <c r="G56" s="6" t="s">
        <v>433</v>
      </c>
      <c r="H56" s="6" t="s">
        <v>431</v>
      </c>
      <c r="I56" s="10" t="s">
        <v>454</v>
      </c>
      <c r="J56" s="138">
        <v>0.803472222222222</v>
      </c>
    </row>
    <row r="57" spans="1:10">
      <c r="A57" s="9">
        <f>VLOOKUP($C57,SKU!$A:$I,3,FALSE)</f>
        <v>10052</v>
      </c>
      <c r="B57" s="9" t="str">
        <f>VLOOKUP($C57,SKU!$A:$I,2,FALSE)</f>
        <v>柯南洞悉包第五弹</v>
      </c>
      <c r="C57" s="6" t="s">
        <v>225</v>
      </c>
      <c r="D57" s="6">
        <v>7</v>
      </c>
      <c r="E57" s="9">
        <f>D57*VLOOKUP(A57,Nhập入库!A:N,8,FALSE)</f>
        <v>126</v>
      </c>
      <c r="F57" s="6">
        <v>35</v>
      </c>
      <c r="G57" s="6" t="s">
        <v>33</v>
      </c>
      <c r="H57" s="6" t="s">
        <v>431</v>
      </c>
      <c r="I57" s="10" t="s">
        <v>454</v>
      </c>
      <c r="J57" s="138">
        <v>0.820138888888889</v>
      </c>
    </row>
    <row r="58" spans="1:10">
      <c r="A58" s="9">
        <f>VLOOKUP($C58,SKU!$A:$I,3,FALSE)</f>
        <v>10047</v>
      </c>
      <c r="B58" s="9" t="str">
        <f>VLOOKUP($C58,SKU!$A:$I,2,FALSE)</f>
        <v>提瓦特工坊·原神水晶色纸</v>
      </c>
      <c r="C58" s="10" t="s">
        <v>209</v>
      </c>
      <c r="D58" s="6">
        <v>66</v>
      </c>
      <c r="E58" s="9">
        <f>D58*VLOOKUP(A58,Nhập入库!A:N,8,FALSE)</f>
        <v>66</v>
      </c>
      <c r="F58" s="6"/>
      <c r="G58" s="10" t="s">
        <v>429</v>
      </c>
      <c r="H58" s="10" t="s">
        <v>406</v>
      </c>
      <c r="I58" s="10" t="s">
        <v>455</v>
      </c>
      <c r="J58" s="138">
        <v>0.388888888888889</v>
      </c>
    </row>
    <row r="59" spans="1:10">
      <c r="A59" s="9">
        <f>VLOOKUP($C59,SKU!$A:$I,3,FALSE)</f>
        <v>10001</v>
      </c>
      <c r="B59" s="9" t="str">
        <f>VLOOKUP($C59,SKU!$A:$I,2,FALSE)</f>
        <v>《东株社》宝可梦水晶砖</v>
      </c>
      <c r="C59" s="6" t="s">
        <v>12</v>
      </c>
      <c r="D59" s="6">
        <v>5</v>
      </c>
      <c r="E59" s="9">
        <f>D59*VLOOKUP(A59,Nhập入库!A:N,8,FALSE)</f>
        <v>5</v>
      </c>
      <c r="F59" s="6"/>
      <c r="G59" s="6" t="s">
        <v>158</v>
      </c>
      <c r="H59" s="6" t="s">
        <v>408</v>
      </c>
      <c r="I59" s="10" t="s">
        <v>455</v>
      </c>
      <c r="J59" s="138">
        <v>0.388888888888889</v>
      </c>
    </row>
    <row r="60" spans="1:10">
      <c r="A60" s="9">
        <f>VLOOKUP($C60,SKU!$A:$I,3,FALSE)</f>
        <v>10039</v>
      </c>
      <c r="B60" s="9" t="str">
        <f>VLOOKUP($C60,SKU!$A:$I,2,FALSE)</f>
        <v>非凡航海王第五弹</v>
      </c>
      <c r="C60" s="6" t="s">
        <v>184</v>
      </c>
      <c r="D60" s="6">
        <v>49</v>
      </c>
      <c r="E60" s="9">
        <f>D60*VLOOKUP(A60,Nhập入库!A:N,8,FALSE)</f>
        <v>980</v>
      </c>
      <c r="F60" s="6"/>
      <c r="G60" s="6" t="s">
        <v>69</v>
      </c>
      <c r="H60" s="6" t="s">
        <v>408</v>
      </c>
      <c r="I60" s="10" t="s">
        <v>455</v>
      </c>
      <c r="J60" s="138">
        <v>0.495138888888889</v>
      </c>
    </row>
    <row r="61" spans="1:10">
      <c r="A61" s="9">
        <f>VLOOKUP($C61,SKU!$A:$I,3,FALSE)</f>
        <v>10039</v>
      </c>
      <c r="B61" s="9" t="str">
        <f>VLOOKUP($C61,SKU!$A:$I,2,FALSE)</f>
        <v>非凡航海王第五弹</v>
      </c>
      <c r="C61" s="6" t="s">
        <v>184</v>
      </c>
      <c r="D61" s="6">
        <v>5</v>
      </c>
      <c r="E61" s="9">
        <f>D61*VLOOKUP(A61,Nhập入库!A:N,8,FALSE)</f>
        <v>100</v>
      </c>
      <c r="F61" s="6"/>
      <c r="G61" s="6" t="s">
        <v>33</v>
      </c>
      <c r="H61" s="6" t="s">
        <v>424</v>
      </c>
      <c r="I61" s="10" t="s">
        <v>454</v>
      </c>
      <c r="J61" s="138">
        <v>0.625</v>
      </c>
    </row>
    <row r="62" spans="1:10">
      <c r="A62" s="9">
        <f>VLOOKUP($C62,SKU!$A:$I,3,FALSE)</f>
        <v>10039</v>
      </c>
      <c r="B62" s="9" t="str">
        <f>VLOOKUP($C62,SKU!$A:$I,2,FALSE)</f>
        <v>非凡航海王第五弹</v>
      </c>
      <c r="C62" s="6" t="s">
        <v>184</v>
      </c>
      <c r="D62" s="6"/>
      <c r="E62" s="9">
        <f>D62*VLOOKUP(A62,Nhập入库!A:N,8,FALSE)</f>
        <v>0</v>
      </c>
      <c r="F62" s="6">
        <v>24</v>
      </c>
      <c r="G62" s="6" t="s">
        <v>429</v>
      </c>
      <c r="H62" s="6" t="s">
        <v>424</v>
      </c>
      <c r="I62" s="10" t="s">
        <v>456</v>
      </c>
      <c r="J62" s="138">
        <v>0.625</v>
      </c>
    </row>
    <row r="63" spans="1:10">
      <c r="A63" s="9">
        <f>VLOOKUP($C63,SKU!$A:$I,3,FALSE)</f>
        <v>10039</v>
      </c>
      <c r="B63" s="9" t="str">
        <f>VLOOKUP($C63,SKU!$A:$I,2,FALSE)</f>
        <v>非凡航海王第五弹</v>
      </c>
      <c r="C63" s="6" t="s">
        <v>184</v>
      </c>
      <c r="D63" s="6"/>
      <c r="E63" s="9">
        <f>D63*VLOOKUP(A63,Nhập入库!A:N,8,FALSE)</f>
        <v>0</v>
      </c>
      <c r="F63" s="6">
        <v>40</v>
      </c>
      <c r="G63" s="6" t="s">
        <v>429</v>
      </c>
      <c r="H63" s="6" t="s">
        <v>424</v>
      </c>
      <c r="I63" s="10" t="s">
        <v>455</v>
      </c>
      <c r="J63" s="138">
        <v>0.583333333333333</v>
      </c>
    </row>
    <row r="64" spans="1:10">
      <c r="A64" s="9">
        <f>VLOOKUP($C64,SKU!$A:$I,3,FALSE)</f>
        <v>10011</v>
      </c>
      <c r="B64" s="9" t="str">
        <f>VLOOKUP($C64,SKU!$A:$I,2,FALSE)</f>
        <v>灿卡文创宫崎骏第二弹《花涧物语》</v>
      </c>
      <c r="C64" s="6" t="s">
        <v>71</v>
      </c>
      <c r="D64" s="6">
        <v>3</v>
      </c>
      <c r="E64" s="9">
        <f>D64*VLOOKUP(A64,Nhập入库!A:N,8,FALSE)</f>
        <v>39</v>
      </c>
      <c r="F64" s="6"/>
      <c r="G64" s="6" t="s">
        <v>432</v>
      </c>
      <c r="H64" s="6" t="s">
        <v>431</v>
      </c>
      <c r="I64" s="10" t="s">
        <v>455</v>
      </c>
      <c r="J64" s="138">
        <v>0.949305555555556</v>
      </c>
    </row>
    <row r="65" spans="1:10">
      <c r="A65" s="9">
        <f>VLOOKUP($C65,SKU!$A:$I,3,FALSE)</f>
        <v>10047</v>
      </c>
      <c r="B65" s="9" t="str">
        <f>VLOOKUP($C65,SKU!$A:$I,2,FALSE)</f>
        <v>提瓦特工坊·原神水晶色纸</v>
      </c>
      <c r="C65" s="6" t="s">
        <v>209</v>
      </c>
      <c r="D65" s="6">
        <v>10</v>
      </c>
      <c r="E65" s="9">
        <f>D65*VLOOKUP(A65,Nhập入库!A:N,8,FALSE)</f>
        <v>10</v>
      </c>
      <c r="F65" s="6"/>
      <c r="G65" s="6" t="s">
        <v>426</v>
      </c>
      <c r="H65" s="6" t="s">
        <v>428</v>
      </c>
      <c r="I65" s="10" t="s">
        <v>455</v>
      </c>
      <c r="J65" s="138">
        <v>0.505555555555556</v>
      </c>
    </row>
    <row r="66" spans="1:10">
      <c r="A66" s="9">
        <f>VLOOKUP($C66,SKU!$A:$I,3,FALSE)</f>
        <v>10021</v>
      </c>
      <c r="B66" s="9" t="str">
        <f>VLOOKUP($C66,SKU!$A:$I,2,FALSE)</f>
        <v>新谷动漫名侦探柯南·仲夏夜之恋邮票集</v>
      </c>
      <c r="C66" s="6" t="s">
        <v>111</v>
      </c>
      <c r="D66" s="6">
        <v>2</v>
      </c>
      <c r="E66" s="9">
        <f>D66*VLOOKUP(A66,Nhập入库!A:N,8,FALSE)</f>
        <v>10</v>
      </c>
      <c r="F66" s="6"/>
      <c r="G66" s="6" t="s">
        <v>427</v>
      </c>
      <c r="H66" s="6" t="s">
        <v>424</v>
      </c>
      <c r="I66" s="10" t="s">
        <v>529</v>
      </c>
      <c r="J66" s="138"/>
    </row>
    <row r="67" spans="1:10">
      <c r="A67" s="9">
        <f>VLOOKUP($C67,SKU!$A:$I,3,FALSE)</f>
        <v>10021</v>
      </c>
      <c r="B67" s="9" t="str">
        <f>VLOOKUP($C67,SKU!$A:$I,2,FALSE)</f>
        <v>新谷动漫名侦探柯南·仲夏夜之恋邮票集</v>
      </c>
      <c r="C67" s="6" t="s">
        <v>111</v>
      </c>
      <c r="D67" s="6">
        <v>2</v>
      </c>
      <c r="E67" s="9">
        <f>D67*VLOOKUP(A67,Nhập入库!A:N,8,FALSE)</f>
        <v>10</v>
      </c>
      <c r="F67" s="6"/>
      <c r="G67" s="6" t="s">
        <v>430</v>
      </c>
      <c r="H67" s="6" t="s">
        <v>424</v>
      </c>
      <c r="I67" s="10" t="s">
        <v>529</v>
      </c>
      <c r="J67" s="138"/>
    </row>
    <row r="68" spans="1:10">
      <c r="A68" s="9">
        <f>VLOOKUP($C68,SKU!$A:$I,3,FALSE)</f>
        <v>10007</v>
      </c>
      <c r="B68" s="9" t="str">
        <f>VLOOKUP($C68,SKU!$A:$I,2,FALSE)</f>
        <v>kawaii宫崎骏梦幻之国</v>
      </c>
      <c r="C68" s="6" t="s">
        <v>49</v>
      </c>
      <c r="D68" s="6">
        <v>4</v>
      </c>
      <c r="E68" s="9">
        <f>D68*VLOOKUP(A68,Nhập入库!A:N,8,FALSE)</f>
        <v>52</v>
      </c>
      <c r="F68" s="6"/>
      <c r="G68" s="6" t="s">
        <v>427</v>
      </c>
      <c r="H68" s="6" t="s">
        <v>423</v>
      </c>
      <c r="I68" s="10" t="s">
        <v>457</v>
      </c>
      <c r="J68" s="138">
        <v>0.60625</v>
      </c>
    </row>
    <row r="69" spans="1:10">
      <c r="A69" s="9">
        <f>VLOOKUP($C69,SKU!$A:$I,3,FALSE)</f>
        <v>10007</v>
      </c>
      <c r="B69" s="9" t="str">
        <f>VLOOKUP($C69,SKU!$A:$I,2,FALSE)</f>
        <v>kawaii宫崎骏梦幻之国</v>
      </c>
      <c r="C69" s="6" t="s">
        <v>49</v>
      </c>
      <c r="D69" s="6"/>
      <c r="E69" s="9">
        <f>D69*VLOOKUP(A69,Nhập入库!A:N,8,FALSE)</f>
        <v>0</v>
      </c>
      <c r="F69" s="6">
        <v>11</v>
      </c>
      <c r="G69" s="6" t="s">
        <v>86</v>
      </c>
      <c r="H69" s="6" t="s">
        <v>423</v>
      </c>
      <c r="I69" s="10" t="s">
        <v>457</v>
      </c>
      <c r="J69" s="138">
        <v>0.60625</v>
      </c>
    </row>
    <row r="70" spans="1:10">
      <c r="A70" s="9">
        <f>VLOOKUP($C70,SKU!$A:$I,3,FALSE)</f>
        <v>10011</v>
      </c>
      <c r="B70" s="9" t="str">
        <f>VLOOKUP($C70,SKU!$A:$I,2,FALSE)</f>
        <v>灿卡文创宫崎骏第二弹《花涧物语》</v>
      </c>
      <c r="C70" s="6" t="s">
        <v>71</v>
      </c>
      <c r="D70" s="6"/>
      <c r="E70" s="9">
        <f>D70*VLOOKUP(A70,Nhập入库!A:N,8,FALSE)</f>
        <v>0</v>
      </c>
      <c r="F70" s="6">
        <v>62</v>
      </c>
      <c r="G70" s="6" t="s">
        <v>427</v>
      </c>
      <c r="H70" s="6" t="s">
        <v>423</v>
      </c>
      <c r="I70" s="10" t="s">
        <v>457</v>
      </c>
      <c r="J70" s="138">
        <v>0.60625</v>
      </c>
    </row>
    <row r="71" spans="1:10">
      <c r="A71" s="9">
        <f>VLOOKUP($C71,SKU!$A:$I,3,FALSE)</f>
        <v>10011</v>
      </c>
      <c r="B71" s="9" t="str">
        <f>VLOOKUP($C71,SKU!$A:$I,2,FALSE)</f>
        <v>灿卡文创宫崎骏第二弹《花涧物语》</v>
      </c>
      <c r="C71" s="6" t="s">
        <v>71</v>
      </c>
      <c r="D71" s="6"/>
      <c r="E71" s="9">
        <f>D71*VLOOKUP(A71,Nhập入库!A:N,8,FALSE)</f>
        <v>0</v>
      </c>
      <c r="F71" s="6">
        <v>34</v>
      </c>
      <c r="G71" s="6" t="s">
        <v>86</v>
      </c>
      <c r="H71" s="6" t="s">
        <v>423</v>
      </c>
      <c r="I71" s="10" t="s">
        <v>457</v>
      </c>
      <c r="J71" s="138">
        <v>0.60625</v>
      </c>
    </row>
    <row r="72" spans="1:10">
      <c r="A72" s="9">
        <f>VLOOKUP($C72,SKU!$A:$I,3,FALSE)</f>
        <v>10006</v>
      </c>
      <c r="B72" s="9" t="str">
        <f>VLOOKUP($C72,SKU!$A:$I,2,FALSE)</f>
        <v>云映文化「云之境の夏」第二弹·宫崎骏珍藏卡牌</v>
      </c>
      <c r="C72" s="6" t="s">
        <v>43</v>
      </c>
      <c r="D72" s="6"/>
      <c r="E72" s="9">
        <f>D72*VLOOKUP(A72,Nhập入库!A:N,8,FALSE)</f>
        <v>0</v>
      </c>
      <c r="F72" s="6">
        <v>62</v>
      </c>
      <c r="G72" s="6" t="s">
        <v>86</v>
      </c>
      <c r="H72" s="6" t="s">
        <v>423</v>
      </c>
      <c r="I72" s="10" t="s">
        <v>457</v>
      </c>
      <c r="J72" s="138">
        <v>0.476388888888889</v>
      </c>
    </row>
    <row r="73" spans="1:10">
      <c r="A73" s="9">
        <f>VLOOKUP($C73,SKU!$A:$I,3,FALSE)</f>
        <v>10004</v>
      </c>
      <c r="B73" s="9" t="str">
        <f>VLOOKUP($C73,SKU!$A:$I,2,FALSE)</f>
        <v>初见花海咒术回战第一弹</v>
      </c>
      <c r="C73" s="6" t="s">
        <v>30</v>
      </c>
      <c r="D73" s="6">
        <v>20</v>
      </c>
      <c r="E73" s="9">
        <f>D73*VLOOKUP(A73,Nhập入库!A:N,8,FALSE)</f>
        <v>20</v>
      </c>
      <c r="F73" s="6"/>
      <c r="G73" s="6" t="s">
        <v>86</v>
      </c>
      <c r="H73" s="6" t="s">
        <v>423</v>
      </c>
      <c r="I73" s="10" t="s">
        <v>457</v>
      </c>
      <c r="J73" s="138">
        <v>0.476388888888889</v>
      </c>
    </row>
    <row r="74" spans="1:10">
      <c r="A74" s="9">
        <f>VLOOKUP($C74,SKU!$A:$I,3,FALSE)</f>
        <v>10014</v>
      </c>
      <c r="B74" s="9" t="str">
        <f>VLOOKUP($C74,SKU!$A:$I,2,FALSE)</f>
        <v>星梦文创-Studio Ghibli宫崎骏撕撕乐系列 </v>
      </c>
      <c r="C74" s="6" t="s">
        <v>83</v>
      </c>
      <c r="D74" s="6"/>
      <c r="E74" s="9">
        <f>D74*VLOOKUP(A74,Nhập入库!A:N,8,FALSE)</f>
        <v>0</v>
      </c>
      <c r="F74" s="6">
        <v>58</v>
      </c>
      <c r="G74" s="6" t="s">
        <v>86</v>
      </c>
      <c r="H74" s="6" t="s">
        <v>423</v>
      </c>
      <c r="I74" s="10" t="s">
        <v>457</v>
      </c>
      <c r="J74" s="138">
        <v>0.476388888888889</v>
      </c>
    </row>
    <row r="75" spans="1:10">
      <c r="A75" s="9">
        <f>VLOOKUP($C75,SKU!$A:$I,3,FALSE)</f>
        <v>10026</v>
      </c>
      <c r="B75" s="9" t="str">
        <f>VLOOKUP($C75,SKU!$A:$I,2,FALSE)</f>
        <v>星恋文创·恋与深空《晦明交错之间》亚克力相框卡</v>
      </c>
      <c r="C75" s="6" t="s">
        <v>131</v>
      </c>
      <c r="D75" s="6"/>
      <c r="E75" s="9">
        <f>D75*VLOOKUP(A75,Nhập入库!A:N,8,FALSE)</f>
        <v>0</v>
      </c>
      <c r="F75" s="6">
        <v>18</v>
      </c>
      <c r="G75" s="6" t="s">
        <v>86</v>
      </c>
      <c r="H75" s="6" t="s">
        <v>423</v>
      </c>
      <c r="I75" s="10" t="s">
        <v>457</v>
      </c>
      <c r="J75" s="138">
        <v>0.476388888888889</v>
      </c>
    </row>
    <row r="76" spans="1:10">
      <c r="A76" s="9">
        <f>VLOOKUP($C76,SKU!$A:$I,3,FALSE)</f>
        <v>10021</v>
      </c>
      <c r="B76" s="9" t="str">
        <f>VLOOKUP($C76,SKU!$A:$I,2,FALSE)</f>
        <v>新谷动漫名侦探柯南·仲夏夜之恋邮票集</v>
      </c>
      <c r="C76" s="6" t="s">
        <v>111</v>
      </c>
      <c r="D76" s="6"/>
      <c r="E76" s="9">
        <f>D76*VLOOKUP(A76,Nhập入库!A:N,8,FALSE)</f>
        <v>0</v>
      </c>
      <c r="F76" s="6">
        <v>12</v>
      </c>
      <c r="G76" s="6" t="s">
        <v>430</v>
      </c>
      <c r="H76" s="6" t="s">
        <v>424</v>
      </c>
      <c r="I76" s="10" t="s">
        <v>529</v>
      </c>
      <c r="J76" s="138"/>
    </row>
    <row r="77" spans="1:10">
      <c r="A77" s="9">
        <f>VLOOKUP($C77,SKU!$A:$I,3,FALSE)</f>
        <v>10003</v>
      </c>
      <c r="B77" s="9" t="str">
        <f>VLOOKUP($C77,SKU!$A:$I,2,FALSE)</f>
        <v>DUO米全新出品鬼灭之刃-柱合会议篇第二弹</v>
      </c>
      <c r="C77" s="6" t="s">
        <v>24</v>
      </c>
      <c r="D77" s="6">
        <v>1</v>
      </c>
      <c r="E77" s="9">
        <f>D77*VLOOKUP(A77,Nhập入库!A:N,8,FALSE)</f>
        <v>13</v>
      </c>
      <c r="F77" s="6">
        <v>22</v>
      </c>
      <c r="G77" s="6" t="s">
        <v>426</v>
      </c>
      <c r="H77" s="6" t="s">
        <v>424</v>
      </c>
      <c r="I77" s="10" t="s">
        <v>457</v>
      </c>
      <c r="J77" s="138">
        <v>0.513194444444444</v>
      </c>
    </row>
    <row r="78" spans="1:10">
      <c r="A78" s="9">
        <f>VLOOKUP($C78,SKU!$A:$I,3,FALSE)</f>
        <v>10047</v>
      </c>
      <c r="B78" s="9" t="str">
        <f>VLOOKUP($C78,SKU!$A:$I,2,FALSE)</f>
        <v>提瓦特工坊·原神水晶色纸</v>
      </c>
      <c r="C78" s="6" t="s">
        <v>209</v>
      </c>
      <c r="D78" s="6">
        <v>6</v>
      </c>
      <c r="E78" s="9">
        <f>D78*VLOOKUP(A78,Nhập入库!A:N,8,FALSE)</f>
        <v>6</v>
      </c>
      <c r="F78" s="6"/>
      <c r="G78" s="6" t="s">
        <v>426</v>
      </c>
      <c r="H78" s="6" t="s">
        <v>428</v>
      </c>
      <c r="I78" s="10" t="s">
        <v>457</v>
      </c>
      <c r="J78" s="138">
        <v>0.817361111111111</v>
      </c>
    </row>
    <row r="79" spans="1:10">
      <c r="A79" s="9">
        <f>VLOOKUP($C79,SKU!$A:$I,3,FALSE)</f>
        <v>10011</v>
      </c>
      <c r="B79" s="9" t="str">
        <f>VLOOKUP($C79,SKU!$A:$I,2,FALSE)</f>
        <v>灿卡文创宫崎骏第二弹《花涧物语》</v>
      </c>
      <c r="C79" s="6" t="s">
        <v>71</v>
      </c>
      <c r="D79" s="6">
        <v>2</v>
      </c>
      <c r="E79" s="9">
        <f>D79*VLOOKUP(A79,Nhập入库!A:N,8,FALSE)</f>
        <v>26</v>
      </c>
      <c r="F79" s="6"/>
      <c r="G79" s="6" t="s">
        <v>432</v>
      </c>
      <c r="H79" s="6" t="s">
        <v>431</v>
      </c>
      <c r="I79" s="10" t="s">
        <v>457</v>
      </c>
      <c r="J79" s="138">
        <v>0.958333333333333</v>
      </c>
    </row>
    <row r="80" spans="1:10">
      <c r="A80" s="9">
        <f>VLOOKUP($C80,SKU!$A:$I,3,FALSE)</f>
        <v>10004</v>
      </c>
      <c r="B80" s="9" t="str">
        <f>VLOOKUP($C80,SKU!$A:$I,2,FALSE)</f>
        <v>初见花海咒术回战第一弹</v>
      </c>
      <c r="C80" s="6" t="s">
        <v>30</v>
      </c>
      <c r="D80" s="6"/>
      <c r="E80" s="9">
        <f>D80*VLOOKUP(A80,Nhập入库!A:N,8,FALSE)</f>
        <v>0</v>
      </c>
      <c r="F80" s="6">
        <v>18</v>
      </c>
      <c r="G80" s="6" t="s">
        <v>430</v>
      </c>
      <c r="H80" s="6" t="s">
        <v>424</v>
      </c>
      <c r="I80" s="10" t="s">
        <v>539</v>
      </c>
      <c r="J80" s="138">
        <v>0.395138888888889</v>
      </c>
    </row>
    <row r="81" spans="1:10">
      <c r="A81" s="31">
        <f>VLOOKUP($C81,SKU!$A:$I,3,FALSE)</f>
        <v>10047</v>
      </c>
      <c r="B81" s="31" t="str">
        <f>VLOOKUP($C81,SKU!$A:$I,2,FALSE)</f>
        <v>提瓦特工坊·原神水晶色纸</v>
      </c>
      <c r="C81" s="135" t="s">
        <v>209</v>
      </c>
      <c r="D81" s="1">
        <v>4</v>
      </c>
      <c r="E81" s="31">
        <f>D81*VLOOKUP(A81,Nhập入库!A:N,8,FALSE)</f>
        <v>4</v>
      </c>
      <c r="G81" s="135" t="s">
        <v>429</v>
      </c>
      <c r="H81" s="135" t="s">
        <v>406</v>
      </c>
      <c r="I81" s="144" t="s">
        <v>462</v>
      </c>
      <c r="J81" s="134">
        <v>0.398611111111111</v>
      </c>
    </row>
    <row r="82" spans="1:10">
      <c r="A82" s="9">
        <f>VLOOKUP($C82,SKU!$A:$I,3,FALSE)</f>
        <v>10011</v>
      </c>
      <c r="B82" s="9" t="str">
        <f>VLOOKUP($C82,SKU!$A:$I,2,FALSE)</f>
        <v>灿卡文创宫崎骏第二弹《花涧物语》</v>
      </c>
      <c r="C82" s="6" t="s">
        <v>71</v>
      </c>
      <c r="D82" s="6">
        <v>1</v>
      </c>
      <c r="E82" s="9">
        <f>D82*VLOOKUP(A82,Nhập入库!A:N,8,FALSE)</f>
        <v>13</v>
      </c>
      <c r="F82" s="6"/>
      <c r="G82" s="6" t="s">
        <v>432</v>
      </c>
      <c r="H82" s="6" t="s">
        <v>431</v>
      </c>
      <c r="I82" s="10" t="s">
        <v>462</v>
      </c>
      <c r="J82" s="133">
        <v>0.770833333333333</v>
      </c>
    </row>
    <row r="83" spans="1:10">
      <c r="A83" s="9">
        <f>VLOOKUP($C83,SKU!$A:$I,3,FALSE)</f>
        <v>10052</v>
      </c>
      <c r="B83" s="9" t="str">
        <f>VLOOKUP($C83,SKU!$A:$I,2,FALSE)</f>
        <v>柯南洞悉包第五弹</v>
      </c>
      <c r="C83" s="6" t="s">
        <v>225</v>
      </c>
      <c r="D83" s="6">
        <v>5</v>
      </c>
      <c r="E83" s="9">
        <f>D83*VLOOKUP(A83,Nhập入库!A:N,8,FALSE)</f>
        <v>90</v>
      </c>
      <c r="F83" s="6"/>
      <c r="G83" s="6" t="s">
        <v>33</v>
      </c>
      <c r="H83" s="6" t="s">
        <v>431</v>
      </c>
      <c r="I83" s="10" t="s">
        <v>462</v>
      </c>
      <c r="J83" s="133">
        <v>0.958333333333333</v>
      </c>
    </row>
    <row r="84" spans="1:10">
      <c r="A84" s="9">
        <f>VLOOKUP($C84,SKU!$A:$I,3,FALSE)</f>
        <v>10052</v>
      </c>
      <c r="B84" s="9" t="str">
        <f>VLOOKUP($C84,SKU!$A:$I,2,FALSE)</f>
        <v>柯南洞悉包第五弹</v>
      </c>
      <c r="C84" s="10" t="s">
        <v>225</v>
      </c>
      <c r="D84" s="6">
        <v>3</v>
      </c>
      <c r="E84" s="9">
        <f>D84*VLOOKUP(A84,Nhập入库!A:N,8,FALSE)</f>
        <v>54</v>
      </c>
      <c r="F84" s="6"/>
      <c r="G84" s="6" t="s">
        <v>33</v>
      </c>
      <c r="H84" s="6" t="s">
        <v>431</v>
      </c>
      <c r="I84" s="10" t="s">
        <v>463</v>
      </c>
      <c r="J84" s="133">
        <v>0.958333333333333</v>
      </c>
    </row>
    <row r="85" spans="1:10">
      <c r="A85" s="9">
        <f>VLOOKUP($C85,SKU!$A:$I,3,FALSE)</f>
        <v>10026</v>
      </c>
      <c r="B85" s="9" t="str">
        <f>VLOOKUP($C85,SKU!$A:$I,2,FALSE)</f>
        <v>星恋文创·恋与深空《晦明交错之间》亚克力相框卡</v>
      </c>
      <c r="C85" s="10" t="s">
        <v>131</v>
      </c>
      <c r="D85" s="6">
        <v>19</v>
      </c>
      <c r="E85" s="9">
        <f>D85*VLOOKUP(A85,Nhập入库!A:N,8,FALSE)</f>
        <v>19</v>
      </c>
      <c r="F85" s="6"/>
      <c r="G85" s="6" t="s">
        <v>429</v>
      </c>
      <c r="H85" s="6" t="s">
        <v>428</v>
      </c>
      <c r="I85" s="10" t="s">
        <v>464</v>
      </c>
      <c r="J85" s="133">
        <v>0.10625</v>
      </c>
    </row>
    <row r="86" spans="1:10">
      <c r="A86" s="9">
        <f>VLOOKUP($C86,SKU!$A:$I,3,FALSE)</f>
        <v>10028</v>
      </c>
      <c r="B86" s="9" t="str">
        <f>VLOOKUP($C86,SKU!$A:$I,2,FALSE)</f>
        <v>潮玩咔原神 尘世收藏卡</v>
      </c>
      <c r="C86" s="10" t="s">
        <v>139</v>
      </c>
      <c r="D86" s="6"/>
      <c r="E86" s="9">
        <f>D86*VLOOKUP(A86,Nhập入库!A:N,8,FALSE)</f>
        <v>0</v>
      </c>
      <c r="F86" s="6">
        <v>29</v>
      </c>
      <c r="G86" s="10" t="s">
        <v>429</v>
      </c>
      <c r="H86" s="10" t="s">
        <v>406</v>
      </c>
      <c r="I86" s="10" t="s">
        <v>464</v>
      </c>
      <c r="J86" s="138">
        <v>0.444444444444444</v>
      </c>
    </row>
    <row r="87" spans="1:10">
      <c r="A87" s="9">
        <f>VLOOKUP($C87,SKU!$A:$I,3,FALSE)</f>
        <v>10053</v>
      </c>
      <c r="B87" s="9" t="str">
        <f>VLOOKUP($C87,SKU!$A:$I,2,FALSE)</f>
        <v>悦灵文创 《落花只为君》第三弹</v>
      </c>
      <c r="C87" s="10" t="s">
        <v>228</v>
      </c>
      <c r="D87" s="6"/>
      <c r="E87" s="9">
        <f>D87*VLOOKUP(A87,Nhập入库!A:N,8,FALSE)</f>
        <v>0</v>
      </c>
      <c r="F87" s="6">
        <v>79</v>
      </c>
      <c r="G87" s="10" t="s">
        <v>433</v>
      </c>
      <c r="H87" s="10" t="s">
        <v>406</v>
      </c>
      <c r="I87" s="10" t="s">
        <v>464</v>
      </c>
      <c r="J87" s="138">
        <v>0.4875</v>
      </c>
    </row>
    <row r="88" spans="1:10">
      <c r="A88" s="9">
        <f>VLOOKUP($C88,SKU!$A:$I,3,FALSE)</f>
        <v>10007</v>
      </c>
      <c r="B88" s="9" t="str">
        <f>VLOOKUP($C88,SKU!$A:$I,2,FALSE)</f>
        <v>kawaii宫崎骏梦幻之国</v>
      </c>
      <c r="C88" s="10" t="s">
        <v>49</v>
      </c>
      <c r="D88" s="6">
        <v>3</v>
      </c>
      <c r="E88" s="31">
        <f>D88*VLOOKUP(A88,Nhập入库!A:N,8,FALSE)</f>
        <v>39</v>
      </c>
      <c r="F88" s="6"/>
      <c r="G88" s="10" t="s">
        <v>33</v>
      </c>
      <c r="H88" s="10" t="s">
        <v>406</v>
      </c>
      <c r="I88" s="10" t="s">
        <v>464</v>
      </c>
      <c r="J88" s="138">
        <v>0.497916666666667</v>
      </c>
    </row>
    <row r="89" spans="1:10">
      <c r="A89" s="9">
        <f>VLOOKUP($C89,SKU!$A:$I,3,FALSE)</f>
        <v>10007</v>
      </c>
      <c r="B89" s="9" t="str">
        <f>VLOOKUP($C89,SKU!$A:$I,2,FALSE)</f>
        <v>kawaii宫崎骏梦幻之国</v>
      </c>
      <c r="C89" s="10" t="s">
        <v>49</v>
      </c>
      <c r="D89" s="6">
        <v>3</v>
      </c>
      <c r="E89" s="31">
        <f>D89*VLOOKUP(A89,Nhập入库!A:N,8,FALSE)</f>
        <v>39</v>
      </c>
      <c r="F89" s="6"/>
      <c r="G89" s="10" t="s">
        <v>425</v>
      </c>
      <c r="H89" s="10" t="s">
        <v>406</v>
      </c>
      <c r="I89" s="10" t="s">
        <v>464</v>
      </c>
      <c r="J89" s="138">
        <v>0.497916666666667</v>
      </c>
    </row>
    <row r="90" spans="1:10">
      <c r="A90" s="9">
        <f>VLOOKUP($C90,SKU!$A:$I,3,FALSE)</f>
        <v>10046</v>
      </c>
      <c r="B90" s="9" t="str">
        <f>VLOOKUP($C90,SKU!$A:$I,2,FALSE)</f>
        <v>夜灯</v>
      </c>
      <c r="C90" s="6" t="s">
        <v>207</v>
      </c>
      <c r="D90" s="6">
        <v>2</v>
      </c>
      <c r="E90" s="31">
        <f>D90*VLOOKUP(A90,Nhập入库!A:N,8,FALSE)</f>
        <v>2</v>
      </c>
      <c r="F90" s="6"/>
      <c r="G90" s="6" t="s">
        <v>429</v>
      </c>
      <c r="H90" s="6" t="s">
        <v>424</v>
      </c>
      <c r="I90" s="10" t="s">
        <v>464</v>
      </c>
      <c r="J90" s="138">
        <v>0.413888888888889</v>
      </c>
    </row>
    <row r="91" spans="1:10">
      <c r="A91" s="9">
        <f>VLOOKUP($C91,SKU!$A:$I,3,FALSE)</f>
        <v>10007</v>
      </c>
      <c r="B91" s="9" t="str">
        <f>VLOOKUP($C91,SKU!$A:$I,2,FALSE)</f>
        <v>kawaii宫崎骏梦幻之国</v>
      </c>
      <c r="C91" s="10" t="s">
        <v>49</v>
      </c>
      <c r="D91" s="6">
        <v>4</v>
      </c>
      <c r="E91" s="31">
        <f>D91*VLOOKUP(A91,Nhập入库!A:N,8,FALSE)</f>
        <v>52</v>
      </c>
      <c r="F91" s="6"/>
      <c r="G91" s="10" t="s">
        <v>90</v>
      </c>
      <c r="H91" s="10" t="s">
        <v>406</v>
      </c>
      <c r="I91" s="10" t="s">
        <v>464</v>
      </c>
      <c r="J91" s="138">
        <v>0.517361111111111</v>
      </c>
    </row>
    <row r="92" spans="1:10">
      <c r="A92" s="9">
        <f>VLOOKUP($C92,SKU!$A:$I,3,FALSE)</f>
        <v>10007</v>
      </c>
      <c r="B92" s="9" t="str">
        <f>VLOOKUP($C92,SKU!$A:$I,2,FALSE)</f>
        <v>kawaii宫崎骏梦幻之国</v>
      </c>
      <c r="C92" s="10" t="s">
        <v>49</v>
      </c>
      <c r="D92" s="6"/>
      <c r="E92" s="31">
        <f>D92*VLOOKUP(A92,Nhập入库!A:N,8,FALSE)</f>
        <v>0</v>
      </c>
      <c r="F92" s="6">
        <v>24</v>
      </c>
      <c r="G92" s="10" t="s">
        <v>90</v>
      </c>
      <c r="H92" s="10" t="s">
        <v>406</v>
      </c>
      <c r="I92" s="10" t="s">
        <v>464</v>
      </c>
      <c r="J92" s="138">
        <v>0.527777777777778</v>
      </c>
    </row>
    <row r="93" spans="1:10">
      <c r="A93" s="9">
        <f>VLOOKUP($C93,SKU!$A:$I,3,FALSE)</f>
        <v>10007</v>
      </c>
      <c r="B93" s="9" t="str">
        <f>VLOOKUP($C93,SKU!$A:$I,2,FALSE)</f>
        <v>kawaii宫崎骏梦幻之国</v>
      </c>
      <c r="C93" s="10" t="s">
        <v>49</v>
      </c>
      <c r="D93" s="6">
        <v>3</v>
      </c>
      <c r="E93" s="31">
        <f>D93*VLOOKUP(A93,Nhập入库!A:N,8,FALSE)</f>
        <v>39</v>
      </c>
      <c r="F93" s="6">
        <v>30</v>
      </c>
      <c r="G93" s="10" t="s">
        <v>430</v>
      </c>
      <c r="H93" s="10" t="s">
        <v>406</v>
      </c>
      <c r="I93" s="10" t="s">
        <v>464</v>
      </c>
      <c r="J93" s="138">
        <v>0.527777777777778</v>
      </c>
    </row>
    <row r="94" spans="1:10">
      <c r="A94" s="9">
        <f>VLOOKUP($C94,SKU!$A:$I,3,FALSE)</f>
        <v>10007</v>
      </c>
      <c r="B94" s="9" t="str">
        <f>VLOOKUP($C94,SKU!$A:$I,2,FALSE)</f>
        <v>kawaii宫崎骏梦幻之国</v>
      </c>
      <c r="C94" s="10" t="s">
        <v>49</v>
      </c>
      <c r="D94" s="6">
        <v>2</v>
      </c>
      <c r="E94" s="31">
        <f>D94*VLOOKUP(A94,Nhập入库!A:N,8,FALSE)</f>
        <v>26</v>
      </c>
      <c r="F94" s="6">
        <v>17</v>
      </c>
      <c r="G94" s="10" t="s">
        <v>429</v>
      </c>
      <c r="H94" s="10" t="s">
        <v>406</v>
      </c>
      <c r="I94" s="10" t="s">
        <v>464</v>
      </c>
      <c r="J94" s="138">
        <v>0.530555555555556</v>
      </c>
    </row>
    <row r="95" spans="1:10">
      <c r="A95" s="9">
        <f>VLOOKUP($C95,SKU!$A:$I,3,FALSE)</f>
        <v>10007</v>
      </c>
      <c r="B95" s="9" t="str">
        <f>VLOOKUP($C95,SKU!$A:$I,2,FALSE)</f>
        <v>kawaii宫崎骏梦幻之国</v>
      </c>
      <c r="C95" s="10" t="s">
        <v>49</v>
      </c>
      <c r="D95" s="6"/>
      <c r="E95" s="31">
        <f>D95*VLOOKUP(A95,Nhập入库!A:N,8,FALSE)</f>
        <v>0</v>
      </c>
      <c r="F95" s="6">
        <v>25</v>
      </c>
      <c r="G95" s="10" t="s">
        <v>425</v>
      </c>
      <c r="H95" s="10" t="s">
        <v>406</v>
      </c>
      <c r="I95" s="10" t="s">
        <v>464</v>
      </c>
      <c r="J95" s="138">
        <v>0.530555555555556</v>
      </c>
    </row>
    <row r="96" spans="1:10">
      <c r="A96" s="9">
        <f>VLOOKUP($C96,SKU!$A:$I,3,FALSE)</f>
        <v>10007</v>
      </c>
      <c r="B96" s="9" t="str">
        <f>VLOOKUP($C96,SKU!$A:$I,2,FALSE)</f>
        <v>kawaii宫崎骏梦幻之国</v>
      </c>
      <c r="C96" s="10" t="s">
        <v>49</v>
      </c>
      <c r="D96" s="6"/>
      <c r="E96" s="31">
        <f>D96*VLOOKUP(A96,Nhập入库!A:N,8,FALSE)</f>
        <v>0</v>
      </c>
      <c r="F96" s="6">
        <v>7</v>
      </c>
      <c r="G96" s="10" t="s">
        <v>429</v>
      </c>
      <c r="H96" s="10" t="s">
        <v>428</v>
      </c>
      <c r="I96" s="10" t="s">
        <v>464</v>
      </c>
      <c r="J96" s="138">
        <v>0.697222222222222</v>
      </c>
    </row>
    <row r="97" spans="1:10">
      <c r="A97" s="9">
        <f>VLOOKUP($C97,SKU!$A:$I,3,FALSE)</f>
        <v>10011</v>
      </c>
      <c r="B97" s="9" t="str">
        <f>VLOOKUP($C97,SKU!$A:$I,2,FALSE)</f>
        <v>灿卡文创宫崎骏第二弹《花涧物语》</v>
      </c>
      <c r="C97" s="6" t="s">
        <v>71</v>
      </c>
      <c r="D97" s="6">
        <v>1</v>
      </c>
      <c r="E97" s="31">
        <f>D97*VLOOKUP(A97,Nhập入库!A:N,8,FALSE)</f>
        <v>13</v>
      </c>
      <c r="F97" s="6"/>
      <c r="G97" s="6" t="s">
        <v>432</v>
      </c>
      <c r="H97" s="6" t="s">
        <v>424</v>
      </c>
      <c r="I97" s="10" t="s">
        <v>464</v>
      </c>
      <c r="J97" s="138">
        <v>0.413888888888889</v>
      </c>
    </row>
    <row r="98" spans="1:10">
      <c r="A98" s="9">
        <f>VLOOKUP($C98,SKU!$A:$I,3,FALSE)</f>
        <v>10011</v>
      </c>
      <c r="B98" s="9" t="str">
        <f>VLOOKUP($C98,SKU!$A:$I,2,FALSE)</f>
        <v>灿卡文创宫崎骏第二弹《花涧物语》</v>
      </c>
      <c r="C98" s="6" t="s">
        <v>71</v>
      </c>
      <c r="D98" s="6"/>
      <c r="E98" s="31">
        <f>D98*VLOOKUP(A98,Nhập入库!A:N,8,FALSE)</f>
        <v>0</v>
      </c>
      <c r="F98" s="6">
        <v>40</v>
      </c>
      <c r="G98" s="6" t="s">
        <v>432</v>
      </c>
      <c r="H98" s="6" t="s">
        <v>424</v>
      </c>
      <c r="I98" s="10" t="s">
        <v>464</v>
      </c>
      <c r="J98" s="138">
        <v>0.430555555555556</v>
      </c>
    </row>
    <row r="99" spans="1:10">
      <c r="A99" s="9">
        <f>VLOOKUP($C99,SKU!$A:$I,3,FALSE)</f>
        <v>10011</v>
      </c>
      <c r="B99" s="9" t="str">
        <f>VLOOKUP($C99,SKU!$A:$I,2,FALSE)</f>
        <v>灿卡文创宫崎骏第二弹《花涧物语》</v>
      </c>
      <c r="C99" s="6" t="s">
        <v>71</v>
      </c>
      <c r="D99" s="6"/>
      <c r="E99" s="31">
        <f>D99*VLOOKUP(A99,Nhập入库!A:N,8,FALSE)</f>
        <v>0</v>
      </c>
      <c r="F99" s="6">
        <v>21</v>
      </c>
      <c r="G99" s="6" t="s">
        <v>86</v>
      </c>
      <c r="H99" s="6" t="s">
        <v>424</v>
      </c>
      <c r="I99" s="10" t="s">
        <v>464</v>
      </c>
      <c r="J99" s="138">
        <v>0.430555555555556</v>
      </c>
    </row>
    <row r="100" spans="1:10">
      <c r="A100" s="9">
        <f>VLOOKUP($C100,SKU!$A:$I,3,FALSE)</f>
        <v>10037</v>
      </c>
      <c r="B100" s="9" t="str">
        <f>VLOOKUP($C100,SKU!$A:$I,2,FALSE)</f>
        <v>磁吸邮票《咪咕咪咕&amp;魔卡少女樱》</v>
      </c>
      <c r="C100" s="6" t="s">
        <v>175</v>
      </c>
      <c r="D100" s="6"/>
      <c r="E100" s="31">
        <f>D100*VLOOKUP(A100,Nhập入库!A:N,8,FALSE)</f>
        <v>0</v>
      </c>
      <c r="F100" s="6">
        <v>5</v>
      </c>
      <c r="G100" s="6" t="s">
        <v>426</v>
      </c>
      <c r="H100" s="6" t="s">
        <v>424</v>
      </c>
      <c r="I100" s="10" t="s">
        <v>464</v>
      </c>
      <c r="J100" s="138">
        <v>0.502083333333333</v>
      </c>
    </row>
    <row r="101" spans="1:10">
      <c r="A101" s="9">
        <f>VLOOKUP($C101,SKU!$A:$I,3,FALSE)</f>
        <v>10053</v>
      </c>
      <c r="B101" s="9" t="str">
        <f>VLOOKUP($C101,SKU!$A:$I,2,FALSE)</f>
        <v>悦灵文创 《落花只为君》第三弹</v>
      </c>
      <c r="C101" s="10" t="s">
        <v>228</v>
      </c>
      <c r="D101" s="6"/>
      <c r="E101" s="9">
        <f>D101*VLOOKUP(A101,Nhập入库!A:N,8,FALSE)</f>
        <v>0</v>
      </c>
      <c r="F101" s="6">
        <v>66</v>
      </c>
      <c r="G101" s="10" t="s">
        <v>422</v>
      </c>
      <c r="H101" s="10" t="s">
        <v>431</v>
      </c>
      <c r="I101" s="10" t="s">
        <v>464</v>
      </c>
      <c r="J101" s="138">
        <v>0.841666666666667</v>
      </c>
    </row>
    <row r="102" spans="1:10">
      <c r="A102" s="9">
        <f>VLOOKUP($C102,SKU!$A:$I,3,FALSE)</f>
        <v>10052</v>
      </c>
      <c r="B102" s="9" t="str">
        <f>VLOOKUP($C102,SKU!$A:$I,2,FALSE)</f>
        <v>柯南洞悉包第五弹</v>
      </c>
      <c r="C102" s="10" t="s">
        <v>225</v>
      </c>
      <c r="D102" s="6">
        <v>3</v>
      </c>
      <c r="E102" s="9">
        <f>D102*VLOOKUP(A102,Nhập入库!A:N,8,FALSE)</f>
        <v>54</v>
      </c>
      <c r="F102" s="6"/>
      <c r="G102" s="10" t="s">
        <v>33</v>
      </c>
      <c r="H102" s="10" t="s">
        <v>431</v>
      </c>
      <c r="I102" s="10" t="s">
        <v>464</v>
      </c>
      <c r="J102" s="138">
        <v>0.841666666666667</v>
      </c>
    </row>
    <row r="103" spans="1:10">
      <c r="A103" s="9">
        <f>VLOOKUP($C103,SKU!$A:$I,3,FALSE)</f>
        <v>10039</v>
      </c>
      <c r="B103" s="9" t="str">
        <f>VLOOKUP($C103,SKU!$A:$I,2,FALSE)</f>
        <v>非凡航海王第五弹</v>
      </c>
      <c r="C103" s="10" t="s">
        <v>184</v>
      </c>
      <c r="D103" s="6"/>
      <c r="E103" s="9">
        <f>D103*VLOOKUP(A103,Nhập入库!A:N,8,FALSE)</f>
        <v>0</v>
      </c>
      <c r="F103" s="6">
        <v>20</v>
      </c>
      <c r="G103" s="10" t="s">
        <v>33</v>
      </c>
      <c r="H103" s="10" t="s">
        <v>431</v>
      </c>
      <c r="I103" s="10" t="s">
        <v>464</v>
      </c>
      <c r="J103" s="145">
        <v>0.963194444444444</v>
      </c>
    </row>
    <row r="104" spans="1:10">
      <c r="A104" s="9">
        <f>VLOOKUP($C104,SKU!$A:$I,3,FALSE)</f>
        <v>10011</v>
      </c>
      <c r="B104" s="9" t="str">
        <f>VLOOKUP($C104,SKU!$A:$I,2,FALSE)</f>
        <v>灿卡文创宫崎骏第二弹《花涧物语》</v>
      </c>
      <c r="C104" s="10" t="s">
        <v>71</v>
      </c>
      <c r="D104" s="6"/>
      <c r="E104" s="9">
        <f>D104*VLOOKUP(A104,Nhập入库!A:N,8,FALSE)</f>
        <v>0</v>
      </c>
      <c r="F104" s="6">
        <v>21</v>
      </c>
      <c r="G104" s="10" t="s">
        <v>433</v>
      </c>
      <c r="H104" s="10" t="s">
        <v>431</v>
      </c>
      <c r="I104" s="10" t="s">
        <v>464</v>
      </c>
      <c r="J104" s="145">
        <v>0.972916666666667</v>
      </c>
    </row>
    <row r="105" spans="1:10">
      <c r="A105" s="9">
        <f>VLOOKUP($C105,SKU!$A:$I,3,FALSE)</f>
        <v>10017</v>
      </c>
      <c r="B105" s="9" t="str">
        <f>VLOOKUP($C105,SKU!$A:$I,2,FALSE)</f>
        <v>梦境-美少女战士第一弹</v>
      </c>
      <c r="C105" s="10" t="s">
        <v>95</v>
      </c>
      <c r="D105" s="6">
        <v>1</v>
      </c>
      <c r="E105" s="9">
        <f>D105*VLOOKUP(A105,Nhập入库!A:N,8,FALSE)</f>
        <v>13</v>
      </c>
      <c r="F105" s="6">
        <v>14</v>
      </c>
      <c r="G105" s="10" t="s">
        <v>430</v>
      </c>
      <c r="H105" s="10" t="s">
        <v>406</v>
      </c>
      <c r="I105" s="10" t="s">
        <v>466</v>
      </c>
      <c r="J105" s="138">
        <v>0.370138888888889</v>
      </c>
    </row>
    <row r="106" spans="1:10">
      <c r="A106" s="9">
        <f>VLOOKUP($C106,SKU!$A:$I,3,FALSE)</f>
        <v>10017</v>
      </c>
      <c r="B106" s="9" t="str">
        <f>VLOOKUP($C106,SKU!$A:$I,2,FALSE)</f>
        <v>梦境-美少女战士第一弹</v>
      </c>
      <c r="C106" s="10" t="s">
        <v>95</v>
      </c>
      <c r="D106" s="6"/>
      <c r="E106" s="9">
        <f>D106*VLOOKUP(A106,Nhập入库!A:N,8,FALSE)</f>
        <v>0</v>
      </c>
      <c r="F106" s="6">
        <v>17</v>
      </c>
      <c r="G106" s="10" t="s">
        <v>430</v>
      </c>
      <c r="H106" s="10" t="s">
        <v>406</v>
      </c>
      <c r="I106" s="10" t="s">
        <v>466</v>
      </c>
      <c r="J106" s="138">
        <v>0.370138888888889</v>
      </c>
    </row>
    <row r="107" spans="1:10">
      <c r="A107" s="9">
        <f>VLOOKUP($C107,SKU!$A:$I,3,FALSE)</f>
        <v>10039</v>
      </c>
      <c r="B107" s="9" t="str">
        <f>VLOOKUP($C107,SKU!$A:$I,2,FALSE)</f>
        <v>非凡航海王第五弹</v>
      </c>
      <c r="C107" s="10" t="s">
        <v>184</v>
      </c>
      <c r="D107" s="6"/>
      <c r="E107" s="9">
        <f>D107*VLOOKUP(A107,Nhập入库!A:N,8,FALSE)</f>
        <v>0</v>
      </c>
      <c r="F107" s="6">
        <v>40</v>
      </c>
      <c r="G107" s="10" t="s">
        <v>69</v>
      </c>
      <c r="H107" s="10" t="s">
        <v>408</v>
      </c>
      <c r="I107" s="10" t="s">
        <v>466</v>
      </c>
      <c r="J107" s="138">
        <v>0.58125</v>
      </c>
    </row>
    <row r="108" spans="1:10">
      <c r="A108" s="9">
        <f>VLOOKUP($C108,SKU!$A:$I,3,FALSE)</f>
        <v>10017</v>
      </c>
      <c r="B108" s="9" t="str">
        <f>VLOOKUP($C108,SKU!$A:$I,2,FALSE)</f>
        <v>梦境-美少女战士第一弹</v>
      </c>
      <c r="C108" s="6" t="s">
        <v>95</v>
      </c>
      <c r="D108" s="6">
        <v>1</v>
      </c>
      <c r="E108" s="9">
        <f>D108*VLOOKUP(A108,Nhập入库!A:N,8,FALSE)</f>
        <v>13</v>
      </c>
      <c r="F108" s="6"/>
      <c r="G108" s="6" t="s">
        <v>425</v>
      </c>
      <c r="H108" s="6" t="s">
        <v>424</v>
      </c>
      <c r="I108" s="10" t="s">
        <v>466</v>
      </c>
      <c r="J108" s="138">
        <v>0.439583333333333</v>
      </c>
    </row>
    <row r="109" spans="1:10">
      <c r="A109" s="9">
        <f>VLOOKUP($C109,SKU!$A:$I,3,FALSE)</f>
        <v>10052</v>
      </c>
      <c r="B109" s="9" t="str">
        <f>VLOOKUP($C109,SKU!$A:$I,2,FALSE)</f>
        <v>柯南洞悉包第五弹</v>
      </c>
      <c r="C109" s="6" t="s">
        <v>225</v>
      </c>
      <c r="D109" s="6"/>
      <c r="E109" s="9">
        <f>D109*VLOOKUP(A109,Nhập入库!A:N,8,FALSE)</f>
        <v>0</v>
      </c>
      <c r="F109" s="6">
        <v>61</v>
      </c>
      <c r="G109" s="6" t="s">
        <v>430</v>
      </c>
      <c r="H109" s="6" t="s">
        <v>424</v>
      </c>
      <c r="I109" s="10" t="s">
        <v>466</v>
      </c>
      <c r="J109" s="138">
        <v>0.448611111111111</v>
      </c>
    </row>
    <row r="110" spans="1:10">
      <c r="A110" s="9">
        <f>VLOOKUP($C110,SKU!$A:$I,3,FALSE)</f>
        <v>10039</v>
      </c>
      <c r="B110" s="9" t="str">
        <f>VLOOKUP($C110,SKU!$A:$I,2,FALSE)</f>
        <v>非凡航海王第五弹</v>
      </c>
      <c r="C110" s="6" t="s">
        <v>184</v>
      </c>
      <c r="D110" s="6"/>
      <c r="E110" s="9">
        <f>D110*VLOOKUP(A110,Nhập入库!A:N,8,FALSE)</f>
        <v>0</v>
      </c>
      <c r="F110" s="6">
        <v>71</v>
      </c>
      <c r="G110" s="6" t="s">
        <v>433</v>
      </c>
      <c r="H110" s="6" t="s">
        <v>424</v>
      </c>
      <c r="I110" s="10" t="s">
        <v>466</v>
      </c>
      <c r="J110" s="138">
        <v>0.448611111111111</v>
      </c>
    </row>
    <row r="111" spans="1:10">
      <c r="A111" s="9">
        <f>VLOOKUP($C111,SKU!$A:$I,3,FALSE)</f>
        <v>10026</v>
      </c>
      <c r="B111" s="9" t="str">
        <f>VLOOKUP($C111,SKU!$A:$I,2,FALSE)</f>
        <v>星恋文创·恋与深空《晦明交错之间》亚克力相框卡</v>
      </c>
      <c r="C111" s="6" t="s">
        <v>131</v>
      </c>
      <c r="D111" s="6">
        <v>20</v>
      </c>
      <c r="E111" s="9">
        <f>D111*VLOOKUP(A111,Nhập入库!A:N,8,FALSE)</f>
        <v>20</v>
      </c>
      <c r="F111" s="6"/>
      <c r="G111" s="6" t="s">
        <v>114</v>
      </c>
      <c r="H111" s="6" t="s">
        <v>423</v>
      </c>
      <c r="I111" s="10" t="s">
        <v>467</v>
      </c>
      <c r="J111" s="138">
        <v>0.504861111111111</v>
      </c>
    </row>
    <row r="112" spans="1:10">
      <c r="A112" s="9">
        <f>VLOOKUP($C112,SKU!$A:$I,3,FALSE)</f>
        <v>10039</v>
      </c>
      <c r="B112" s="9" t="str">
        <f>VLOOKUP($C112,SKU!$A:$I,2,FALSE)</f>
        <v>非凡航海王第五弹</v>
      </c>
      <c r="C112" s="12" t="s">
        <v>184</v>
      </c>
      <c r="D112" s="12">
        <v>3</v>
      </c>
      <c r="E112" s="14">
        <f>D112*VLOOKUP(A112,Nhập入库!A:N,8,FALSE)</f>
        <v>60</v>
      </c>
      <c r="F112" s="12"/>
      <c r="G112" s="12" t="s">
        <v>425</v>
      </c>
      <c r="H112" s="12" t="s">
        <v>424</v>
      </c>
      <c r="I112" s="16" t="s">
        <v>467</v>
      </c>
      <c r="J112" s="146">
        <v>0.5375</v>
      </c>
    </row>
    <row r="113" spans="1:10">
      <c r="A113" s="31">
        <f>VLOOKUP($C113,SKU!$A:$I,3,FALSE)</f>
        <v>10024</v>
      </c>
      <c r="B113" s="147" t="str">
        <f>VLOOKUP($C113,SKU!$A:$I,2,FALSE)</f>
        <v>漫影工作室-柯南-A5 大卡第一弹</v>
      </c>
      <c r="C113" s="34" t="s">
        <v>123</v>
      </c>
      <c r="D113" s="29"/>
      <c r="E113" s="31">
        <f>D113*VLOOKUP(A113,Nhập入库!A:N,8,FALSE)</f>
        <v>0</v>
      </c>
      <c r="F113" s="29">
        <v>14</v>
      </c>
      <c r="G113" s="34" t="s">
        <v>33</v>
      </c>
      <c r="H113" s="34" t="s">
        <v>406</v>
      </c>
      <c r="I113" s="141" t="s">
        <v>467</v>
      </c>
      <c r="J113" s="133">
        <v>0.523611111111111</v>
      </c>
    </row>
    <row r="114" spans="1:10">
      <c r="A114" s="31">
        <f>VLOOKUP($C114,SKU!$A:$I,3,FALSE)</f>
        <v>10023</v>
      </c>
      <c r="B114" s="31" t="str">
        <f>VLOOKUP($C114,SKU!$A:$I,2,FALSE)</f>
        <v>风信文创尘世相逢之约星光来信原神邮票第一弹</v>
      </c>
      <c r="C114" s="23" t="s">
        <v>119</v>
      </c>
      <c r="D114" s="23">
        <v>10</v>
      </c>
      <c r="E114" s="25">
        <f>D114*VLOOKUP(A114,Nhập入库!A:N,8,FALSE)</f>
        <v>10</v>
      </c>
      <c r="F114" s="23"/>
      <c r="G114" s="23" t="s">
        <v>69</v>
      </c>
      <c r="H114" s="23" t="s">
        <v>424</v>
      </c>
      <c r="I114" s="141" t="s">
        <v>467</v>
      </c>
      <c r="J114" s="145">
        <v>0.556944444444444</v>
      </c>
    </row>
    <row r="115" spans="1:10">
      <c r="A115" s="31">
        <f>VLOOKUP($C115,SKU!$A:$I,3,FALSE)</f>
        <v>10040</v>
      </c>
      <c r="B115" s="31" t="str">
        <f>VLOOKUP($C115,SKU!$A:$I,2,FALSE)</f>
        <v>酷卡文化-线条小狗3弹</v>
      </c>
      <c r="C115" s="23" t="s">
        <v>188</v>
      </c>
      <c r="D115" s="23"/>
      <c r="E115" s="25">
        <f>D115*VLOOKUP(A115,Nhập入库!A:N,8,FALSE)</f>
        <v>0</v>
      </c>
      <c r="F115" s="23">
        <v>2</v>
      </c>
      <c r="G115" s="23" t="s">
        <v>429</v>
      </c>
      <c r="H115" s="23" t="s">
        <v>431</v>
      </c>
      <c r="I115" s="141" t="s">
        <v>467</v>
      </c>
      <c r="J115" s="145">
        <v>0.936805555555556</v>
      </c>
    </row>
    <row r="116" spans="1:10">
      <c r="A116" s="31">
        <f>VLOOKUP($C116,SKU!$A:$I,3,FALSE)</f>
        <v>10007</v>
      </c>
      <c r="B116" s="31" t="str">
        <f>VLOOKUP($C116,SKU!$A:$I,2,FALSE)</f>
        <v>kawaii宫崎骏梦幻之国</v>
      </c>
      <c r="C116" s="23" t="s">
        <v>49</v>
      </c>
      <c r="D116" s="23"/>
      <c r="E116" s="25">
        <f>D116*VLOOKUP(A116,Nhập入库!A:N,8,FALSE)</f>
        <v>0</v>
      </c>
      <c r="F116" s="23">
        <v>13</v>
      </c>
      <c r="G116" s="23" t="s">
        <v>432</v>
      </c>
      <c r="H116" s="23" t="s">
        <v>431</v>
      </c>
      <c r="I116" s="141" t="s">
        <v>467</v>
      </c>
      <c r="J116" s="145">
        <v>0.936805555555556</v>
      </c>
    </row>
    <row r="117" spans="1:10">
      <c r="A117" s="31">
        <f>VLOOKUP($C117,SKU!$A:$I,3,FALSE)</f>
        <v>10011</v>
      </c>
      <c r="B117" s="31" t="str">
        <f>VLOOKUP($C117,SKU!$A:$I,2,FALSE)</f>
        <v>灿卡文创宫崎骏第二弹《花涧物语》</v>
      </c>
      <c r="C117" s="23" t="s">
        <v>71</v>
      </c>
      <c r="D117" s="23"/>
      <c r="E117" s="25">
        <f>D117*VLOOKUP(A117,Nhập入库!A:N,8,FALSE)</f>
        <v>0</v>
      </c>
      <c r="F117" s="23">
        <v>12</v>
      </c>
      <c r="G117" s="23" t="s">
        <v>430</v>
      </c>
      <c r="H117" s="23" t="s">
        <v>428</v>
      </c>
      <c r="I117" s="141" t="s">
        <v>469</v>
      </c>
      <c r="J117" s="145">
        <v>0.0888888888888889</v>
      </c>
    </row>
    <row r="118" spans="1:10">
      <c r="A118" s="31">
        <f>VLOOKUP($C118,SKU!$A:$I,3,FALSE)</f>
        <v>10011</v>
      </c>
      <c r="B118" s="31" t="str">
        <f>VLOOKUP($C118,SKU!$A:$I,2,FALSE)</f>
        <v>灿卡文创宫崎骏第二弹《花涧物语》</v>
      </c>
      <c r="C118" s="23" t="s">
        <v>71</v>
      </c>
      <c r="D118" s="23"/>
      <c r="E118" s="25">
        <f>D118*VLOOKUP(A118,Nhập入库!A:N,8,FALSE)</f>
        <v>0</v>
      </c>
      <c r="F118" s="23">
        <v>20</v>
      </c>
      <c r="G118" s="23" t="s">
        <v>90</v>
      </c>
      <c r="H118" s="23" t="s">
        <v>428</v>
      </c>
      <c r="I118" s="141" t="s">
        <v>469</v>
      </c>
      <c r="J118" s="145">
        <v>0.0902777777777778</v>
      </c>
    </row>
    <row r="119" spans="1:10">
      <c r="A119" s="31">
        <f>VLOOKUP($C119,SKU!$A:$I,3,FALSE)</f>
        <v>10039</v>
      </c>
      <c r="B119" s="31" t="str">
        <f>VLOOKUP($C119,SKU!$A:$I,2,FALSE)</f>
        <v>非凡航海王第五弹</v>
      </c>
      <c r="C119" s="23" t="s">
        <v>184</v>
      </c>
      <c r="D119" s="23">
        <v>2</v>
      </c>
      <c r="E119" s="25">
        <f>D119*VLOOKUP(A119,Nhập入库!A:N,8,FALSE)</f>
        <v>40</v>
      </c>
      <c r="F119" s="23"/>
      <c r="G119" s="23" t="s">
        <v>102</v>
      </c>
      <c r="H119" s="23" t="s">
        <v>423</v>
      </c>
      <c r="I119" s="141" t="s">
        <v>469</v>
      </c>
      <c r="J119" s="145">
        <v>0.406944444444444</v>
      </c>
    </row>
    <row r="120" spans="1:10">
      <c r="A120" s="31">
        <f>VLOOKUP($C120,SKU!$A:$I,3,FALSE)</f>
        <v>10051</v>
      </c>
      <c r="B120" s="31" t="str">
        <f>VLOOKUP($C120,SKU!$A:$I,2,FALSE)</f>
        <v>南卡《魔卡少女樱》</v>
      </c>
      <c r="C120" s="23" t="s">
        <v>222</v>
      </c>
      <c r="D120" s="23">
        <v>5</v>
      </c>
      <c r="E120" s="25">
        <f>D120*VLOOKUP(A120,Nhập入库!A:N,8,FALSE)</f>
        <v>60</v>
      </c>
      <c r="F120" s="23"/>
      <c r="G120" s="23" t="s">
        <v>102</v>
      </c>
      <c r="H120" s="23" t="s">
        <v>423</v>
      </c>
      <c r="I120" s="141" t="s">
        <v>469</v>
      </c>
      <c r="J120" s="145">
        <v>0.406944444444444</v>
      </c>
    </row>
    <row r="121" spans="1:10">
      <c r="A121" s="31">
        <f>VLOOKUP($C121,SKU!$A:$I,3,FALSE)</f>
        <v>10018</v>
      </c>
      <c r="B121" s="31" t="str">
        <f>VLOOKUP($C121,SKU!$A:$I,2,FALSE)</f>
        <v>圣月美少女战士星尘协奏曲长卡</v>
      </c>
      <c r="C121" s="23" t="s">
        <v>99</v>
      </c>
      <c r="D121" s="23">
        <v>5</v>
      </c>
      <c r="E121" s="25">
        <f>D121*VLOOKUP(A121,Nhập入库!A:N,8,FALSE)</f>
        <v>65</v>
      </c>
      <c r="F121" s="23"/>
      <c r="G121" s="23" t="s">
        <v>102</v>
      </c>
      <c r="H121" s="23" t="s">
        <v>423</v>
      </c>
      <c r="I121" s="141" t="s">
        <v>469</v>
      </c>
      <c r="J121" s="145">
        <v>0.406944444444444</v>
      </c>
    </row>
    <row r="122" spans="1:10">
      <c r="A122" s="31">
        <f>VLOOKUP($C122,SKU!$A:$I,3,FALSE)</f>
        <v>10026</v>
      </c>
      <c r="B122" s="31" t="str">
        <f>VLOOKUP($C122,SKU!$A:$I,2,FALSE)</f>
        <v>星恋文创·恋与深空《晦明交错之间》亚克力相框卡</v>
      </c>
      <c r="C122" s="23" t="s">
        <v>131</v>
      </c>
      <c r="D122" s="23">
        <v>20</v>
      </c>
      <c r="E122" s="25">
        <f>D122*VLOOKUP(A122,Nhập入库!A:N,8,FALSE)</f>
        <v>20</v>
      </c>
      <c r="F122" s="23"/>
      <c r="G122" s="23" t="s">
        <v>102</v>
      </c>
      <c r="H122" s="23" t="s">
        <v>423</v>
      </c>
      <c r="I122" s="141" t="s">
        <v>469</v>
      </c>
      <c r="J122" s="145">
        <v>0.406944444444444</v>
      </c>
    </row>
    <row r="123" spans="1:10">
      <c r="A123" s="31">
        <f>VLOOKUP($C123,SKU!$A:$I,3,FALSE)</f>
        <v>10032</v>
      </c>
      <c r="B123" s="31" t="str">
        <f>VLOOKUP($C123,SKU!$A:$I,2,FALSE)</f>
        <v>绘心阁《魔道祖师—殊途同归》色纸卡牌</v>
      </c>
      <c r="C123" s="23" t="s">
        <v>155</v>
      </c>
      <c r="D123" s="23">
        <v>10</v>
      </c>
      <c r="E123" s="25">
        <f>D123*VLOOKUP(A123,Nhập入库!A:N,8,FALSE)</f>
        <v>10</v>
      </c>
      <c r="F123" s="23"/>
      <c r="G123" s="23" t="s">
        <v>102</v>
      </c>
      <c r="H123" s="23" t="s">
        <v>423</v>
      </c>
      <c r="I123" s="141" t="s">
        <v>469</v>
      </c>
      <c r="J123" s="145">
        <v>0.406944444444444</v>
      </c>
    </row>
    <row r="124" spans="1:10">
      <c r="A124" s="31">
        <f>VLOOKUP($C124,SKU!$A:$I,3,FALSE)</f>
        <v>10048</v>
      </c>
      <c r="B124" s="31" t="str">
        <f>VLOOKUP($C124,SKU!$A:$I,2,FALSE)</f>
        <v>奈良社《极昼漫游》美少女战士撕撕乐+异形小卡</v>
      </c>
      <c r="C124" s="23" t="s">
        <v>212</v>
      </c>
      <c r="D124" s="23">
        <v>10</v>
      </c>
      <c r="E124" s="25">
        <f>D124*VLOOKUP(A124,Nhập入库!A:N,8,FALSE)</f>
        <v>10</v>
      </c>
      <c r="F124" s="23"/>
      <c r="G124" s="23" t="s">
        <v>102</v>
      </c>
      <c r="H124" s="23" t="s">
        <v>423</v>
      </c>
      <c r="I124" s="141" t="s">
        <v>469</v>
      </c>
      <c r="J124" s="145">
        <v>0.406944444444444</v>
      </c>
    </row>
    <row r="125" spans="1:10">
      <c r="A125" s="31">
        <f>VLOOKUP($C125,SKU!$A:$I,3,FALSE)</f>
        <v>10040</v>
      </c>
      <c r="B125" s="31" t="str">
        <f>VLOOKUP($C125,SKU!$A:$I,2,FALSE)</f>
        <v>酷卡文化-线条小狗3弹</v>
      </c>
      <c r="C125" s="6" t="s">
        <v>188</v>
      </c>
      <c r="D125" s="6">
        <v>3</v>
      </c>
      <c r="E125" s="25">
        <f>D125*VLOOKUP(A125,Nhập入库!A:N,8,FALSE)</f>
        <v>33</v>
      </c>
      <c r="F125" s="6"/>
      <c r="G125" s="6" t="s">
        <v>69</v>
      </c>
      <c r="H125" s="6" t="s">
        <v>408</v>
      </c>
      <c r="I125" s="10" t="s">
        <v>469</v>
      </c>
      <c r="J125" s="145">
        <v>0.406944444444444</v>
      </c>
    </row>
    <row r="126" spans="1:10">
      <c r="A126" s="31">
        <f>VLOOKUP($C126,SKU!$A:$I,3,FALSE)</f>
        <v>10040</v>
      </c>
      <c r="B126" s="31" t="str">
        <f>VLOOKUP($C126,SKU!$A:$I,2,FALSE)</f>
        <v>酷卡文化-线条小狗3弹</v>
      </c>
      <c r="C126" s="6" t="s">
        <v>188</v>
      </c>
      <c r="D126" s="6">
        <v>4</v>
      </c>
      <c r="E126" s="25">
        <f>D126*VLOOKUP(A126,Nhập入库!A:N,8,FALSE)</f>
        <v>44</v>
      </c>
      <c r="F126" s="6"/>
      <c r="G126" s="6" t="s">
        <v>33</v>
      </c>
      <c r="H126" s="6" t="s">
        <v>423</v>
      </c>
      <c r="I126" s="10" t="s">
        <v>469</v>
      </c>
      <c r="J126" s="145">
        <v>0.459027777777778</v>
      </c>
    </row>
    <row r="127" spans="1:10">
      <c r="A127" s="31">
        <f>VLOOKUP($C127,SKU!$A:$I,3,FALSE)</f>
        <v>10040</v>
      </c>
      <c r="B127" s="31" t="str">
        <f>VLOOKUP($C127,SKU!$A:$I,2,FALSE)</f>
        <v>酷卡文化-线条小狗3弹</v>
      </c>
      <c r="C127" s="6" t="s">
        <v>188</v>
      </c>
      <c r="D127" s="6">
        <v>1</v>
      </c>
      <c r="E127" s="25">
        <f>D127*VLOOKUP(A127,Nhập入库!A:N,8,FALSE)</f>
        <v>11</v>
      </c>
      <c r="F127" s="6"/>
      <c r="G127" s="6" t="s">
        <v>433</v>
      </c>
      <c r="H127" s="6" t="s">
        <v>423</v>
      </c>
      <c r="I127" s="10" t="s">
        <v>469</v>
      </c>
      <c r="J127" s="145">
        <v>0.459027777777778</v>
      </c>
    </row>
    <row r="128" spans="1:10">
      <c r="A128" s="31">
        <f>VLOOKUP($C128,SKU!$A:$I,3,FALSE)</f>
        <v>10026</v>
      </c>
      <c r="B128" s="31" t="str">
        <f>VLOOKUP($C128,SKU!$A:$I,2,FALSE)</f>
        <v>星恋文创·恋与深空《晦明交错之间》亚克力相框卡</v>
      </c>
      <c r="C128" s="6" t="s">
        <v>131</v>
      </c>
      <c r="D128" s="6">
        <v>20</v>
      </c>
      <c r="E128" s="25">
        <f>D128*VLOOKUP(A128,Nhập入库!A:N,8,FALSE)</f>
        <v>20</v>
      </c>
      <c r="F128" s="6"/>
      <c r="G128" s="6" t="s">
        <v>90</v>
      </c>
      <c r="H128" s="6" t="s">
        <v>423</v>
      </c>
      <c r="I128" s="10" t="s">
        <v>469</v>
      </c>
      <c r="J128" s="145">
        <v>0.482638888888889</v>
      </c>
    </row>
    <row r="129" spans="1:10">
      <c r="A129" s="31">
        <f>VLOOKUP($C129,SKU!$A:$I,3,FALSE)</f>
        <v>10040</v>
      </c>
      <c r="B129" s="31" t="str">
        <f>VLOOKUP($C129,SKU!$A:$I,2,FALSE)</f>
        <v>酷卡文化-线条小狗3弹</v>
      </c>
      <c r="C129" s="6" t="s">
        <v>188</v>
      </c>
      <c r="D129" s="6"/>
      <c r="E129" s="25">
        <f>D129*VLOOKUP(A129,Nhập入库!A:N,8,FALSE)</f>
        <v>0</v>
      </c>
      <c r="F129" s="6">
        <v>27</v>
      </c>
      <c r="G129" s="6" t="s">
        <v>430</v>
      </c>
      <c r="H129" s="6" t="s">
        <v>423</v>
      </c>
      <c r="I129" s="10" t="s">
        <v>469</v>
      </c>
      <c r="J129" s="145">
        <v>0.498611111111111</v>
      </c>
    </row>
    <row r="130" spans="1:10">
      <c r="A130" s="31">
        <f>VLOOKUP($C130,SKU!$A:$I,3,FALSE)</f>
        <v>10039</v>
      </c>
      <c r="B130" s="31" t="str">
        <f>VLOOKUP($C130,SKU!$A:$I,2,FALSE)</f>
        <v>非凡航海王第五弹</v>
      </c>
      <c r="C130" s="6" t="s">
        <v>184</v>
      </c>
      <c r="D130" s="6">
        <v>3</v>
      </c>
      <c r="E130" s="25">
        <f>D130*VLOOKUP(A130,Nhập入库!A:N,8,FALSE)</f>
        <v>60</v>
      </c>
      <c r="F130" s="6"/>
      <c r="G130" s="6" t="s">
        <v>425</v>
      </c>
      <c r="H130" s="6" t="s">
        <v>423</v>
      </c>
      <c r="I130" s="10" t="s">
        <v>469</v>
      </c>
      <c r="J130" s="145">
        <v>0.604861111111111</v>
      </c>
    </row>
    <row r="131" spans="1:10">
      <c r="A131" s="31">
        <f>VLOOKUP($C131,SKU!$A:$I,3,FALSE)</f>
        <v>10040</v>
      </c>
      <c r="B131" s="31" t="str">
        <f>VLOOKUP($C131,SKU!$A:$I,2,FALSE)</f>
        <v>酷卡文化-线条小狗3弹</v>
      </c>
      <c r="C131" s="6" t="s">
        <v>188</v>
      </c>
      <c r="D131" s="6"/>
      <c r="E131" s="25">
        <f>D131*VLOOKUP(A131,Nhập入库!A:N,8,FALSE)</f>
        <v>0</v>
      </c>
      <c r="F131" s="6">
        <v>35</v>
      </c>
      <c r="G131" s="6" t="s">
        <v>433</v>
      </c>
      <c r="H131" s="6" t="s">
        <v>424</v>
      </c>
      <c r="I131" s="10" t="s">
        <v>469</v>
      </c>
      <c r="J131" s="138">
        <v>0.375</v>
      </c>
    </row>
    <row r="132" spans="1:10">
      <c r="A132" s="31">
        <f>VLOOKUP($C132,SKU!$A:$I,3,FALSE)</f>
        <v>10040</v>
      </c>
      <c r="B132" s="31" t="str">
        <f>VLOOKUP($C132,SKU!$A:$I,2,FALSE)</f>
        <v>酷卡文化-线条小狗3弹</v>
      </c>
      <c r="C132" s="6" t="s">
        <v>188</v>
      </c>
      <c r="D132" s="6">
        <v>4</v>
      </c>
      <c r="E132" s="25">
        <f>D132*VLOOKUP(A132,Nhập入库!A:N,8,FALSE)</f>
        <v>44</v>
      </c>
      <c r="F132" s="6"/>
      <c r="G132" s="6" t="s">
        <v>429</v>
      </c>
      <c r="H132" s="6" t="s">
        <v>424</v>
      </c>
      <c r="I132" s="10" t="s">
        <v>469</v>
      </c>
      <c r="J132" s="138">
        <v>0.497222222222222</v>
      </c>
    </row>
    <row r="133" spans="1:10">
      <c r="A133" s="31">
        <f>VLOOKUP($C133,SKU!$A:$I,3,FALSE)</f>
        <v>10040</v>
      </c>
      <c r="B133" s="31" t="str">
        <f>VLOOKUP($C133,SKU!$A:$I,2,FALSE)</f>
        <v>酷卡文化-线条小狗3弹</v>
      </c>
      <c r="C133" s="6" t="s">
        <v>188</v>
      </c>
      <c r="D133" s="6"/>
      <c r="E133" s="25">
        <f>D133*VLOOKUP(A133,Nhập入库!A:N,8,FALSE)</f>
        <v>0</v>
      </c>
      <c r="F133" s="6">
        <v>30</v>
      </c>
      <c r="G133" s="6" t="s">
        <v>429</v>
      </c>
      <c r="H133" s="6" t="s">
        <v>424</v>
      </c>
      <c r="I133" s="10" t="s">
        <v>469</v>
      </c>
      <c r="J133" s="138">
        <v>0.502083333333333</v>
      </c>
    </row>
    <row r="134" spans="1:10">
      <c r="A134" s="31">
        <f>VLOOKUP($C134,SKU!$A:$I,3,FALSE)</f>
        <v>10040</v>
      </c>
      <c r="B134" s="31" t="str">
        <f>VLOOKUP($C134,SKU!$A:$I,2,FALSE)</f>
        <v>酷卡文化-线条小狗3弹</v>
      </c>
      <c r="C134" s="6" t="s">
        <v>188</v>
      </c>
      <c r="D134" s="6">
        <v>2</v>
      </c>
      <c r="E134" s="25">
        <f>D134*VLOOKUP(A134,Nhập入库!A:N,8,FALSE)</f>
        <v>22</v>
      </c>
      <c r="F134" s="6"/>
      <c r="G134" s="6" t="s">
        <v>430</v>
      </c>
      <c r="H134" s="6" t="s">
        <v>424</v>
      </c>
      <c r="I134" s="10" t="s">
        <v>469</v>
      </c>
      <c r="J134" s="138">
        <v>0.579166666666667</v>
      </c>
    </row>
    <row r="135" spans="1:10">
      <c r="A135" s="31">
        <f>VLOOKUP($C135,SKU!$A:$I,3,FALSE)</f>
        <v>10040</v>
      </c>
      <c r="B135" s="31" t="str">
        <f>VLOOKUP($C135,SKU!$A:$I,2,FALSE)</f>
        <v>酷卡文化-线条小狗3弹</v>
      </c>
      <c r="C135" s="6" t="s">
        <v>188</v>
      </c>
      <c r="D135" s="6"/>
      <c r="E135" s="25">
        <f>D135*VLOOKUP(A135,Nhập入库!A:N,8,FALSE)</f>
        <v>0</v>
      </c>
      <c r="F135" s="6">
        <v>56</v>
      </c>
      <c r="G135" s="6" t="s">
        <v>33</v>
      </c>
      <c r="H135" s="6" t="s">
        <v>424</v>
      </c>
      <c r="I135" s="10" t="s">
        <v>469</v>
      </c>
      <c r="J135" s="138">
        <v>0.579166666666667</v>
      </c>
    </row>
    <row r="136" spans="1:10">
      <c r="A136" s="31">
        <f>VLOOKUP($C136,SKU!$A:$I,3,FALSE)</f>
        <v>10040</v>
      </c>
      <c r="B136" s="31" t="str">
        <f>VLOOKUP($C136,SKU!$A:$I,2,FALSE)</f>
        <v>酷卡文化-线条小狗3弹</v>
      </c>
      <c r="C136" s="6" t="s">
        <v>188</v>
      </c>
      <c r="D136" s="6"/>
      <c r="E136" s="25">
        <f>D136*VLOOKUP(A136,Nhập入库!A:N,8,FALSE)</f>
        <v>0</v>
      </c>
      <c r="F136" s="6">
        <v>56</v>
      </c>
      <c r="G136" s="6" t="s">
        <v>422</v>
      </c>
      <c r="H136" s="6" t="s">
        <v>431</v>
      </c>
      <c r="I136" s="10" t="s">
        <v>469</v>
      </c>
      <c r="J136" s="138">
        <v>0.708333333333333</v>
      </c>
    </row>
    <row r="137" spans="1:10">
      <c r="A137" s="31">
        <f>VLOOKUP($C137,SKU!$A:$I,3,FALSE)</f>
        <v>10040</v>
      </c>
      <c r="B137" s="31" t="str">
        <f>VLOOKUP($C137,SKU!$A:$I,2,FALSE)</f>
        <v>酷卡文化-线条小狗3弹</v>
      </c>
      <c r="C137" s="6" t="s">
        <v>188</v>
      </c>
      <c r="D137" s="6"/>
      <c r="E137" s="25">
        <f>D137*VLOOKUP(A137,Nhập入库!A:N,8,FALSE)</f>
        <v>0</v>
      </c>
      <c r="F137" s="6">
        <v>16</v>
      </c>
      <c r="G137" s="6" t="s">
        <v>433</v>
      </c>
      <c r="H137" s="6" t="s">
        <v>431</v>
      </c>
      <c r="I137" s="10" t="s">
        <v>469</v>
      </c>
      <c r="J137" s="138">
        <v>0.708333333333333</v>
      </c>
    </row>
    <row r="138" spans="1:10">
      <c r="A138" s="31">
        <f>VLOOKUP($C138,SKU!$A:$I,3,FALSE)</f>
        <v>10040</v>
      </c>
      <c r="B138" s="31" t="str">
        <f>VLOOKUP($C138,SKU!$A:$I,2,FALSE)</f>
        <v>酷卡文化-线条小狗3弹</v>
      </c>
      <c r="C138" s="6" t="s">
        <v>188</v>
      </c>
      <c r="D138" s="6"/>
      <c r="E138" s="25">
        <f>D138*VLOOKUP(A138,Nhập入库!A:N,8,FALSE)</f>
        <v>0</v>
      </c>
      <c r="F138" s="6">
        <v>13</v>
      </c>
      <c r="G138" s="6" t="s">
        <v>429</v>
      </c>
      <c r="H138" s="6" t="s">
        <v>431</v>
      </c>
      <c r="I138" s="10" t="s">
        <v>469</v>
      </c>
      <c r="J138" s="138">
        <v>0.708333333333333</v>
      </c>
    </row>
    <row r="139" spans="1:10">
      <c r="A139" s="31">
        <f>VLOOKUP($C139,SKU!$A:$I,3,FALSE)</f>
        <v>10003</v>
      </c>
      <c r="B139" s="31" t="str">
        <f>VLOOKUP($C139,SKU!$A:$I,2,FALSE)</f>
        <v>DUO米全新出品鬼灭之刃-柱合会议篇第二弹</v>
      </c>
      <c r="C139" s="6" t="s">
        <v>24</v>
      </c>
      <c r="D139" s="6"/>
      <c r="E139" s="25">
        <f>D139*VLOOKUP(A139,Nhập入库!A:N,8,FALSE)</f>
        <v>0</v>
      </c>
      <c r="F139" s="6">
        <v>21</v>
      </c>
      <c r="G139" s="6" t="s">
        <v>114</v>
      </c>
      <c r="H139" s="6"/>
      <c r="I139" s="10"/>
      <c r="J139" s="138"/>
    </row>
    <row r="140" spans="1:10">
      <c r="A140" s="31">
        <f>VLOOKUP($C140,SKU!$A:$I,3,FALSE)</f>
        <v>10040</v>
      </c>
      <c r="B140" s="31" t="str">
        <f>VLOOKUP($C140,SKU!$A:$I,2,FALSE)</f>
        <v>酷卡文化-线条小狗3弹</v>
      </c>
      <c r="C140" s="6" t="s">
        <v>188</v>
      </c>
      <c r="D140" s="6"/>
      <c r="E140" s="25">
        <f>D140*VLOOKUP(A140,Nhập入库!A:N,8,FALSE)</f>
        <v>0</v>
      </c>
      <c r="F140" s="6">
        <v>6</v>
      </c>
      <c r="G140" s="6" t="s">
        <v>430</v>
      </c>
      <c r="H140" s="6" t="s">
        <v>431</v>
      </c>
      <c r="I140" s="10" t="s">
        <v>469</v>
      </c>
      <c r="J140" s="138">
        <v>0.951388888888889</v>
      </c>
    </row>
    <row r="141" spans="1:10">
      <c r="A141" s="31">
        <f>VLOOKUP($C141,SKU!$A:$I,3,FALSE)</f>
        <v>10003</v>
      </c>
      <c r="B141" s="31" t="str">
        <f>VLOOKUP($C141,SKU!$A:$I,2,FALSE)</f>
        <v>DUO米全新出品鬼灭之刃-柱合会议篇第二弹</v>
      </c>
      <c r="C141" s="6" t="s">
        <v>24</v>
      </c>
      <c r="D141" s="6"/>
      <c r="E141" s="25"/>
      <c r="F141" s="6">
        <v>14</v>
      </c>
      <c r="G141" s="6" t="s">
        <v>33</v>
      </c>
      <c r="H141" s="6"/>
      <c r="I141" s="10"/>
      <c r="J141" s="138"/>
    </row>
    <row r="142" spans="1:10">
      <c r="A142" s="31">
        <f>VLOOKUP($C142,SKU!$A:$I,3,FALSE)</f>
        <v>10021</v>
      </c>
      <c r="B142" s="31" t="str">
        <f>VLOOKUP($C142,SKU!$A:$I,2,FALSE)</f>
        <v>新谷动漫名侦探柯南·仲夏夜之恋邮票集</v>
      </c>
      <c r="C142" s="6" t="s">
        <v>111</v>
      </c>
      <c r="D142" s="6"/>
      <c r="E142" s="25">
        <f>D142*VLOOKUP(A142,Nhập入库!A:N,8,FALSE)</f>
        <v>0</v>
      </c>
      <c r="F142" s="6">
        <v>12</v>
      </c>
      <c r="G142" s="6" t="s">
        <v>427</v>
      </c>
      <c r="H142" s="6" t="s">
        <v>428</v>
      </c>
      <c r="I142" s="10" t="s">
        <v>469</v>
      </c>
      <c r="J142" s="138">
        <v>0.951388888888889</v>
      </c>
    </row>
    <row r="143" spans="1:10">
      <c r="A143" s="31">
        <f>VLOOKUP($C143,SKU!$A:$I,3,FALSE)</f>
        <v>10040</v>
      </c>
      <c r="B143" s="31" t="str">
        <f>VLOOKUP($C143,SKU!$A:$I,2,FALSE)</f>
        <v>酷卡文化-线条小狗3弹</v>
      </c>
      <c r="C143" s="6" t="s">
        <v>188</v>
      </c>
      <c r="D143" s="6"/>
      <c r="E143" s="25">
        <f>D143*VLOOKUP(A143,Nhập入库!A:N,8,FALSE)</f>
        <v>0</v>
      </c>
      <c r="F143" s="6">
        <v>30</v>
      </c>
      <c r="G143" s="6" t="s">
        <v>426</v>
      </c>
      <c r="H143" s="6" t="s">
        <v>423</v>
      </c>
      <c r="I143" s="10" t="s">
        <v>470</v>
      </c>
      <c r="J143" s="138">
        <v>0.393055555555556</v>
      </c>
    </row>
    <row r="144" spans="1:10">
      <c r="A144" s="31">
        <f>VLOOKUP($C144,SKU!$A:$I,3,FALSE)</f>
        <v>10039</v>
      </c>
      <c r="B144" s="31" t="str">
        <f>VLOOKUP($C144,SKU!$A:$I,2,FALSE)</f>
        <v>非凡航海王第五弹</v>
      </c>
      <c r="C144" s="6" t="s">
        <v>184</v>
      </c>
      <c r="D144" s="6">
        <v>5</v>
      </c>
      <c r="E144" s="25">
        <f>D144*VLOOKUP(A144,Nhập入库!A:N,8,FALSE)</f>
        <v>100</v>
      </c>
      <c r="F144" s="6"/>
      <c r="G144" s="6" t="s">
        <v>425</v>
      </c>
      <c r="H144" s="6" t="s">
        <v>423</v>
      </c>
      <c r="I144" s="10" t="s">
        <v>470</v>
      </c>
      <c r="J144" s="138">
        <v>0.0583333333333333</v>
      </c>
    </row>
    <row r="145" spans="1:11">
      <c r="A145" s="31">
        <f>VLOOKUP($C145,SKU!$A:$I,3,FALSE)</f>
        <v>10039</v>
      </c>
      <c r="B145" s="31" t="str">
        <f>VLOOKUP($C145,SKU!$A:$I,2,FALSE)</f>
        <v>非凡航海王第五弹</v>
      </c>
      <c r="C145" s="6" t="s">
        <v>184</v>
      </c>
      <c r="D145" s="6">
        <v>1</v>
      </c>
      <c r="E145" s="25">
        <f>D145*VLOOKUP(A145,Nhập入库!A:N,8,FALSE)</f>
        <v>20</v>
      </c>
      <c r="F145" s="6"/>
      <c r="G145" s="6" t="s">
        <v>430</v>
      </c>
      <c r="H145" s="6" t="s">
        <v>423</v>
      </c>
      <c r="I145" s="10" t="s">
        <v>470</v>
      </c>
      <c r="J145" s="138">
        <v>0.0645833333333333</v>
      </c>
    </row>
    <row r="146" spans="1:11">
      <c r="A146" s="31">
        <f>VLOOKUP($C146,SKU!$A:$I,3,FALSE)</f>
        <v>10006</v>
      </c>
      <c r="B146" s="31" t="str">
        <f>VLOOKUP($C146,SKU!$A:$I,2,FALSE)</f>
        <v>云映文化「云之境の夏」第二弹·宫崎骏珍藏卡牌</v>
      </c>
      <c r="C146" s="6" t="s">
        <v>43</v>
      </c>
      <c r="D146" s="6">
        <v>3</v>
      </c>
      <c r="E146" s="25">
        <f>D146*VLOOKUP(A146,Nhập入库!A:N,8,FALSE)</f>
        <v>39</v>
      </c>
      <c r="F146" s="6"/>
      <c r="G146" s="6" t="s">
        <v>90</v>
      </c>
      <c r="H146" s="6" t="s">
        <v>423</v>
      </c>
      <c r="I146" s="10" t="s">
        <v>470</v>
      </c>
      <c r="J146" s="138">
        <v>0.118055555555556</v>
      </c>
    </row>
    <row r="147" spans="1:11">
      <c r="A147" s="31">
        <f>VLOOKUP($C147,SKU!$A:$I,3,FALSE)</f>
        <v>10039</v>
      </c>
      <c r="B147" s="31" t="str">
        <f>VLOOKUP($C147,SKU!$A:$I,2,FALSE)</f>
        <v>非凡航海王第五弹</v>
      </c>
      <c r="C147" s="6" t="s">
        <v>184</v>
      </c>
      <c r="D147" s="6">
        <v>4</v>
      </c>
      <c r="E147" s="25">
        <f>D147*VLOOKUP(A147,Nhập入库!A:N,8,FALSE)</f>
        <v>80</v>
      </c>
      <c r="F147" s="6"/>
      <c r="G147" s="6" t="s">
        <v>425</v>
      </c>
      <c r="H147" s="6" t="s">
        <v>423</v>
      </c>
      <c r="I147" s="10" t="s">
        <v>470</v>
      </c>
      <c r="J147" s="138">
        <v>0.63125</v>
      </c>
    </row>
    <row r="148" spans="1:11">
      <c r="A148" s="31">
        <f>VLOOKUP($C148,SKU!$A:$I,3,FALSE)</f>
        <v>10021</v>
      </c>
      <c r="B148" s="31" t="str">
        <f>VLOOKUP($C148,SKU!$A:$I,2,FALSE)</f>
        <v>新谷动漫名侦探柯南·仲夏夜之恋邮票集</v>
      </c>
      <c r="C148" s="6" t="s">
        <v>111</v>
      </c>
      <c r="D148" s="6"/>
      <c r="E148" s="25">
        <f>D148*VLOOKUP(A148,Nhập入库!A:N,8,FALSE)</f>
        <v>0</v>
      </c>
      <c r="F148" s="6">
        <v>15</v>
      </c>
      <c r="G148" s="6" t="s">
        <v>427</v>
      </c>
      <c r="H148" s="6" t="s">
        <v>424</v>
      </c>
      <c r="I148" s="10" t="s">
        <v>470</v>
      </c>
      <c r="J148" s="138">
        <v>0.636805555555556</v>
      </c>
    </row>
    <row r="149" spans="1:11">
      <c r="A149" s="31">
        <f>VLOOKUP($C149,SKU!$A:$I,3,FALSE)</f>
        <v>10051</v>
      </c>
      <c r="B149" s="31" t="str">
        <f>VLOOKUP($C149,SKU!$A:$I,2,FALSE)</f>
        <v>南卡《魔卡少女樱》</v>
      </c>
      <c r="C149" s="6" t="s">
        <v>222</v>
      </c>
      <c r="D149" s="6">
        <v>5</v>
      </c>
      <c r="E149" s="25">
        <f>D149*VLOOKUP(A149,Nhập入库!A:N,8,FALSE)</f>
        <v>60</v>
      </c>
      <c r="F149" s="6"/>
      <c r="G149" s="6" t="s">
        <v>468</v>
      </c>
      <c r="H149" s="6" t="s">
        <v>424</v>
      </c>
      <c r="I149" s="10" t="s">
        <v>470</v>
      </c>
      <c r="J149" s="138">
        <v>0.715277777777778</v>
      </c>
      <c r="K149" s="148"/>
    </row>
    <row r="150" spans="1:11">
      <c r="A150" s="31">
        <f>VLOOKUP($C150,SKU!$A:$I,3,FALSE)</f>
        <v>10029</v>
      </c>
      <c r="B150" s="31" t="str">
        <f>VLOOKUP($C150,SKU!$A:$I,2,FALSE)</f>
        <v>樱花屋魔卡少女樱</v>
      </c>
      <c r="C150" s="6" t="s">
        <v>143</v>
      </c>
      <c r="D150" s="6"/>
      <c r="E150" s="25">
        <f>D150*VLOOKUP(A150,Nhập入库!A:N,8,FALSE)</f>
        <v>0</v>
      </c>
      <c r="F150" s="6">
        <v>66</v>
      </c>
      <c r="G150" s="6" t="s">
        <v>426</v>
      </c>
      <c r="H150" s="6" t="s">
        <v>424</v>
      </c>
      <c r="I150" s="10" t="s">
        <v>471</v>
      </c>
      <c r="J150" s="138">
        <v>0.384722222222222</v>
      </c>
    </row>
    <row r="151" spans="1:11">
      <c r="A151" s="31">
        <f>VLOOKUP($C151,SKU!$A:$I,3,FALSE)</f>
        <v>10052</v>
      </c>
      <c r="B151" s="31" t="str">
        <f>VLOOKUP($C151,SKU!$A:$I,2,FALSE)</f>
        <v>柯南洞悉包第五弹</v>
      </c>
      <c r="C151" s="6" t="s">
        <v>225</v>
      </c>
      <c r="D151" s="6"/>
      <c r="E151" s="25">
        <f>D151*VLOOKUP(A151,Nhập入库!A:N,8,FALSE)</f>
        <v>0</v>
      </c>
      <c r="F151" s="6">
        <v>30</v>
      </c>
      <c r="G151" s="6" t="s">
        <v>33</v>
      </c>
      <c r="H151" s="6" t="s">
        <v>424</v>
      </c>
      <c r="I151" s="10" t="s">
        <v>471</v>
      </c>
      <c r="J151" s="138">
        <v>0.511111111111111</v>
      </c>
    </row>
    <row r="152" spans="1:11">
      <c r="A152" s="31">
        <f>VLOOKUP($C152,SKU!$A:$I,3,FALSE)</f>
        <v>10035</v>
      </c>
      <c r="B152" s="31" t="str">
        <f>VLOOKUP($C152,SKU!$A:$I,2,FALSE)</f>
        <v>KK CARD × 新海诚系列第一弹</v>
      </c>
      <c r="C152" s="6" t="s">
        <v>167</v>
      </c>
      <c r="D152" s="6">
        <v>1</v>
      </c>
      <c r="E152" s="25">
        <f>D152*VLOOKUP(A152,Nhập入库!A:N,8,FALSE)</f>
        <v>14</v>
      </c>
      <c r="F152" s="6">
        <v>2</v>
      </c>
      <c r="G152" s="6" t="s">
        <v>429</v>
      </c>
      <c r="H152" s="6" t="s">
        <v>424</v>
      </c>
      <c r="I152" s="10" t="s">
        <v>471</v>
      </c>
      <c r="J152" s="138">
        <v>0.383333333333333</v>
      </c>
    </row>
    <row r="153" spans="1:11">
      <c r="A153" s="31">
        <f>VLOOKUP($C153,SKU!$A:$I,3,FALSE)</f>
        <v>10052</v>
      </c>
      <c r="B153" s="31" t="str">
        <f>VLOOKUP($C153,SKU!$A:$I,2,FALSE)</f>
        <v>柯南洞悉包第五弹</v>
      </c>
      <c r="C153" s="6" t="s">
        <v>225</v>
      </c>
      <c r="D153" s="6"/>
      <c r="E153" s="25">
        <f>D153*VLOOKUP(A153,Nhập入库!A:N,8,FALSE)</f>
        <v>0</v>
      </c>
      <c r="F153" s="6">
        <v>45</v>
      </c>
      <c r="G153" s="6" t="s">
        <v>33</v>
      </c>
      <c r="H153" s="6" t="s">
        <v>431</v>
      </c>
      <c r="I153" s="10" t="s">
        <v>471</v>
      </c>
      <c r="J153" s="138">
        <v>0.761111111111111</v>
      </c>
    </row>
    <row r="154" spans="1:11">
      <c r="A154" s="31">
        <f>VLOOKUP($C154,SKU!$A:$I,3,FALSE)</f>
        <v>10001</v>
      </c>
      <c r="B154" s="31" t="str">
        <f>VLOOKUP($C154,SKU!$A:$I,2,FALSE)</f>
        <v>《东株社》宝可梦水晶砖</v>
      </c>
      <c r="C154" s="6" t="s">
        <v>12</v>
      </c>
      <c r="D154" s="6"/>
      <c r="E154" s="25">
        <f>D154*VLOOKUP(A154,Nhập入库!A:N,8,FALSE)</f>
        <v>0</v>
      </c>
      <c r="F154" s="6">
        <v>2</v>
      </c>
      <c r="G154" s="6" t="s">
        <v>427</v>
      </c>
      <c r="H154" s="6" t="s">
        <v>428</v>
      </c>
      <c r="I154" s="10" t="s">
        <v>472</v>
      </c>
      <c r="J154" s="138">
        <v>0.261111111111111</v>
      </c>
    </row>
    <row r="155" spans="1:11">
      <c r="A155" s="31">
        <f>VLOOKUP($C155,SKU!$A:$I,3,FALSE)</f>
        <v>10006</v>
      </c>
      <c r="B155" s="31" t="str">
        <f>VLOOKUP($C155,SKU!$A:$I,2,FALSE)</f>
        <v>云映文化「云之境の夏」第二弹·宫崎骏珍藏卡牌</v>
      </c>
      <c r="C155" s="6" t="s">
        <v>43</v>
      </c>
      <c r="D155" s="6">
        <v>5</v>
      </c>
      <c r="E155" s="25">
        <f>D155*VLOOKUP(A155,Nhập入库!A:N,8,FALSE)</f>
        <v>65</v>
      </c>
      <c r="F155" s="6"/>
      <c r="G155" s="6" t="s">
        <v>429</v>
      </c>
      <c r="H155" s="6" t="s">
        <v>423</v>
      </c>
      <c r="I155" s="10" t="s">
        <v>472</v>
      </c>
      <c r="J155" s="138">
        <v>0.0708333333333333</v>
      </c>
    </row>
    <row r="156" spans="1:11">
      <c r="A156" s="31">
        <f>VLOOKUP($C156,SKU!$A:$I,3,FALSE)</f>
        <v>10032</v>
      </c>
      <c r="B156" s="31" t="str">
        <f>VLOOKUP($C156,SKU!$A:$I,2,FALSE)</f>
        <v>绘心阁《魔道祖师—殊途同归》色纸卡牌</v>
      </c>
      <c r="C156" s="6" t="s">
        <v>155</v>
      </c>
      <c r="D156" s="6">
        <v>10</v>
      </c>
      <c r="E156" s="25">
        <f>D156*VLOOKUP(A156,Nhập入库!A:N,8,FALSE)</f>
        <v>10</v>
      </c>
      <c r="F156" s="6"/>
      <c r="G156" s="6" t="s">
        <v>468</v>
      </c>
      <c r="H156" s="6" t="s">
        <v>423</v>
      </c>
      <c r="I156" s="10" t="s">
        <v>472</v>
      </c>
      <c r="J156" s="138">
        <v>0.0708333333333333</v>
      </c>
    </row>
    <row r="157" spans="1:11">
      <c r="A157" s="31">
        <f>VLOOKUP($C157,SKU!$A:$I,3,FALSE)</f>
        <v>10026</v>
      </c>
      <c r="B157" s="31" t="str">
        <f>VLOOKUP($C157,SKU!$A:$I,2,FALSE)</f>
        <v>星恋文创·恋与深空《晦明交错之间》亚克力相框卡</v>
      </c>
      <c r="C157" s="6" t="s">
        <v>131</v>
      </c>
      <c r="D157" s="6">
        <v>20</v>
      </c>
      <c r="E157" s="25">
        <f>D157*VLOOKUP(A157,Nhập入库!A:N,8,FALSE)</f>
        <v>20</v>
      </c>
      <c r="F157" s="6"/>
      <c r="G157" s="6" t="s">
        <v>468</v>
      </c>
      <c r="H157" s="6" t="s">
        <v>423</v>
      </c>
      <c r="I157" s="10" t="s">
        <v>472</v>
      </c>
      <c r="J157" s="138">
        <v>0.0708333333333333</v>
      </c>
    </row>
    <row r="158" spans="1:11">
      <c r="A158" s="31">
        <f>VLOOKUP($C158,SKU!$A:$I,3,FALSE)</f>
        <v>10020</v>
      </c>
      <c r="B158" s="31" t="str">
        <f>VLOOKUP($C158,SKU!$A:$I,2,FALSE)</f>
        <v>集卡社小樱</v>
      </c>
      <c r="C158" s="6" t="s">
        <v>107</v>
      </c>
      <c r="D158" s="6"/>
      <c r="E158" s="25">
        <f>D158*VLOOKUP(A158,Nhập入库!A:N,8,FALSE)</f>
        <v>0</v>
      </c>
      <c r="F158" s="6">
        <v>29</v>
      </c>
      <c r="G158" s="6" t="s">
        <v>425</v>
      </c>
      <c r="H158" s="6" t="s">
        <v>423</v>
      </c>
      <c r="I158" s="10" t="s">
        <v>472</v>
      </c>
      <c r="J158" s="138">
        <v>0.0708333333333333</v>
      </c>
    </row>
    <row r="159" spans="1:11">
      <c r="A159" s="31">
        <f>VLOOKUP($C159,SKU!$A:$I,3,FALSE)</f>
        <v>10005</v>
      </c>
      <c r="B159" s="31" t="str">
        <f>VLOOKUP($C159,SKU!$A:$I,2,FALSE)</f>
        <v>椿柚文创宫崎骏 被风吹散的秘密邮票第一弹</v>
      </c>
      <c r="C159" s="6" t="s">
        <v>36</v>
      </c>
      <c r="D159" s="6"/>
      <c r="E159" s="25">
        <f>D159*VLOOKUP(A159,Nhập入库!A:N,8,FALSE)</f>
        <v>0</v>
      </c>
      <c r="F159" s="6">
        <v>10</v>
      </c>
      <c r="G159" s="6" t="s">
        <v>69</v>
      </c>
      <c r="H159" s="6" t="s">
        <v>424</v>
      </c>
      <c r="I159" s="10" t="s">
        <v>472</v>
      </c>
      <c r="J159" s="138">
        <v>0.380555555555556</v>
      </c>
    </row>
    <row r="160" spans="1:11">
      <c r="A160" s="31">
        <f>VLOOKUP($C160,SKU!$A:$I,3,FALSE)</f>
        <v>10052</v>
      </c>
      <c r="B160" s="31" t="str">
        <f>VLOOKUP($C160,SKU!$A:$I,2,FALSE)</f>
        <v>柯南洞悉包第五弹</v>
      </c>
      <c r="C160" s="6" t="s">
        <v>225</v>
      </c>
      <c r="D160" s="6"/>
      <c r="E160" s="25">
        <f>D160*VLOOKUP(A160,Nhập入库!A:N,8,FALSE)</f>
        <v>0</v>
      </c>
      <c r="F160" s="6">
        <v>27</v>
      </c>
      <c r="G160" s="6" t="s">
        <v>98</v>
      </c>
      <c r="H160" s="6" t="s">
        <v>424</v>
      </c>
      <c r="I160" s="10" t="s">
        <v>472</v>
      </c>
      <c r="J160" s="138">
        <v>0.505555555555556</v>
      </c>
    </row>
    <row r="161" spans="1:10">
      <c r="A161" s="31">
        <f>VLOOKUP($C161,SKU!$A:$I,3,FALSE)</f>
        <v>10052</v>
      </c>
      <c r="B161" s="31" t="str">
        <f>VLOOKUP($C161,SKU!$A:$I,2,FALSE)</f>
        <v>柯南洞悉包第五弹</v>
      </c>
      <c r="C161" s="6" t="s">
        <v>225</v>
      </c>
      <c r="D161" s="6"/>
      <c r="E161" s="25">
        <f>D161*VLOOKUP(A161,Nhập入库!A:N,8,FALSE)</f>
        <v>0</v>
      </c>
      <c r="F161" s="6">
        <v>42</v>
      </c>
      <c r="G161" s="6" t="s">
        <v>430</v>
      </c>
      <c r="H161" s="6" t="s">
        <v>424</v>
      </c>
      <c r="I161" s="10" t="s">
        <v>472</v>
      </c>
      <c r="J161" s="138">
        <v>0.505555555555556</v>
      </c>
    </row>
    <row r="162" spans="1:10">
      <c r="A162" s="31">
        <f>VLOOKUP($C162,SKU!$A:$I,3,FALSE)</f>
        <v>10004</v>
      </c>
      <c r="B162" s="31" t="str">
        <f>VLOOKUP($C162,SKU!$A:$I,2,FALSE)</f>
        <v>初见花海咒术回战第一弹</v>
      </c>
      <c r="C162" s="6" t="s">
        <v>30</v>
      </c>
      <c r="D162" s="6">
        <v>20</v>
      </c>
      <c r="E162" s="25">
        <f>D162*VLOOKUP(A162,Nhập入库!A:N,8,FALSE)</f>
        <v>20</v>
      </c>
      <c r="F162" s="6"/>
      <c r="G162" s="6" t="s">
        <v>432</v>
      </c>
      <c r="H162" s="6" t="s">
        <v>424</v>
      </c>
      <c r="I162" s="10" t="s">
        <v>472</v>
      </c>
      <c r="J162" s="138">
        <v>0.518055555555556</v>
      </c>
    </row>
    <row r="163" spans="1:10">
      <c r="A163" s="31">
        <f>VLOOKUP($C163,SKU!$A:$I,3,FALSE)</f>
        <v>10052</v>
      </c>
      <c r="B163" s="31" t="str">
        <f>VLOOKUP($C163,SKU!$A:$I,2,FALSE)</f>
        <v>柯南洞悉包第五弹</v>
      </c>
      <c r="C163" s="6" t="s">
        <v>225</v>
      </c>
      <c r="D163" s="6"/>
      <c r="E163" s="25">
        <f>D163*VLOOKUP(A163,Nhập入库!A:N,8,FALSE)</f>
        <v>0</v>
      </c>
      <c r="F163" s="6">
        <v>28</v>
      </c>
      <c r="G163" s="6" t="s">
        <v>33</v>
      </c>
      <c r="H163" s="6" t="s">
        <v>424</v>
      </c>
      <c r="I163" s="10" t="s">
        <v>472</v>
      </c>
      <c r="J163" s="138">
        <v>0.518055555555556</v>
      </c>
    </row>
    <row r="164" spans="1:10">
      <c r="A164" s="31">
        <f>VLOOKUP($C164,SKU!$A:$I,3,FALSE)</f>
        <v>10035</v>
      </c>
      <c r="B164" s="31" t="str">
        <f>VLOOKUP($C164,SKU!$A:$I,2,FALSE)</f>
        <v>KK CARD × 新海诚系列第一弹</v>
      </c>
      <c r="C164" s="6" t="s">
        <v>167</v>
      </c>
      <c r="D164" s="6">
        <v>4</v>
      </c>
      <c r="E164" s="25">
        <f>D164*VLOOKUP(A164,Nhập入库!A:N,8,FALSE)</f>
        <v>56</v>
      </c>
      <c r="F164" s="6"/>
      <c r="G164" s="6" t="s">
        <v>429</v>
      </c>
      <c r="H164" s="6" t="s">
        <v>424</v>
      </c>
      <c r="I164" s="10" t="s">
        <v>472</v>
      </c>
      <c r="J164" s="138">
        <v>0.595138888888889</v>
      </c>
    </row>
    <row r="165" spans="1:10">
      <c r="A165" s="31">
        <f>VLOOKUP($C165,SKU!$A:$I,3,FALSE)</f>
        <v>10032</v>
      </c>
      <c r="B165" s="31" t="str">
        <f>VLOOKUP($C165,SKU!$A:$I,2,FALSE)</f>
        <v>绘心阁《魔道祖师—殊途同归》色纸卡牌</v>
      </c>
      <c r="C165" s="6" t="s">
        <v>155</v>
      </c>
      <c r="D165" s="6"/>
      <c r="E165" s="25">
        <f>D165*VLOOKUP(A165,Nhập入库!A:N,8,FALSE)</f>
        <v>0</v>
      </c>
      <c r="F165" s="6">
        <v>30</v>
      </c>
      <c r="G165" s="6" t="s">
        <v>118</v>
      </c>
      <c r="H165" s="6" t="s">
        <v>431</v>
      </c>
      <c r="I165" s="10" t="s">
        <v>472</v>
      </c>
      <c r="J165" s="138">
        <v>0.886805555555556</v>
      </c>
    </row>
    <row r="166" spans="1:10">
      <c r="A166" s="31">
        <f>VLOOKUP($C166,SKU!$A:$I,3,FALSE)</f>
        <v>10007</v>
      </c>
      <c r="B166" s="31" t="str">
        <f>VLOOKUP($C166,SKU!$A:$I,2,FALSE)</f>
        <v>kawaii宫崎骏梦幻之国</v>
      </c>
      <c r="C166" s="6" t="s">
        <v>49</v>
      </c>
      <c r="D166" s="6"/>
      <c r="E166" s="25">
        <f>D166*VLOOKUP(A166,Nhập入库!A:N,8,FALSE)</f>
        <v>0</v>
      </c>
      <c r="F166" s="6">
        <v>40</v>
      </c>
      <c r="G166" s="6" t="s">
        <v>432</v>
      </c>
      <c r="H166" s="6" t="s">
        <v>59</v>
      </c>
      <c r="I166" s="10" t="s">
        <v>474</v>
      </c>
      <c r="J166" s="138">
        <v>0.208333333333333</v>
      </c>
    </row>
    <row r="167" spans="1:10">
      <c r="A167" s="31">
        <f>VLOOKUP($C167,SKU!$A:$I,3,FALSE)</f>
        <v>10052</v>
      </c>
      <c r="B167" s="31" t="str">
        <f>VLOOKUP($C167,SKU!$A:$I,2,FALSE)</f>
        <v>柯南洞悉包第五弹</v>
      </c>
      <c r="C167" s="6" t="s">
        <v>225</v>
      </c>
      <c r="D167" s="6"/>
      <c r="E167" s="25">
        <f>D167*VLOOKUP(A167,Nhập入库!A:N,8,FALSE)</f>
        <v>0</v>
      </c>
      <c r="F167" s="6">
        <v>25</v>
      </c>
      <c r="G167" s="6" t="s">
        <v>118</v>
      </c>
      <c r="H167" s="6" t="s">
        <v>423</v>
      </c>
      <c r="I167" s="10" t="s">
        <v>474</v>
      </c>
      <c r="J167" s="138">
        <v>0.559027777777778</v>
      </c>
    </row>
    <row r="168" spans="1:10">
      <c r="A168" s="31">
        <f>VLOOKUP($C168,SKU!$A:$I,3,FALSE)</f>
        <v>10051</v>
      </c>
      <c r="B168" s="31" t="str">
        <f>VLOOKUP($C168,SKU!$A:$I,2,FALSE)</f>
        <v>南卡《魔卡少女樱》</v>
      </c>
      <c r="C168" s="6" t="s">
        <v>222</v>
      </c>
      <c r="D168" s="6"/>
      <c r="E168" s="25">
        <f>D168*VLOOKUP(A168,Nhập入库!A:N,8,FALSE)</f>
        <v>0</v>
      </c>
      <c r="F168" s="6">
        <v>1</v>
      </c>
      <c r="G168" s="6" t="s">
        <v>98</v>
      </c>
      <c r="H168" s="6" t="s">
        <v>424</v>
      </c>
      <c r="I168" s="10" t="s">
        <v>474</v>
      </c>
      <c r="J168" s="138">
        <v>0.542361111111111</v>
      </c>
    </row>
    <row r="169" spans="1:10">
      <c r="A169" s="31">
        <f>VLOOKUP($C169,SKU!$A:$I,3,FALSE)</f>
        <v>10030</v>
      </c>
      <c r="B169" s="31" t="str">
        <f>VLOOKUP($C169,SKU!$A:$I,2,FALSE)</f>
        <v>梦影动漫黑执事-典藏版收藏卡牌</v>
      </c>
      <c r="C169" s="6" t="s">
        <v>147</v>
      </c>
      <c r="D169" s="6">
        <v>3</v>
      </c>
      <c r="E169" s="25">
        <f>D169*VLOOKUP(A169,Nhập入库!A:N,8,FALSE)</f>
        <v>36</v>
      </c>
      <c r="F169" s="6"/>
      <c r="G169" s="6" t="s">
        <v>422</v>
      </c>
      <c r="H169" s="6" t="s">
        <v>431</v>
      </c>
      <c r="I169" s="10" t="s">
        <v>474</v>
      </c>
      <c r="J169" s="138">
        <v>0.731944444444444</v>
      </c>
    </row>
    <row r="170" spans="1:10">
      <c r="A170" s="31">
        <f>VLOOKUP($C170,SKU!$A:$I,3,FALSE)</f>
        <v>10025</v>
      </c>
      <c r="B170" s="31" t="str">
        <f>VLOOKUP($C170,SKU!$A:$I,2,FALSE)</f>
        <v>君屹文化耽美古风收藏新纪元《言辞忆梦》撕撕乐</v>
      </c>
      <c r="C170" s="6" t="s">
        <v>127</v>
      </c>
      <c r="D170" s="6"/>
      <c r="E170" s="25">
        <f>D170*VLOOKUP(A170,Nhập入库!A:N,8,FALSE)</f>
        <v>0</v>
      </c>
      <c r="F170" s="6">
        <v>90</v>
      </c>
      <c r="G170" s="6" t="s">
        <v>433</v>
      </c>
      <c r="H170" s="6" t="s">
        <v>59</v>
      </c>
      <c r="I170" s="10" t="s">
        <v>474</v>
      </c>
      <c r="J170" s="138">
        <v>0.989583333333333</v>
      </c>
    </row>
    <row r="171" spans="1:10">
      <c r="A171" s="31">
        <f>VLOOKUP($C171,SKU!$A:$I,3,FALSE)</f>
        <v>10048</v>
      </c>
      <c r="B171" s="31" t="str">
        <f>VLOOKUP($C171,SKU!$A:$I,2,FALSE)</f>
        <v>奈良社《极昼漫游》美少女战士撕撕乐+异形小卡</v>
      </c>
      <c r="C171" s="6" t="s">
        <v>212</v>
      </c>
      <c r="D171" s="6"/>
      <c r="E171" s="25">
        <f>D171*VLOOKUP(A171,Nhập入库!A:N,8,FALSE)</f>
        <v>0</v>
      </c>
      <c r="F171" s="6">
        <v>30</v>
      </c>
      <c r="G171" s="6" t="s">
        <v>118</v>
      </c>
      <c r="H171" s="6" t="s">
        <v>431</v>
      </c>
      <c r="I171" s="10" t="s">
        <v>474</v>
      </c>
      <c r="J171" s="138">
        <v>0.986111111111111</v>
      </c>
    </row>
    <row r="172" spans="1:10">
      <c r="A172" s="31">
        <f>VLOOKUP($C172,SKU!$A:$I,3,FALSE)</f>
        <v>10048</v>
      </c>
      <c r="B172" s="31" t="str">
        <f>VLOOKUP($C172,SKU!$A:$I,2,FALSE)</f>
        <v>奈良社《极昼漫游》美少女战士撕撕乐+异形小卡</v>
      </c>
      <c r="C172" s="6" t="s">
        <v>212</v>
      </c>
      <c r="D172" s="6"/>
      <c r="E172" s="25">
        <f>D172*VLOOKUP(A172,Nhập入库!A:N,8,FALSE)</f>
        <v>0</v>
      </c>
      <c r="F172" s="6">
        <v>10</v>
      </c>
      <c r="G172" s="6" t="s">
        <v>429</v>
      </c>
      <c r="H172" s="6" t="s">
        <v>431</v>
      </c>
      <c r="I172" s="10" t="s">
        <v>474</v>
      </c>
      <c r="J172" s="138">
        <v>0.986111111111111</v>
      </c>
    </row>
    <row r="173" spans="1:10">
      <c r="A173" s="31">
        <f>VLOOKUP($C173,SKU!$A:$I,3,FALSE)</f>
        <v>10029</v>
      </c>
      <c r="B173" s="31" t="str">
        <f>VLOOKUP($C173,SKU!$A:$I,2,FALSE)</f>
        <v>樱花屋魔卡少女樱</v>
      </c>
      <c r="C173" s="6" t="s">
        <v>143</v>
      </c>
      <c r="D173" s="6"/>
      <c r="E173" s="25">
        <f>D173*VLOOKUP(A173,Nhập入库!A:N,8,FALSE)</f>
        <v>0</v>
      </c>
      <c r="F173" s="6">
        <v>0</v>
      </c>
      <c r="G173" s="6" t="s">
        <v>426</v>
      </c>
      <c r="H173" s="6" t="s">
        <v>408</v>
      </c>
      <c r="I173" s="10" t="s">
        <v>471</v>
      </c>
      <c r="J173" s="138">
        <v>0.384722222222222</v>
      </c>
    </row>
    <row r="174" spans="1:10">
      <c r="A174" s="31">
        <f>VLOOKUP($C174,SKU!$A:$I,3,FALSE)</f>
        <v>10006</v>
      </c>
      <c r="B174" s="31" t="str">
        <f>VLOOKUP($C174,SKU!$A:$I,2,FALSE)</f>
        <v>云映文化「云之境の夏」第二弹·宫崎骏珍藏卡牌</v>
      </c>
      <c r="C174" s="6" t="s">
        <v>43</v>
      </c>
      <c r="D174" s="6">
        <v>4</v>
      </c>
      <c r="E174" s="25">
        <f>D174*VLOOKUP(A174,Nhập入库!A:N,8,FALSE)</f>
        <v>52</v>
      </c>
      <c r="F174" s="6">
        <v>14</v>
      </c>
      <c r="G174" s="6" t="s">
        <v>69</v>
      </c>
      <c r="H174" s="6" t="s">
        <v>408</v>
      </c>
      <c r="I174" s="10" t="s">
        <v>475</v>
      </c>
      <c r="J174" s="138">
        <v>0.572222222222222</v>
      </c>
    </row>
    <row r="175" spans="1:10">
      <c r="A175" s="31">
        <f>VLOOKUP($C175,SKU!$A:$I,3,FALSE)</f>
        <v>10005</v>
      </c>
      <c r="B175" s="31" t="str">
        <f>VLOOKUP($C175,SKU!$A:$I,2,FALSE)</f>
        <v>椿柚文创宫崎骏 被风吹散的秘密邮票第一弹</v>
      </c>
      <c r="C175" s="6" t="s">
        <v>36</v>
      </c>
      <c r="D175" s="6">
        <v>1</v>
      </c>
      <c r="E175" s="25">
        <f>D175*VLOOKUP(A175,Nhập入库!A:N,8,FALSE)</f>
        <v>1</v>
      </c>
      <c r="F175" s="6"/>
      <c r="G175" s="6" t="s">
        <v>69</v>
      </c>
      <c r="H175" s="6" t="s">
        <v>408</v>
      </c>
      <c r="I175" s="10" t="s">
        <v>475</v>
      </c>
      <c r="J175" s="138">
        <v>0.572222222222222</v>
      </c>
    </row>
    <row r="176" spans="1:10">
      <c r="A176" s="31">
        <f>VLOOKUP($C176,SKU!$A:$I,3,FALSE)</f>
        <v>10006</v>
      </c>
      <c r="B176" s="31" t="str">
        <f>VLOOKUP($C176,SKU!$A:$I,2,FALSE)</f>
        <v>云映文化「云之境の夏」第二弹·宫崎骏珍藏卡牌</v>
      </c>
      <c r="C176" s="6" t="s">
        <v>43</v>
      </c>
      <c r="D176" s="6"/>
      <c r="E176" s="25">
        <f>D176*VLOOKUP(A176,Nhập入库!A:N,8,FALSE)</f>
        <v>0</v>
      </c>
      <c r="F176" s="6">
        <v>127</v>
      </c>
      <c r="G176" s="6" t="s">
        <v>429</v>
      </c>
      <c r="H176" s="6" t="s">
        <v>423</v>
      </c>
      <c r="I176" s="10" t="s">
        <v>475</v>
      </c>
      <c r="J176" s="138">
        <v>0.596527777777778</v>
      </c>
    </row>
    <row r="177" spans="1:10">
      <c r="A177" s="31">
        <f>VLOOKUP($C177,SKU!$A:$I,3,FALSE)</f>
        <v>10006</v>
      </c>
      <c r="B177" s="31" t="str">
        <f>VLOOKUP($C177,SKU!$A:$I,2,FALSE)</f>
        <v>云映文化「云之境の夏」第二弹·宫崎骏珍藏卡牌</v>
      </c>
      <c r="C177" s="6" t="s">
        <v>43</v>
      </c>
      <c r="D177" s="6"/>
      <c r="E177" s="25">
        <f>D177*VLOOKUP(A177,Nhập入库!A:N,8,FALSE)</f>
        <v>0</v>
      </c>
      <c r="F177" s="6">
        <v>48</v>
      </c>
      <c r="G177" s="6" t="s">
        <v>90</v>
      </c>
      <c r="H177" s="6" t="s">
        <v>423</v>
      </c>
      <c r="I177" s="10" t="s">
        <v>475</v>
      </c>
      <c r="J177" s="138">
        <v>0.596527777777778</v>
      </c>
    </row>
    <row r="178" spans="1:10">
      <c r="A178" s="31">
        <f>VLOOKUP($C178,SKU!$A:$I,3,FALSE)</f>
        <v>10006</v>
      </c>
      <c r="B178" s="31" t="str">
        <f>VLOOKUP($C178,SKU!$A:$I,2,FALSE)</f>
        <v>云映文化「云之境の夏」第二弹·宫崎骏珍藏卡牌</v>
      </c>
      <c r="C178" s="6" t="s">
        <v>43</v>
      </c>
      <c r="D178" s="6"/>
      <c r="E178" s="25">
        <f>D178*VLOOKUP(A178,Nhập入库!A:N,8,FALSE)</f>
        <v>0</v>
      </c>
      <c r="F178" s="6">
        <v>30</v>
      </c>
      <c r="G178" s="6" t="s">
        <v>33</v>
      </c>
      <c r="H178" s="6" t="s">
        <v>423</v>
      </c>
      <c r="I178" s="10" t="s">
        <v>475</v>
      </c>
      <c r="J178" s="138">
        <v>0.596527777777778</v>
      </c>
    </row>
    <row r="179" spans="1:10">
      <c r="A179" s="31">
        <f>VLOOKUP($C179,SKU!$A:$I,3,FALSE)</f>
        <v>10030</v>
      </c>
      <c r="B179" s="31" t="str">
        <f>VLOOKUP($C179,SKU!$A:$I,2,FALSE)</f>
        <v>梦影动漫黑执事-典藏版收藏卡牌</v>
      </c>
      <c r="C179" s="6" t="s">
        <v>147</v>
      </c>
      <c r="D179" s="6">
        <v>2</v>
      </c>
      <c r="E179" s="25">
        <f>D179*VLOOKUP(A179,Nhập入库!A:N,8,FALSE)</f>
        <v>24</v>
      </c>
      <c r="F179" s="6"/>
      <c r="G179" s="6" t="s">
        <v>422</v>
      </c>
      <c r="H179" s="6" t="s">
        <v>431</v>
      </c>
      <c r="I179" s="10" t="s">
        <v>475</v>
      </c>
      <c r="J179" s="138">
        <v>0.838194444444444</v>
      </c>
    </row>
    <row r="180" spans="1:10">
      <c r="A180" s="31">
        <f>VLOOKUP($C180,SKU!$A:$I,3,FALSE)</f>
        <v>10030</v>
      </c>
      <c r="B180" s="31" t="str">
        <f>VLOOKUP($C180,SKU!$A:$I,2,FALSE)</f>
        <v>梦影动漫黑执事-典藏版收藏卡牌</v>
      </c>
      <c r="C180" s="6" t="s">
        <v>147</v>
      </c>
      <c r="D180" s="6"/>
      <c r="E180" s="25">
        <f>D180*VLOOKUP(A180,Nhập入库!A:N,8,FALSE)</f>
        <v>0</v>
      </c>
      <c r="F180" s="6">
        <v>11</v>
      </c>
      <c r="G180" s="6" t="s">
        <v>422</v>
      </c>
      <c r="H180" s="6" t="s">
        <v>431</v>
      </c>
      <c r="I180" s="10" t="s">
        <v>475</v>
      </c>
      <c r="J180" s="138">
        <v>0.930555555555556</v>
      </c>
    </row>
    <row r="181" spans="1:10">
      <c r="A181" s="31">
        <f>VLOOKUP($C181,SKU!$A:$I,3,FALSE)</f>
        <v>10006</v>
      </c>
      <c r="B181" s="31" t="str">
        <f>VLOOKUP($C181,SKU!$A:$I,2,FALSE)</f>
        <v>云映文化「云之境の夏」第二弹·宫崎骏珍藏卡牌</v>
      </c>
      <c r="C181" s="6" t="s">
        <v>43</v>
      </c>
      <c r="D181" s="6">
        <v>2</v>
      </c>
      <c r="E181" s="25">
        <f>D181*VLOOKUP(A181,Nhập入库!A:N,8,FALSE)</f>
        <v>26</v>
      </c>
      <c r="F181" s="6"/>
      <c r="G181" s="6" t="s">
        <v>432</v>
      </c>
      <c r="H181" s="6" t="s">
        <v>431</v>
      </c>
      <c r="I181" s="10" t="s">
        <v>475</v>
      </c>
      <c r="J181" s="138">
        <v>0.945138888888889</v>
      </c>
    </row>
    <row r="182" spans="1:10">
      <c r="A182" s="31">
        <f>VLOOKUP($C182,SKU!$A:$I,3,FALSE)</f>
        <v>10051</v>
      </c>
      <c r="B182" s="31" t="str">
        <f>VLOOKUP($C182,SKU!$A:$I,2,FALSE)</f>
        <v>南卡《魔卡少女樱》</v>
      </c>
      <c r="C182" s="6" t="s">
        <v>222</v>
      </c>
      <c r="D182" s="6"/>
      <c r="E182" s="25">
        <f>D182*VLOOKUP(A182,Nhập入库!A:N,8,FALSE)</f>
        <v>0</v>
      </c>
      <c r="F182" s="6">
        <v>18</v>
      </c>
      <c r="G182" s="6" t="s">
        <v>118</v>
      </c>
      <c r="H182" s="6" t="s">
        <v>423</v>
      </c>
      <c r="I182" s="10" t="s">
        <v>476</v>
      </c>
      <c r="J182" s="138">
        <v>0.484027777777778</v>
      </c>
    </row>
    <row r="183" spans="1:10">
      <c r="A183" s="31">
        <f>VLOOKUP($C183,SKU!$A:$I,3,FALSE)</f>
        <v>10039</v>
      </c>
      <c r="B183" s="31" t="str">
        <f>VLOOKUP($C183,SKU!$A:$I,2,FALSE)</f>
        <v>非凡航海王第五弹</v>
      </c>
      <c r="C183" s="6" t="s">
        <v>184</v>
      </c>
      <c r="D183" s="6">
        <v>5</v>
      </c>
      <c r="E183" s="25">
        <f>D183*VLOOKUP(A183,Nhập入库!A:N,8,FALSE)</f>
        <v>100</v>
      </c>
      <c r="F183" s="6"/>
      <c r="G183" s="6" t="s">
        <v>118</v>
      </c>
      <c r="H183" s="6" t="s">
        <v>423</v>
      </c>
      <c r="I183" s="10" t="s">
        <v>476</v>
      </c>
      <c r="J183" s="138">
        <v>0.484027777777778</v>
      </c>
    </row>
    <row r="184" spans="1:10">
      <c r="A184" s="31">
        <f>VLOOKUP($C184,SKU!$A:$I,3,FALSE)</f>
        <v>10018</v>
      </c>
      <c r="B184" s="31" t="str">
        <f>VLOOKUP($C184,SKU!$A:$I,2,FALSE)</f>
        <v>圣月美少女战士星尘协奏曲长卡</v>
      </c>
      <c r="C184" s="6" t="s">
        <v>99</v>
      </c>
      <c r="D184" s="6">
        <v>2</v>
      </c>
      <c r="E184" s="25">
        <f>D184*VLOOKUP(A184,Nhập入库!A:N,8,FALSE)</f>
        <v>26</v>
      </c>
      <c r="F184" s="6"/>
      <c r="G184" s="6" t="s">
        <v>118</v>
      </c>
      <c r="H184" s="6" t="s">
        <v>423</v>
      </c>
      <c r="I184" s="10" t="s">
        <v>476</v>
      </c>
      <c r="J184" s="138">
        <v>0.484027777777778</v>
      </c>
    </row>
    <row r="185" spans="1:10">
      <c r="A185" s="31">
        <f>VLOOKUP($C185,SKU!$A:$I,3,FALSE)</f>
        <v>10043</v>
      </c>
      <c r="B185" s="31" t="str">
        <f>VLOOKUP($C185,SKU!$A:$I,2,FALSE)</f>
        <v>光恋XR-披荆斩棘-美少女战士</v>
      </c>
      <c r="C185" s="6" t="s">
        <v>199</v>
      </c>
      <c r="D185" s="6">
        <v>2</v>
      </c>
      <c r="E185" s="25">
        <f>D185*VLOOKUP(A185,Nhập入库!A:N,8,FALSE)</f>
        <v>26</v>
      </c>
      <c r="F185" s="6"/>
      <c r="G185" s="6" t="s">
        <v>118</v>
      </c>
      <c r="H185" s="6" t="s">
        <v>423</v>
      </c>
      <c r="I185" s="10" t="s">
        <v>476</v>
      </c>
      <c r="J185" s="138">
        <v>0.484027777777778</v>
      </c>
    </row>
    <row r="186" spans="1:10">
      <c r="A186" s="31">
        <f>VLOOKUP($C186,SKU!$A:$I,3,FALSE)</f>
        <v>10014</v>
      </c>
      <c r="B186" s="31" t="str">
        <f>VLOOKUP($C186,SKU!$A:$I,2,FALSE)</f>
        <v>星梦文创-Studio Ghibli宫崎骏撕撕乐系列 </v>
      </c>
      <c r="C186" s="6" t="s">
        <v>83</v>
      </c>
      <c r="D186" s="6">
        <v>10</v>
      </c>
      <c r="E186" s="25">
        <f>D186*VLOOKUP(A186,Nhập入库!A:N,8,FALSE)</f>
        <v>30</v>
      </c>
      <c r="F186" s="6"/>
      <c r="G186" s="6" t="s">
        <v>118</v>
      </c>
      <c r="H186" s="6" t="s">
        <v>423</v>
      </c>
      <c r="I186" s="10" t="s">
        <v>476</v>
      </c>
      <c r="J186" s="138">
        <v>0.484027777777778</v>
      </c>
    </row>
    <row r="187" spans="1:10">
      <c r="A187" s="31">
        <f>VLOOKUP($C187,SKU!$A:$I,3,FALSE)</f>
        <v>10026</v>
      </c>
      <c r="B187" s="31" t="str">
        <f>VLOOKUP($C187,SKU!$A:$I,2,FALSE)</f>
        <v>星恋文创·恋与深空《晦明交错之间》亚克力相框卡</v>
      </c>
      <c r="C187" s="6" t="s">
        <v>131</v>
      </c>
      <c r="D187" s="6">
        <v>19</v>
      </c>
      <c r="E187" s="25">
        <f>D187*VLOOKUP(A187,Nhập入库!A:N,8,FALSE)</f>
        <v>19</v>
      </c>
      <c r="F187" s="6"/>
      <c r="G187" s="6" t="s">
        <v>118</v>
      </c>
      <c r="H187" s="6" t="s">
        <v>423</v>
      </c>
      <c r="I187" s="10" t="s">
        <v>476</v>
      </c>
      <c r="J187" s="138">
        <v>0.484027777777778</v>
      </c>
    </row>
    <row r="188" spans="1:10">
      <c r="A188" s="31">
        <f>VLOOKUP($C188,SKU!$A:$I,3,FALSE)</f>
        <v>10051</v>
      </c>
      <c r="B188" s="31" t="str">
        <f>VLOOKUP($C188,SKU!$A:$I,2,FALSE)</f>
        <v>南卡《魔卡少女樱》</v>
      </c>
      <c r="C188" s="6" t="s">
        <v>222</v>
      </c>
      <c r="D188" s="6">
        <v>2</v>
      </c>
      <c r="E188" s="25">
        <f>D188*VLOOKUP(A188,Nhập入库!A:N,8,FALSE)</f>
        <v>24</v>
      </c>
      <c r="F188" s="6"/>
      <c r="G188" s="6" t="s">
        <v>118</v>
      </c>
      <c r="H188" s="6" t="s">
        <v>423</v>
      </c>
      <c r="I188" s="10" t="s">
        <v>476</v>
      </c>
      <c r="J188" s="138">
        <v>0.0944444444444444</v>
      </c>
    </row>
    <row r="189" spans="1:10">
      <c r="A189" s="31">
        <f>VLOOKUP($C189,SKU!$A:$I,3,FALSE)</f>
        <v>10051</v>
      </c>
      <c r="B189" s="31" t="str">
        <f>VLOOKUP($C189,SKU!$A:$I,2,FALSE)</f>
        <v>南卡《魔卡少女樱》</v>
      </c>
      <c r="C189" s="6" t="s">
        <v>222</v>
      </c>
      <c r="D189" s="6">
        <v>5</v>
      </c>
      <c r="E189" s="25">
        <f>D189*VLOOKUP(A189,Nhập入库!A:N,8,FALSE)</f>
        <v>60</v>
      </c>
      <c r="F189" s="6"/>
      <c r="G189" s="6" t="s">
        <v>422</v>
      </c>
      <c r="H189" s="6" t="s">
        <v>408</v>
      </c>
      <c r="I189" s="10" t="s">
        <v>476</v>
      </c>
      <c r="J189" s="138">
        <v>0.6875</v>
      </c>
    </row>
    <row r="190" spans="1:10">
      <c r="A190" s="31">
        <f>VLOOKUP($C190,SKU!$A:$I,3,FALSE)</f>
        <v>10039</v>
      </c>
      <c r="B190" s="31" t="str">
        <f>VLOOKUP($C190,SKU!$A:$I,2,FALSE)</f>
        <v>非凡航海王第五弹</v>
      </c>
      <c r="C190" s="6" t="s">
        <v>184</v>
      </c>
      <c r="D190" s="6"/>
      <c r="E190" s="25">
        <f>D190*VLOOKUP(A190,Nhập入库!A:N,8,FALSE)</f>
        <v>0</v>
      </c>
      <c r="F190" s="6">
        <v>811</v>
      </c>
      <c r="G190" s="6" t="s">
        <v>69</v>
      </c>
      <c r="H190" s="6" t="s">
        <v>408</v>
      </c>
      <c r="I190" s="10" t="s">
        <v>476</v>
      </c>
      <c r="J190" s="138">
        <v>0.6875</v>
      </c>
    </row>
    <row r="191" spans="1:10">
      <c r="A191" s="31">
        <f>VLOOKUP($C191,SKU!$A:$I,3,FALSE)</f>
        <v>10030</v>
      </c>
      <c r="B191" s="31" t="str">
        <f>VLOOKUP($C191,SKU!$A:$I,2,FALSE)</f>
        <v>梦影动漫黑执事-典藏版收藏卡牌</v>
      </c>
      <c r="C191" s="6" t="s">
        <v>147</v>
      </c>
      <c r="D191" s="6"/>
      <c r="E191" s="25">
        <f>D191*VLOOKUP(A191,Nhập入库!A:N,8,FALSE)</f>
        <v>0</v>
      </c>
      <c r="F191" s="6">
        <v>32</v>
      </c>
      <c r="G191" s="6" t="s">
        <v>433</v>
      </c>
      <c r="H191" s="6" t="s">
        <v>424</v>
      </c>
      <c r="I191" s="10" t="s">
        <v>476</v>
      </c>
      <c r="J191" s="138">
        <v>0.416666666666667</v>
      </c>
    </row>
    <row r="192" spans="1:10">
      <c r="A192" s="31">
        <f>VLOOKUP($C192,SKU!$A:$I,3,FALSE)</f>
        <v>10023</v>
      </c>
      <c r="B192" s="31" t="str">
        <f>VLOOKUP($C192,SKU!$A:$I,2,FALSE)</f>
        <v>风信文创尘世相逢之约星光来信原神邮票第一弹</v>
      </c>
      <c r="C192" s="6" t="s">
        <v>119</v>
      </c>
      <c r="D192" s="6"/>
      <c r="E192" s="25">
        <f>D192*VLOOKUP(A192,Nhập入库!A:N,8,FALSE)</f>
        <v>0</v>
      </c>
      <c r="F192" s="6">
        <v>7</v>
      </c>
      <c r="G192" s="6" t="s">
        <v>69</v>
      </c>
      <c r="H192" s="6" t="s">
        <v>408</v>
      </c>
      <c r="I192" s="10" t="s">
        <v>476</v>
      </c>
      <c r="J192" s="138">
        <v>0.6875</v>
      </c>
    </row>
    <row r="193" spans="1:10">
      <c r="A193" s="31">
        <f>VLOOKUP($C193,SKU!$A:$I,3,FALSE)</f>
        <v>10032</v>
      </c>
      <c r="B193" s="31" t="str">
        <f>VLOOKUP($C193,SKU!$A:$I,2,FALSE)</f>
        <v>绘心阁《魔道祖师—殊途同归》色纸卡牌</v>
      </c>
      <c r="C193" s="23" t="s">
        <v>155</v>
      </c>
      <c r="D193" s="23"/>
      <c r="E193" s="25">
        <f>D193*VLOOKUP(A193,Nhập入库!A:N,8,FALSE)</f>
        <v>0</v>
      </c>
      <c r="F193" s="23">
        <v>10</v>
      </c>
      <c r="G193" s="6" t="s">
        <v>118</v>
      </c>
      <c r="H193" s="23" t="s">
        <v>431</v>
      </c>
      <c r="I193" s="141" t="s">
        <v>476</v>
      </c>
      <c r="J193" s="145">
        <v>0.770833333333333</v>
      </c>
    </row>
    <row r="194" spans="1:10">
      <c r="A194" s="31">
        <f>VLOOKUP($C194,SKU!$A:$I,3,FALSE)</f>
        <v>10051</v>
      </c>
      <c r="B194" s="31" t="str">
        <f>VLOOKUP($C194,SKU!$A:$I,2,FALSE)</f>
        <v>南卡《魔卡少女樱》</v>
      </c>
      <c r="C194" s="23" t="s">
        <v>222</v>
      </c>
      <c r="D194" s="23">
        <v>3</v>
      </c>
      <c r="E194" s="25">
        <f>D194*VLOOKUP(A194,Nhập入库!A:N,8,FALSE)</f>
        <v>36</v>
      </c>
      <c r="F194" s="23"/>
      <c r="G194" s="23" t="s">
        <v>422</v>
      </c>
      <c r="H194" s="23" t="s">
        <v>431</v>
      </c>
      <c r="I194" s="141" t="s">
        <v>476</v>
      </c>
      <c r="J194" s="145">
        <v>0.958333333333333</v>
      </c>
    </row>
    <row r="195" spans="1:10">
      <c r="A195" s="31">
        <f>VLOOKUP($C195,SKU!$A:$I,3,FALSE)</f>
        <v>10051</v>
      </c>
      <c r="B195" s="31" t="str">
        <f>VLOOKUP($C195,SKU!$A:$I,2,FALSE)</f>
        <v>南卡《魔卡少女樱》</v>
      </c>
      <c r="C195" s="23" t="s">
        <v>222</v>
      </c>
      <c r="D195" s="23">
        <v>3</v>
      </c>
      <c r="E195" s="25">
        <f>D195*VLOOKUP(A195,Nhập入库!A:N,8,FALSE)</f>
        <v>36</v>
      </c>
      <c r="F195" s="23"/>
      <c r="G195" s="23" t="s">
        <v>422</v>
      </c>
      <c r="H195" s="23" t="s">
        <v>431</v>
      </c>
      <c r="I195" s="141" t="s">
        <v>476</v>
      </c>
      <c r="J195" s="145">
        <v>0.958333333333333</v>
      </c>
    </row>
    <row r="196" spans="1:10">
      <c r="A196" s="31">
        <f>VLOOKUP($C196,SKU!$A:$I,3,FALSE)</f>
        <v>10051</v>
      </c>
      <c r="B196" s="31" t="str">
        <f>VLOOKUP($C196,SKU!$A:$I,2,FALSE)</f>
        <v>南卡《魔卡少女樱》</v>
      </c>
      <c r="C196" s="23" t="s">
        <v>222</v>
      </c>
      <c r="D196" s="23">
        <v>2</v>
      </c>
      <c r="E196" s="25">
        <f>D196*VLOOKUP(A196,Nhập入库!A:N,8,FALSE)</f>
        <v>24</v>
      </c>
      <c r="F196" s="23"/>
      <c r="G196" s="23" t="s">
        <v>98</v>
      </c>
      <c r="H196" s="23" t="s">
        <v>431</v>
      </c>
      <c r="I196" s="141" t="s">
        <v>476</v>
      </c>
      <c r="J196" s="145">
        <v>0.958333333333333</v>
      </c>
    </row>
    <row r="197" spans="1:10">
      <c r="A197" s="31">
        <f>VLOOKUP($C197,SKU!$A:$I,3,FALSE)</f>
        <v>10051</v>
      </c>
      <c r="B197" s="31" t="str">
        <f>VLOOKUP($C197,SKU!$A:$I,2,FALSE)</f>
        <v>南卡《魔卡少女樱》</v>
      </c>
      <c r="C197" s="23" t="s">
        <v>222</v>
      </c>
      <c r="D197" s="23">
        <v>2</v>
      </c>
      <c r="E197" s="25">
        <f>D197*VLOOKUP(A197,Nhập入库!A:N,8,FALSE)</f>
        <v>24</v>
      </c>
      <c r="F197" s="23"/>
      <c r="G197" s="23" t="s">
        <v>422</v>
      </c>
      <c r="H197" s="23" t="s">
        <v>423</v>
      </c>
      <c r="I197" s="141" t="s">
        <v>478</v>
      </c>
      <c r="J197" s="145">
        <v>0.625</v>
      </c>
    </row>
    <row r="198" spans="1:10">
      <c r="A198" s="31">
        <f>VLOOKUP($C198,SKU!$A:$I,3,FALSE)</f>
        <v>10051</v>
      </c>
      <c r="B198" s="31" t="str">
        <f>VLOOKUP($C198,SKU!$A:$I,2,FALSE)</f>
        <v>南卡《魔卡少女樱》</v>
      </c>
      <c r="C198" s="23" t="s">
        <v>222</v>
      </c>
      <c r="D198" s="23">
        <v>2</v>
      </c>
      <c r="E198" s="25">
        <f>D198*VLOOKUP(A198,Nhập入库!A:N,8,FALSE)</f>
        <v>24</v>
      </c>
      <c r="F198" s="23"/>
      <c r="G198" s="23" t="s">
        <v>422</v>
      </c>
      <c r="H198" s="23" t="s">
        <v>423</v>
      </c>
      <c r="I198" s="141" t="s">
        <v>478</v>
      </c>
      <c r="J198" s="145">
        <v>0.625</v>
      </c>
    </row>
    <row r="199" spans="1:10">
      <c r="A199" s="31">
        <f>VLOOKUP($C199,SKU!$A:$I,3,FALSE)</f>
        <v>10048</v>
      </c>
      <c r="B199" s="31" t="str">
        <f>VLOOKUP($C199,SKU!$A:$I,2,FALSE)</f>
        <v>奈良社《极昼漫游》美少女战士撕撕乐+异形小卡</v>
      </c>
      <c r="C199" s="10" t="s">
        <v>212</v>
      </c>
      <c r="D199" s="6">
        <v>9</v>
      </c>
      <c r="E199" s="25">
        <f>D199*VLOOKUP(A199,Nhập入库!A:N,8,FALSE)</f>
        <v>9</v>
      </c>
      <c r="F199" s="6"/>
      <c r="G199" s="10" t="s">
        <v>430</v>
      </c>
      <c r="H199" s="10" t="s">
        <v>406</v>
      </c>
      <c r="I199" s="141" t="s">
        <v>478</v>
      </c>
      <c r="J199" s="138">
        <v>0.655555555555556</v>
      </c>
    </row>
    <row r="200" spans="1:10">
      <c r="A200" s="31">
        <f>VLOOKUP($C200,SKU!$A:$I,3,FALSE)</f>
        <v>10039</v>
      </c>
      <c r="B200" s="31" t="str">
        <f>VLOOKUP($C200,SKU!$A:$I,2,FALSE)</f>
        <v>非凡航海王第五弹</v>
      </c>
      <c r="C200" s="6" t="s">
        <v>184</v>
      </c>
      <c r="D200" s="6">
        <v>2</v>
      </c>
      <c r="E200" s="25">
        <f>D200*VLOOKUP(A200,Nhập入库!A:N,8,FALSE)</f>
        <v>40</v>
      </c>
      <c r="F200" s="6"/>
      <c r="G200" s="6" t="s">
        <v>90</v>
      </c>
      <c r="H200" s="6" t="s">
        <v>424</v>
      </c>
      <c r="I200" s="141" t="s">
        <v>478</v>
      </c>
      <c r="J200" s="138">
        <v>0.565972222222222</v>
      </c>
    </row>
    <row r="201" spans="1:10">
      <c r="A201" s="31">
        <f>VLOOKUP($C201,SKU!$A:$I,3,FALSE)</f>
        <v>10025</v>
      </c>
      <c r="B201" s="31" t="str">
        <f>VLOOKUP($C201,SKU!$A:$I,2,FALSE)</f>
        <v>君屹文化耽美古风收藏新纪元《言辞忆梦》撕撕乐</v>
      </c>
      <c r="C201" s="6" t="s">
        <v>127</v>
      </c>
      <c r="D201" s="6"/>
      <c r="E201" s="25">
        <f>D201*VLOOKUP(A201,Nhập入库!A:N,8,FALSE)</f>
        <v>0</v>
      </c>
      <c r="F201" s="6">
        <v>91</v>
      </c>
      <c r="G201" s="6" t="s">
        <v>433</v>
      </c>
      <c r="H201" s="6" t="s">
        <v>423</v>
      </c>
      <c r="I201" s="141" t="s">
        <v>478</v>
      </c>
      <c r="J201" s="138">
        <v>0.621527777777778</v>
      </c>
    </row>
    <row r="202" spans="1:10">
      <c r="A202" s="31">
        <f>VLOOKUP($C202,SKU!$A:$I,3,FALSE)</f>
        <v>10051</v>
      </c>
      <c r="B202" s="31" t="str">
        <f>VLOOKUP($C202,SKU!$A:$I,2,FALSE)</f>
        <v>南卡《魔卡少女樱》</v>
      </c>
      <c r="C202" s="6" t="s">
        <v>222</v>
      </c>
      <c r="D202" s="6">
        <v>3</v>
      </c>
      <c r="E202" s="25">
        <f>D202*VLOOKUP(A202,Nhập入库!A:N,8,FALSE)</f>
        <v>36</v>
      </c>
      <c r="F202" s="6"/>
      <c r="G202" s="6" t="s">
        <v>78</v>
      </c>
      <c r="H202" s="6" t="s">
        <v>424</v>
      </c>
      <c r="I202" s="141" t="s">
        <v>478</v>
      </c>
      <c r="J202" s="138">
        <v>0.546527777777778</v>
      </c>
    </row>
    <row r="203" spans="1:10">
      <c r="A203" s="31">
        <f>VLOOKUP($C203,SKU!$A:$I,3,FALSE)</f>
        <v>10051</v>
      </c>
      <c r="B203" s="31" t="str">
        <f>VLOOKUP($C203,SKU!$A:$I,2,FALSE)</f>
        <v>南卡《魔卡少女樱》</v>
      </c>
      <c r="C203" s="6" t="s">
        <v>222</v>
      </c>
      <c r="D203" s="6">
        <v>1</v>
      </c>
      <c r="E203" s="25">
        <f>D203*VLOOKUP(A203,Nhập入库!A:N,8,FALSE)</f>
        <v>12</v>
      </c>
      <c r="F203" s="6"/>
      <c r="G203" s="6" t="s">
        <v>98</v>
      </c>
      <c r="H203" s="6" t="s">
        <v>424</v>
      </c>
      <c r="I203" s="141" t="s">
        <v>478</v>
      </c>
      <c r="J203" s="138">
        <v>0.546527777777778</v>
      </c>
    </row>
    <row r="204" spans="1:10">
      <c r="A204" s="31">
        <f>VLOOKUP($C204,SKU!$A:$I,3,FALSE)</f>
        <v>10051</v>
      </c>
      <c r="B204" s="31" t="str">
        <f>VLOOKUP($C204,SKU!$A:$I,2,FALSE)</f>
        <v>南卡《魔卡少女樱》</v>
      </c>
      <c r="C204" s="6" t="s">
        <v>222</v>
      </c>
      <c r="D204" s="6"/>
      <c r="E204" s="25">
        <f>D204*VLOOKUP(A204,Nhập入库!A:N,8,FALSE)</f>
        <v>0</v>
      </c>
      <c r="F204" s="6">
        <v>26</v>
      </c>
      <c r="G204" s="6" t="s">
        <v>98</v>
      </c>
      <c r="H204" s="6" t="s">
        <v>424</v>
      </c>
      <c r="I204" s="141" t="s">
        <v>478</v>
      </c>
      <c r="J204" s="138">
        <v>0.525694444444444</v>
      </c>
    </row>
    <row r="205" spans="1:10">
      <c r="A205" s="31">
        <f>VLOOKUP($C205,SKU!$A:$I,3,FALSE)</f>
        <v>10051</v>
      </c>
      <c r="B205" s="31" t="str">
        <f>VLOOKUP($C205,SKU!$A:$I,2,FALSE)</f>
        <v>南卡《魔卡少女樱》</v>
      </c>
      <c r="C205" s="6" t="s">
        <v>222</v>
      </c>
      <c r="D205" s="6">
        <v>1</v>
      </c>
      <c r="E205" s="25">
        <f>D205*VLOOKUP(A205,Nhập入库!A:N,8,FALSE)</f>
        <v>12</v>
      </c>
      <c r="F205" s="6"/>
      <c r="G205" s="6" t="s">
        <v>98</v>
      </c>
      <c r="H205" s="6" t="s">
        <v>423</v>
      </c>
      <c r="I205" s="141" t="s">
        <v>478</v>
      </c>
      <c r="J205" s="138">
        <v>0.621527777777778</v>
      </c>
    </row>
    <row r="206" spans="1:10">
      <c r="A206" s="31">
        <f>VLOOKUP($C206,SKU!$A:$I,3,FALSE)</f>
        <v>10051</v>
      </c>
      <c r="B206" s="31" t="str">
        <f>VLOOKUP($C206,SKU!$A:$I,2,FALSE)</f>
        <v>南卡《魔卡少女樱》</v>
      </c>
      <c r="C206" s="6" t="s">
        <v>222</v>
      </c>
      <c r="D206" s="6">
        <v>2</v>
      </c>
      <c r="E206" s="25">
        <f>D206*VLOOKUP(A206,Nhập入库!A:N,8,FALSE)</f>
        <v>24</v>
      </c>
      <c r="F206" s="6"/>
      <c r="G206" s="6" t="s">
        <v>78</v>
      </c>
      <c r="H206" s="6" t="s">
        <v>423</v>
      </c>
      <c r="I206" s="141" t="s">
        <v>476</v>
      </c>
      <c r="J206" s="138">
        <v>0.621527777777778</v>
      </c>
    </row>
    <row r="207" spans="1:10">
      <c r="A207" s="31">
        <f>VLOOKUP($C207,SKU!$A:$I,3,FALSE)</f>
        <v>10051</v>
      </c>
      <c r="B207" s="31" t="str">
        <f>VLOOKUP($C207,SKU!$A:$I,2,FALSE)</f>
        <v>南卡《魔卡少女樱》</v>
      </c>
      <c r="C207" s="6" t="s">
        <v>222</v>
      </c>
      <c r="D207" s="6"/>
      <c r="E207" s="25">
        <f>D207*VLOOKUP(A207,Nhập入库!A:N,8,FALSE)</f>
        <v>0</v>
      </c>
      <c r="F207" s="6">
        <f>53+12</f>
        <v>65</v>
      </c>
      <c r="G207" s="6" t="s">
        <v>118</v>
      </c>
      <c r="H207" s="6" t="s">
        <v>423</v>
      </c>
      <c r="I207" s="141" t="s">
        <v>478</v>
      </c>
      <c r="J207" s="138">
        <v>0.621527777777778</v>
      </c>
    </row>
    <row r="208" spans="1:10">
      <c r="A208" s="31">
        <f>VLOOKUP($C208,SKU!$A:$I,3,FALSE)</f>
        <v>10014</v>
      </c>
      <c r="B208" s="31" t="str">
        <f>VLOOKUP($C208,SKU!$A:$I,2,FALSE)</f>
        <v>星梦文创-Studio Ghibli宫崎骏撕撕乐系列 </v>
      </c>
      <c r="C208" s="6" t="s">
        <v>83</v>
      </c>
      <c r="D208" s="6"/>
      <c r="E208" s="25">
        <f>D208*VLOOKUP(A208,Nhập入库!A:N,8,FALSE)</f>
        <v>0</v>
      </c>
      <c r="F208" s="6">
        <v>60</v>
      </c>
      <c r="G208" s="6" t="s">
        <v>118</v>
      </c>
      <c r="H208" s="6" t="s">
        <v>423</v>
      </c>
      <c r="I208" s="141" t="s">
        <v>478</v>
      </c>
      <c r="J208" s="138">
        <v>0.621527777777778</v>
      </c>
    </row>
    <row r="209" spans="1:10">
      <c r="A209" s="31">
        <f>VLOOKUP($C209,SKU!$A:$I,3,FALSE)</f>
        <v>10039</v>
      </c>
      <c r="B209" s="31" t="str">
        <f>VLOOKUP($C209,SKU!$A:$I,2,FALSE)</f>
        <v>非凡航海王第五弹</v>
      </c>
      <c r="C209" s="6" t="s">
        <v>184</v>
      </c>
      <c r="D209" s="6"/>
      <c r="E209" s="25">
        <f>D209*VLOOKUP(A209,Nhập入库!A:N,8,FALSE)</f>
        <v>0</v>
      </c>
      <c r="F209" s="6">
        <v>200</v>
      </c>
      <c r="G209" s="6" t="s">
        <v>118</v>
      </c>
      <c r="H209" s="6" t="s">
        <v>423</v>
      </c>
      <c r="I209" s="141" t="s">
        <v>478</v>
      </c>
      <c r="J209" s="138">
        <v>0.621527777777778</v>
      </c>
    </row>
    <row r="210" spans="1:10">
      <c r="A210" s="31">
        <f>VLOOKUP($C210,SKU!$A:$I,3,FALSE)</f>
        <v>10043</v>
      </c>
      <c r="B210" s="31" t="str">
        <f>VLOOKUP($C210,SKU!$A:$I,2,FALSE)</f>
        <v>光恋XR-披荆斩棘-美少女战士</v>
      </c>
      <c r="C210" s="6" t="s">
        <v>199</v>
      </c>
      <c r="D210" s="6"/>
      <c r="E210" s="25">
        <f>D210*VLOOKUP(A210,Nhập入库!A:N,8,FALSE)</f>
        <v>0</v>
      </c>
      <c r="F210" s="6">
        <v>52</v>
      </c>
      <c r="G210" s="6" t="s">
        <v>118</v>
      </c>
      <c r="H210" s="6" t="s">
        <v>423</v>
      </c>
      <c r="I210" s="141" t="s">
        <v>478</v>
      </c>
      <c r="J210" s="138">
        <v>0.621527777777778</v>
      </c>
    </row>
    <row r="211" spans="1:10">
      <c r="A211" s="31">
        <f>VLOOKUP($C211,SKU!$A:$I,3,FALSE)</f>
        <v>10018</v>
      </c>
      <c r="B211" s="31" t="str">
        <f>VLOOKUP($C211,SKU!$A:$I,2,FALSE)</f>
        <v>圣月美少女战士星尘协奏曲长卡</v>
      </c>
      <c r="C211" s="6" t="s">
        <v>99</v>
      </c>
      <c r="D211" s="6"/>
      <c r="E211" s="25">
        <f>D211*VLOOKUP(A211,Nhập入库!A:N,8,FALSE)</f>
        <v>0</v>
      </c>
      <c r="F211" s="6">
        <v>52</v>
      </c>
      <c r="G211" s="6" t="s">
        <v>118</v>
      </c>
      <c r="H211" s="6" t="s">
        <v>423</v>
      </c>
      <c r="I211" s="141" t="s">
        <v>478</v>
      </c>
      <c r="J211" s="138">
        <v>0.621527777777778</v>
      </c>
    </row>
    <row r="212" spans="1:10">
      <c r="A212" s="31">
        <f>VLOOKUP($C212,SKU!$A:$I,3,FALSE)</f>
        <v>10051</v>
      </c>
      <c r="B212" s="31" t="str">
        <f>VLOOKUP($C212,SKU!$A:$I,2,FALSE)</f>
        <v>南卡《魔卡少女樱》</v>
      </c>
      <c r="C212" s="6" t="s">
        <v>222</v>
      </c>
      <c r="D212" s="6"/>
      <c r="E212" s="25">
        <f>D212*VLOOKUP(A212,Nhập入库!A:N,8,FALSE)</f>
        <v>0</v>
      </c>
      <c r="F212" s="6">
        <v>24</v>
      </c>
      <c r="G212" s="10" t="s">
        <v>33</v>
      </c>
      <c r="H212" s="6" t="s">
        <v>423</v>
      </c>
      <c r="I212" s="141" t="s">
        <v>478</v>
      </c>
      <c r="J212" s="138">
        <v>0.621527777777778</v>
      </c>
    </row>
    <row r="213" spans="1:10">
      <c r="A213" s="31">
        <f>VLOOKUP($C213,SKU!$A:$I,3,FALSE)</f>
        <v>10023</v>
      </c>
      <c r="B213" s="31" t="str">
        <f>VLOOKUP($C213,SKU!$A:$I,2,FALSE)</f>
        <v>风信文创尘世相逢之约星光来信原神邮票第一弹</v>
      </c>
      <c r="C213" s="6" t="s">
        <v>119</v>
      </c>
      <c r="D213" s="6"/>
      <c r="E213" s="25">
        <f>D213*VLOOKUP(A213,Nhập入库!A:N,8,FALSE)</f>
        <v>0</v>
      </c>
      <c r="F213" s="6">
        <v>10</v>
      </c>
      <c r="G213" s="6" t="s">
        <v>426</v>
      </c>
      <c r="H213" s="6" t="s">
        <v>424</v>
      </c>
      <c r="I213" s="141" t="s">
        <v>478</v>
      </c>
      <c r="J213" s="138">
        <v>0.427083333333333</v>
      </c>
    </row>
    <row r="214" spans="1:10">
      <c r="A214" s="31">
        <f>VLOOKUP($C214,SKU!$A:$I,3,FALSE)</f>
        <v>10048</v>
      </c>
      <c r="B214" s="31" t="str">
        <f>VLOOKUP($C214,SKU!$A:$I,2,FALSE)</f>
        <v>奈良社《极昼漫游》美少女战士撕撕乐+异形小卡</v>
      </c>
      <c r="C214" s="10" t="s">
        <v>212</v>
      </c>
      <c r="D214" s="6">
        <v>3</v>
      </c>
      <c r="E214" s="25">
        <f>D214*VLOOKUP(A214,Nhập入库!A:N,8,FALSE)</f>
        <v>3</v>
      </c>
      <c r="F214" s="6"/>
      <c r="G214" s="10" t="s">
        <v>430</v>
      </c>
      <c r="H214" s="10" t="s">
        <v>406</v>
      </c>
      <c r="I214" s="141" t="s">
        <v>479</v>
      </c>
      <c r="J214" s="138">
        <v>0.655555555555556</v>
      </c>
    </row>
    <row r="215" spans="1:10">
      <c r="A215" s="31">
        <f>VLOOKUP($C215,SKU!$A:$I,3,FALSE)</f>
        <v>10051</v>
      </c>
      <c r="B215" s="31" t="str">
        <f>VLOOKUP($C215,SKU!$A:$I,2,FALSE)</f>
        <v>南卡《魔卡少女樱》</v>
      </c>
      <c r="C215" s="6" t="s">
        <v>222</v>
      </c>
      <c r="D215" s="6"/>
      <c r="E215" s="25">
        <f>D215*VLOOKUP(A215,Nhập入库!A:N,8,FALSE)</f>
        <v>0</v>
      </c>
      <c r="F215" s="6">
        <v>26</v>
      </c>
      <c r="G215" s="6" t="s">
        <v>477</v>
      </c>
      <c r="H215" s="6" t="s">
        <v>424</v>
      </c>
      <c r="I215" s="141" t="s">
        <v>479</v>
      </c>
      <c r="J215" s="138">
        <v>0.6375</v>
      </c>
    </row>
    <row r="216" spans="1:10">
      <c r="A216" s="31">
        <f>VLOOKUP($C216,SKU!$A:$I,3,FALSE)</f>
        <v>10051</v>
      </c>
      <c r="B216" s="31" t="str">
        <f>VLOOKUP($C216,SKU!$A:$I,2,FALSE)</f>
        <v>南卡《魔卡少女樱》</v>
      </c>
      <c r="C216" s="6" t="s">
        <v>222</v>
      </c>
      <c r="D216" s="6"/>
      <c r="E216" s="25">
        <f>D216*VLOOKUP(A216,Nhập入库!A:N,8,FALSE)</f>
        <v>0</v>
      </c>
      <c r="F216" s="6">
        <v>50</v>
      </c>
      <c r="G216" s="6" t="s">
        <v>422</v>
      </c>
      <c r="H216" s="6" t="s">
        <v>424</v>
      </c>
      <c r="I216" s="141" t="s">
        <v>479</v>
      </c>
      <c r="J216" s="138">
        <v>0.6375</v>
      </c>
    </row>
    <row r="217" spans="1:10">
      <c r="A217" s="31">
        <f>VLOOKUP($C217,SKU!$A:$I,3,FALSE)</f>
        <v>10039</v>
      </c>
      <c r="B217" s="31" t="str">
        <f>VLOOKUP($C217,SKU!$A:$I,2,FALSE)</f>
        <v>非凡航海王第五弹</v>
      </c>
      <c r="C217" s="6" t="s">
        <v>184</v>
      </c>
      <c r="D217" s="6"/>
      <c r="E217" s="25">
        <f>D217*VLOOKUP(A217,Nhập入库!A:N,8,FALSE)</f>
        <v>0</v>
      </c>
      <c r="F217" s="6">
        <v>54</v>
      </c>
      <c r="G217" s="6" t="s">
        <v>90</v>
      </c>
      <c r="H217" s="6" t="s">
        <v>424</v>
      </c>
      <c r="I217" s="141" t="s">
        <v>479</v>
      </c>
      <c r="J217" s="138">
        <v>0.6375</v>
      </c>
    </row>
    <row r="218" spans="1:10">
      <c r="A218" s="31">
        <f>VLOOKUP($C218,SKU!$A:$I,3,FALSE)</f>
        <v>10051</v>
      </c>
      <c r="B218" s="31" t="str">
        <f>VLOOKUP($C218,SKU!$A:$I,2,FALSE)</f>
        <v>南卡《魔卡少女樱》</v>
      </c>
      <c r="C218" s="6" t="s">
        <v>222</v>
      </c>
      <c r="D218" s="6"/>
      <c r="E218" s="25">
        <f>D218*VLOOKUP(A218,Nhập入库!A:N,8,FALSE)</f>
        <v>0</v>
      </c>
      <c r="F218" s="6">
        <v>21</v>
      </c>
      <c r="G218" s="6" t="s">
        <v>422</v>
      </c>
      <c r="H218" s="6" t="s">
        <v>431</v>
      </c>
      <c r="I218" s="141" t="s">
        <v>479</v>
      </c>
      <c r="J218" s="138">
        <v>0.813194444444444</v>
      </c>
    </row>
    <row r="219" spans="1:10">
      <c r="A219" s="31">
        <f>VLOOKUP($C219,SKU!$A:$I,3,FALSE)</f>
        <v>10051</v>
      </c>
      <c r="B219" s="31" t="str">
        <f>VLOOKUP($C219,SKU!$A:$I,2,FALSE)</f>
        <v>南卡《魔卡少女樱》</v>
      </c>
      <c r="C219" s="6" t="s">
        <v>222</v>
      </c>
      <c r="D219" s="6"/>
      <c r="E219" s="25">
        <f>D219*VLOOKUP(A219,Nhập入库!A:N,8,FALSE)</f>
        <v>0</v>
      </c>
      <c r="F219" s="6">
        <v>11</v>
      </c>
      <c r="G219" s="6" t="s">
        <v>138</v>
      </c>
      <c r="H219" s="6" t="s">
        <v>431</v>
      </c>
      <c r="I219" s="141" t="s">
        <v>479</v>
      </c>
      <c r="J219" s="138">
        <v>0.813194444444444</v>
      </c>
    </row>
    <row r="220" spans="1:10">
      <c r="A220" s="31">
        <f>VLOOKUP($C220,SKU!$A:$I,3,FALSE)</f>
        <v>10051</v>
      </c>
      <c r="B220" s="31" t="str">
        <f>VLOOKUP($C220,SKU!$A:$I,2,FALSE)</f>
        <v>南卡《魔卡少女樱》</v>
      </c>
      <c r="C220" s="6" t="s">
        <v>222</v>
      </c>
      <c r="D220" s="6"/>
      <c r="E220" s="25">
        <f>D220*VLOOKUP(A220,Nhập入库!A:N,8,FALSE)</f>
        <v>0</v>
      </c>
      <c r="F220" s="6">
        <v>22</v>
      </c>
      <c r="G220" s="6" t="s">
        <v>98</v>
      </c>
      <c r="H220" s="6" t="s">
        <v>431</v>
      </c>
      <c r="I220" s="141" t="s">
        <v>479</v>
      </c>
      <c r="J220" s="138">
        <v>0.813194444444444</v>
      </c>
    </row>
    <row r="221" spans="1:10">
      <c r="A221" s="31">
        <f>VLOOKUP($C221,SKU!$A:$I,3,FALSE)</f>
        <v>10051</v>
      </c>
      <c r="B221" s="31" t="str">
        <f>VLOOKUP($C221,SKU!$A:$I,2,FALSE)</f>
        <v>南卡《魔卡少女樱》</v>
      </c>
      <c r="C221" s="6" t="s">
        <v>222</v>
      </c>
      <c r="D221" s="6"/>
      <c r="E221" s="25">
        <f>D221*VLOOKUP(A221,Nhập入库!A:N,8,FALSE)</f>
        <v>0</v>
      </c>
      <c r="F221" s="6">
        <v>11</v>
      </c>
      <c r="G221" s="6" t="s">
        <v>130</v>
      </c>
      <c r="H221" s="6" t="s">
        <v>431</v>
      </c>
      <c r="I221" s="141" t="s">
        <v>479</v>
      </c>
      <c r="J221" s="138">
        <v>0.813194444444444</v>
      </c>
    </row>
    <row r="222" spans="1:10">
      <c r="A222" s="31">
        <f>VLOOKUP($C222,SKU!$A:$I,3,FALSE)</f>
        <v>10051</v>
      </c>
      <c r="B222" s="31" t="str">
        <f>VLOOKUP($C222,SKU!$A:$I,2,FALSE)</f>
        <v>南卡《魔卡少女樱》</v>
      </c>
      <c r="C222" s="6" t="s">
        <v>222</v>
      </c>
      <c r="D222" s="6"/>
      <c r="E222" s="25">
        <f>D222*VLOOKUP(A222,Nhập入库!A:N,8,FALSE)</f>
        <v>0</v>
      </c>
      <c r="F222" s="6">
        <v>48</v>
      </c>
      <c r="G222" s="6" t="s">
        <v>433</v>
      </c>
      <c r="H222" s="6" t="s">
        <v>431</v>
      </c>
      <c r="I222" s="141" t="s">
        <v>479</v>
      </c>
      <c r="J222" s="138">
        <v>0.813194444444444</v>
      </c>
    </row>
    <row r="223" spans="1:10">
      <c r="A223" s="31">
        <f>VLOOKUP($C223,SKU!$A:$I,3,FALSE)</f>
        <v>10051</v>
      </c>
      <c r="B223" s="31" t="str">
        <f>VLOOKUP($C223,SKU!$A:$I,2,FALSE)</f>
        <v>南卡《魔卡少女樱》</v>
      </c>
      <c r="C223" s="6" t="s">
        <v>222</v>
      </c>
      <c r="D223" s="6"/>
      <c r="E223" s="25">
        <f>D223*VLOOKUP(A223,Nhập入库!A:N,8,FALSE)</f>
        <v>0</v>
      </c>
      <c r="F223" s="6">
        <v>3</v>
      </c>
      <c r="G223" s="6" t="s">
        <v>98</v>
      </c>
      <c r="H223" s="6" t="s">
        <v>406</v>
      </c>
      <c r="I223" s="141" t="s">
        <v>479</v>
      </c>
      <c r="J223" s="138">
        <v>0.625</v>
      </c>
    </row>
    <row r="224" spans="1:10">
      <c r="A224" s="31">
        <f>VLOOKUP($C224,SKU!$A:$I,3,FALSE)</f>
        <v>10048</v>
      </c>
      <c r="B224" s="31" t="str">
        <f>VLOOKUP($C224,SKU!$A:$I,2,FALSE)</f>
        <v>奈良社《极昼漫游》美少女战士撕撕乐+异形小卡</v>
      </c>
      <c r="C224" s="6" t="s">
        <v>212</v>
      </c>
      <c r="D224" s="6"/>
      <c r="E224" s="25">
        <f>D224*VLOOKUP(A224,Nhập入库!A:N,8,FALSE)</f>
        <v>0</v>
      </c>
      <c r="F224" s="6">
        <v>10</v>
      </c>
      <c r="G224" s="6" t="s">
        <v>430</v>
      </c>
      <c r="H224" s="6" t="s">
        <v>423</v>
      </c>
      <c r="I224" s="10" t="s">
        <v>478</v>
      </c>
      <c r="J224" s="138"/>
    </row>
    <row r="225" spans="1:10">
      <c r="A225" s="31">
        <f>VLOOKUP($C225,SKU!$A:$I,3,FALSE)</f>
        <v>10002</v>
      </c>
      <c r="B225" s="31" t="str">
        <f>VLOOKUP($C225,SKU!$A:$I,2,FALSE)</f>
        <v>MoonCard月卡《美少女战士》第三弹</v>
      </c>
      <c r="C225" s="6" t="s">
        <v>18</v>
      </c>
      <c r="D225" s="6">
        <v>1</v>
      </c>
      <c r="E225" s="25">
        <f>D225*VLOOKUP(A225,Nhập入库!A:N,8,FALSE)</f>
        <v>13</v>
      </c>
      <c r="F225" s="6"/>
      <c r="G225" s="6" t="s">
        <v>90</v>
      </c>
      <c r="H225" s="6" t="s">
        <v>424</v>
      </c>
      <c r="I225" s="10" t="s">
        <v>480</v>
      </c>
      <c r="J225" s="138">
        <v>0.702777777777778</v>
      </c>
    </row>
    <row r="226" spans="1:10">
      <c r="A226" s="31">
        <f>VLOOKUP($C226,SKU!$A:$I,3,FALSE)</f>
        <v>10059</v>
      </c>
      <c r="B226" s="31" t="str">
        <f>VLOOKUP($C226,SKU!$A:$I,2,FALSE)</f>
        <v>鬼灭之刃·炽阳文创《未眠之夜 》限定双闪色纸</v>
      </c>
      <c r="C226" s="6" t="s">
        <v>246</v>
      </c>
      <c r="D226" s="6">
        <v>1</v>
      </c>
      <c r="E226" s="25">
        <f>D226*VLOOKUP(A226,Nhập入库!A:N,8,FALSE)</f>
        <v>1</v>
      </c>
      <c r="F226" s="6"/>
      <c r="G226" s="6" t="s">
        <v>429</v>
      </c>
      <c r="H226" s="6" t="s">
        <v>428</v>
      </c>
      <c r="I226" s="10" t="s">
        <v>479</v>
      </c>
      <c r="J226" s="138">
        <v>0.744444444444444</v>
      </c>
    </row>
    <row r="227" spans="1:10">
      <c r="A227" s="31">
        <f>VLOOKUP($C227,SKU!$A:$I,3,FALSE)</f>
        <v>10039</v>
      </c>
      <c r="B227" s="31" t="str">
        <f>VLOOKUP($C227,SKU!$A:$I,2,FALSE)</f>
        <v>非凡航海王第五弹</v>
      </c>
      <c r="C227" s="6" t="s">
        <v>184</v>
      </c>
      <c r="D227" s="6">
        <v>2</v>
      </c>
      <c r="E227" s="25">
        <f>D227*VLOOKUP(A227,Nhập入库!A:N,8,FALSE)</f>
        <v>40</v>
      </c>
      <c r="F227" s="6"/>
      <c r="G227" s="6" t="s">
        <v>122</v>
      </c>
      <c r="H227" s="6" t="s">
        <v>423</v>
      </c>
      <c r="I227" s="10" t="s">
        <v>476</v>
      </c>
      <c r="J227" s="138">
        <v>0.375</v>
      </c>
    </row>
    <row r="228" spans="1:10">
      <c r="A228" s="31">
        <f>VLOOKUP($C228,SKU!$A:$I,3,FALSE)</f>
        <v>10014</v>
      </c>
      <c r="B228" s="31" t="str">
        <f>VLOOKUP($C228,SKU!$A:$I,2,FALSE)</f>
        <v>星梦文创-Studio Ghibli宫崎骏撕撕乐系列 </v>
      </c>
      <c r="C228" s="6" t="s">
        <v>83</v>
      </c>
      <c r="D228" s="6"/>
      <c r="E228" s="25">
        <f>D228*VLOOKUP(A228,Nhập入库!A:N,8,FALSE)</f>
        <v>0</v>
      </c>
      <c r="F228" s="6">
        <v>75</v>
      </c>
      <c r="G228" s="6" t="s">
        <v>69</v>
      </c>
      <c r="H228" s="6" t="s">
        <v>408</v>
      </c>
      <c r="I228" s="10" t="s">
        <v>482</v>
      </c>
      <c r="J228" s="138">
        <v>0.442361111111111</v>
      </c>
    </row>
    <row r="229" spans="1:10">
      <c r="A229" s="31">
        <f>VLOOKUP($C229,SKU!$A:$I,3,FALSE)</f>
        <v>10051</v>
      </c>
      <c r="B229" s="31" t="str">
        <f>VLOOKUP($C229,SKU!$A:$I,2,FALSE)</f>
        <v>南卡《魔卡少女樱》</v>
      </c>
      <c r="C229" s="29" t="s">
        <v>222</v>
      </c>
      <c r="D229" s="29"/>
      <c r="E229" s="31">
        <f>D229*VLOOKUP(A229,Nhập入库!A:N,8,FALSE)</f>
        <v>0</v>
      </c>
      <c r="F229" s="29">
        <v>23</v>
      </c>
      <c r="G229" s="34" t="s">
        <v>134</v>
      </c>
      <c r="H229" s="34" t="s">
        <v>406</v>
      </c>
      <c r="I229" s="141" t="s">
        <v>479</v>
      </c>
      <c r="J229" s="138"/>
    </row>
    <row r="230" spans="1:10">
      <c r="A230" s="31">
        <f>VLOOKUP($C230,SKU!$A:$I,3,FALSE)</f>
        <v>10035</v>
      </c>
      <c r="B230" s="31" t="str">
        <f>VLOOKUP($C230,SKU!$A:$I,2,FALSE)</f>
        <v>KK CARD × 新海诚系列第一弹</v>
      </c>
      <c r="C230" s="6" t="s">
        <v>167</v>
      </c>
      <c r="D230" s="6"/>
      <c r="E230" s="31">
        <f>D230*VLOOKUP(A230,Nhập入库!A:N,8,FALSE)</f>
        <v>0</v>
      </c>
      <c r="F230" s="6">
        <v>4</v>
      </c>
      <c r="G230" s="6" t="s">
        <v>33</v>
      </c>
      <c r="H230" s="6" t="s">
        <v>424</v>
      </c>
      <c r="I230" s="10" t="s">
        <v>482</v>
      </c>
      <c r="J230" s="138">
        <v>0.4875</v>
      </c>
    </row>
    <row r="231" spans="1:10">
      <c r="A231" s="31">
        <f>VLOOKUP($C231,SKU!$A:$I,3,FALSE)</f>
        <v>10035</v>
      </c>
      <c r="B231" s="31" t="str">
        <f>VLOOKUP($C231,SKU!$A:$I,2,FALSE)</f>
        <v>KK CARD × 新海诚系列第一弹</v>
      </c>
      <c r="C231" s="6" t="s">
        <v>167</v>
      </c>
      <c r="D231" s="6"/>
      <c r="E231" s="31">
        <f>D231*VLOOKUP(A231,Nhập入库!A:N,8,FALSE)</f>
        <v>0</v>
      </c>
      <c r="F231" s="6">
        <v>2</v>
      </c>
      <c r="G231" s="6" t="s">
        <v>429</v>
      </c>
      <c r="H231" s="6" t="s">
        <v>424</v>
      </c>
      <c r="I231" s="10" t="s">
        <v>482</v>
      </c>
      <c r="J231" s="138">
        <v>0.4875</v>
      </c>
    </row>
    <row r="232" spans="1:10">
      <c r="A232" s="31">
        <f>VLOOKUP($C232,SKU!$A:$I,3,FALSE)</f>
        <v>10061</v>
      </c>
      <c r="B232" s="31" t="str">
        <f>VLOOKUP($C232,SKU!$A:$I,2,FALSE)</f>
        <v>灵漫社《耽于美涩》古风系列收藏卡牌第三弹</v>
      </c>
      <c r="C232" s="6" t="s">
        <v>252</v>
      </c>
      <c r="D232" s="6">
        <v>1</v>
      </c>
      <c r="E232" s="31">
        <f>D232*VLOOKUP(A232,Nhập入库!A:N,8,FALSE)</f>
        <v>11</v>
      </c>
      <c r="F232" s="6"/>
      <c r="G232" s="6" t="s">
        <v>433</v>
      </c>
      <c r="H232" s="6" t="s">
        <v>424</v>
      </c>
      <c r="I232" s="10" t="s">
        <v>482</v>
      </c>
      <c r="J232" s="138">
        <v>0.4875</v>
      </c>
    </row>
    <row r="233" spans="1:10">
      <c r="A233" s="31">
        <f>VLOOKUP($C233,SKU!$A:$I,3,FALSE)</f>
        <v>10061</v>
      </c>
      <c r="B233" s="31" t="str">
        <f>VLOOKUP($C233,SKU!$A:$I,2,FALSE)</f>
        <v>灵漫社《耽于美涩》古风系列收藏卡牌第三弹</v>
      </c>
      <c r="C233" s="6" t="s">
        <v>252</v>
      </c>
      <c r="D233" s="6">
        <v>1</v>
      </c>
      <c r="E233" s="31">
        <f>D233*VLOOKUP(A233,Nhập入库!A:N,8,FALSE)</f>
        <v>11</v>
      </c>
      <c r="F233" s="6"/>
      <c r="G233" s="6" t="s">
        <v>130</v>
      </c>
      <c r="H233" s="6" t="s">
        <v>431</v>
      </c>
      <c r="I233" s="10" t="s">
        <v>482</v>
      </c>
      <c r="J233" s="138">
        <v>0.7375</v>
      </c>
    </row>
    <row r="234" spans="1:10">
      <c r="A234" s="31">
        <f>VLOOKUP($C234,SKU!$A:$I,3,FALSE)</f>
        <v>10007</v>
      </c>
      <c r="B234" s="31" t="str">
        <f>VLOOKUP($C234,SKU!$A:$I,2,FALSE)</f>
        <v>kawaii宫崎骏梦幻之国</v>
      </c>
      <c r="C234" s="6" t="s">
        <v>49</v>
      </c>
      <c r="D234" s="6"/>
      <c r="E234" s="31">
        <f>D234*VLOOKUP(A234,Nhập入库!A:N,8,FALSE)</f>
        <v>0</v>
      </c>
      <c r="F234" s="6">
        <v>3</v>
      </c>
      <c r="G234" s="6" t="s">
        <v>432</v>
      </c>
      <c r="H234" s="6" t="s">
        <v>431</v>
      </c>
      <c r="I234" s="10" t="s">
        <v>482</v>
      </c>
      <c r="J234" s="138">
        <v>0.958333333333333</v>
      </c>
    </row>
    <row r="235" spans="1:10">
      <c r="A235" s="31">
        <f>VLOOKUP($C235,SKU!$A:$I,3,FALSE)</f>
        <v>10039</v>
      </c>
      <c r="B235" s="31" t="str">
        <f>VLOOKUP($C235,SKU!$A:$I,2,FALSE)</f>
        <v>非凡航海王第五弹</v>
      </c>
      <c r="C235" s="6" t="s">
        <v>184</v>
      </c>
      <c r="D235" s="6">
        <v>6</v>
      </c>
      <c r="E235" s="31">
        <f>D235*VLOOKUP(A235,Nhập入库!A:N,8,FALSE)</f>
        <v>120</v>
      </c>
      <c r="F235" s="6"/>
      <c r="G235" s="6" t="s">
        <v>33</v>
      </c>
      <c r="H235" s="6" t="s">
        <v>424</v>
      </c>
      <c r="I235" s="10" t="s">
        <v>483</v>
      </c>
      <c r="J235" s="138">
        <v>0.4875</v>
      </c>
    </row>
    <row r="236" spans="1:10">
      <c r="A236" s="31">
        <f>VLOOKUP($C236,SKU!$A:$I,3,FALSE)</f>
        <v>10055</v>
      </c>
      <c r="B236" s="31" t="str">
        <f>VLOOKUP($C236,SKU!$A:$I,2,FALSE)</f>
        <v>绘卷文创 - 梦境入画【鬼灭之刃系列收藏卡砖】</v>
      </c>
      <c r="C236" s="6" t="s">
        <v>234</v>
      </c>
      <c r="D236" s="6">
        <v>2</v>
      </c>
      <c r="E236" s="31">
        <f>D236*VLOOKUP(A236,Nhập入库!A:N,8,FALSE)</f>
        <v>10</v>
      </c>
      <c r="F236" s="6"/>
      <c r="G236" s="6" t="s">
        <v>33</v>
      </c>
      <c r="H236" s="6" t="s">
        <v>424</v>
      </c>
      <c r="I236" s="10" t="s">
        <v>483</v>
      </c>
      <c r="J236" s="138">
        <v>0.4875</v>
      </c>
    </row>
    <row r="237" spans="1:10">
      <c r="A237" s="31">
        <f>VLOOKUP($C237,SKU!$A:$I,3,FALSE)</f>
        <v>10055</v>
      </c>
      <c r="B237" s="31" t="str">
        <f>VLOOKUP($C237,SKU!$A:$I,2,FALSE)</f>
        <v>绘卷文创 - 梦境入画【鬼灭之刃系列收藏卡砖】</v>
      </c>
      <c r="C237" s="6" t="s">
        <v>234</v>
      </c>
      <c r="D237" s="6">
        <v>1</v>
      </c>
      <c r="E237" s="31">
        <f>D237*VLOOKUP(A237,Nhập入库!A:N,8,FALSE)</f>
        <v>5</v>
      </c>
      <c r="F237" s="6"/>
      <c r="G237" s="10" t="s">
        <v>430</v>
      </c>
      <c r="H237" s="10" t="s">
        <v>406</v>
      </c>
      <c r="I237" s="10" t="s">
        <v>484</v>
      </c>
      <c r="J237" s="138">
        <v>0.550694444444444</v>
      </c>
    </row>
    <row r="238" spans="1:10">
      <c r="A238" s="31">
        <f>VLOOKUP($C238,SKU!$A:$I,3,FALSE)</f>
        <v>10057</v>
      </c>
      <c r="B238" s="31" t="str">
        <f>VLOOKUP($C238,SKU!$A:$I,2,FALSE)</f>
        <v>三丽鸥家族暖冬</v>
      </c>
      <c r="C238" s="10" t="s">
        <v>241</v>
      </c>
      <c r="D238" s="6">
        <v>1</v>
      </c>
      <c r="E238" s="31">
        <f>D238*VLOOKUP(A238,Nhập入库!A:N,8,FALSE)</f>
        <v>10</v>
      </c>
      <c r="F238" s="6"/>
      <c r="G238" s="10" t="s">
        <v>426</v>
      </c>
      <c r="H238" s="10" t="s">
        <v>406</v>
      </c>
      <c r="I238" s="10" t="s">
        <v>484</v>
      </c>
      <c r="J238" s="138">
        <v>0.550694444444444</v>
      </c>
    </row>
    <row r="239" spans="1:10">
      <c r="A239" s="31">
        <f>VLOOKUP($C239,SKU!$A:$I,3,FALSE)</f>
        <v>10055</v>
      </c>
      <c r="B239" s="31" t="str">
        <f>VLOOKUP($C239,SKU!$A:$I,2,FALSE)</f>
        <v>绘卷文创 - 梦境入画【鬼灭之刃系列收藏卡砖】</v>
      </c>
      <c r="C239" s="6" t="s">
        <v>234</v>
      </c>
      <c r="D239" s="6">
        <v>1</v>
      </c>
      <c r="E239" s="31">
        <f>D239*VLOOKUP(A239,Nhập入库!A:N,8,FALSE)</f>
        <v>5</v>
      </c>
      <c r="F239" s="6"/>
      <c r="G239" s="10" t="s">
        <v>430</v>
      </c>
      <c r="H239" s="10" t="s">
        <v>406</v>
      </c>
      <c r="I239" s="10" t="s">
        <v>484</v>
      </c>
      <c r="J239" s="138">
        <v>0.589583333333333</v>
      </c>
    </row>
    <row r="240" spans="1:10">
      <c r="A240" s="31">
        <f>VLOOKUP($C240,SKU!$A:$I,3,FALSE)</f>
        <v>10055</v>
      </c>
      <c r="B240" s="31" t="str">
        <f>VLOOKUP($C240,SKU!$A:$I,2,FALSE)</f>
        <v>绘卷文创 - 梦境入画【鬼灭之刃系列收藏卡砖】</v>
      </c>
      <c r="C240" s="6" t="s">
        <v>234</v>
      </c>
      <c r="D240" s="6">
        <v>2</v>
      </c>
      <c r="E240" s="31">
        <f>D240*VLOOKUP(A240,Nhập入库!A:N,8,FALSE)</f>
        <v>10</v>
      </c>
      <c r="F240" s="6">
        <v>3</v>
      </c>
      <c r="G240" s="10" t="s">
        <v>33</v>
      </c>
      <c r="H240" s="10" t="s">
        <v>431</v>
      </c>
      <c r="I240" s="10" t="s">
        <v>483</v>
      </c>
      <c r="J240" s="138">
        <v>0.807638888888889</v>
      </c>
    </row>
    <row r="241" spans="1:10">
      <c r="A241" s="31">
        <f>VLOOKUP($C241,SKU!$A:$I,3,FALSE)</f>
        <v>10056</v>
      </c>
      <c r="B241" s="31" t="str">
        <f>VLOOKUP($C241,SKU!$A:$I,2,FALSE)</f>
        <v>集卡社天官赐福动画周年纪念版</v>
      </c>
      <c r="C241" s="6" t="s">
        <v>238</v>
      </c>
      <c r="D241" s="6">
        <v>3</v>
      </c>
      <c r="E241" s="31">
        <f>D241*VLOOKUP(A241,Nhập入库!A:N,8,FALSE)</f>
        <v>30</v>
      </c>
      <c r="F241" s="6"/>
      <c r="G241" s="10" t="s">
        <v>422</v>
      </c>
      <c r="H241" s="10" t="s">
        <v>431</v>
      </c>
      <c r="I241" s="10" t="s">
        <v>483</v>
      </c>
      <c r="J241" s="138">
        <v>0.963888888888889</v>
      </c>
    </row>
    <row r="242" spans="1:10">
      <c r="A242" s="31">
        <f>VLOOKUP($C242,SKU!$A:$I,3,FALSE)</f>
        <v>10055</v>
      </c>
      <c r="B242" s="31" t="str">
        <f>VLOOKUP($C242,SKU!$A:$I,2,FALSE)</f>
        <v>绘卷文创 - 梦境入画【鬼灭之刃系列收藏卡砖】</v>
      </c>
      <c r="C242" s="6" t="s">
        <v>234</v>
      </c>
      <c r="D242" s="6"/>
      <c r="E242" s="31">
        <f>D242*VLOOKUP(A242,Nhập入库!A:N,8,FALSE)</f>
        <v>0</v>
      </c>
      <c r="F242" s="6">
        <v>18</v>
      </c>
      <c r="G242" s="10" t="s">
        <v>430</v>
      </c>
      <c r="H242" s="10" t="s">
        <v>423</v>
      </c>
      <c r="I242" s="10" t="s">
        <v>540</v>
      </c>
      <c r="J242" s="138">
        <v>0.531944444444444</v>
      </c>
    </row>
    <row r="243" spans="1:10">
      <c r="A243" s="31">
        <f>VLOOKUP($C243,SKU!$A:$I,3,FALSE)</f>
        <v>10055</v>
      </c>
      <c r="B243" s="31" t="str">
        <f>VLOOKUP($C243,SKU!$A:$I,2,FALSE)</f>
        <v>绘卷文创 - 梦境入画【鬼灭之刃系列收藏卡砖】</v>
      </c>
      <c r="C243" s="6" t="s">
        <v>234</v>
      </c>
      <c r="D243" s="6"/>
      <c r="E243" s="31">
        <f>D243*VLOOKUP(A243,Nhập入库!A:N,8,FALSE)</f>
        <v>0</v>
      </c>
      <c r="F243" s="6">
        <v>15</v>
      </c>
      <c r="G243" s="10" t="s">
        <v>429</v>
      </c>
      <c r="H243" s="10" t="s">
        <v>423</v>
      </c>
      <c r="I243" s="10" t="s">
        <v>540</v>
      </c>
      <c r="J243" s="138">
        <v>0.531944444444444</v>
      </c>
    </row>
    <row r="244" spans="1:10">
      <c r="A244" s="31">
        <f>VLOOKUP($C244,SKU!$A:$I,3,FALSE)</f>
        <v>10032</v>
      </c>
      <c r="B244" s="31" t="str">
        <f>VLOOKUP($C244,SKU!$A:$I,2,FALSE)</f>
        <v>绘心阁《魔道祖师—殊途同归》色纸卡牌</v>
      </c>
      <c r="C244" s="6" t="s">
        <v>155</v>
      </c>
      <c r="D244" s="6">
        <v>10</v>
      </c>
      <c r="E244" s="31">
        <f>D244*VLOOKUP(A244,Nhập入库!A:N,8,FALSE)</f>
        <v>10</v>
      </c>
      <c r="F244" s="6"/>
      <c r="G244" s="10" t="s">
        <v>78</v>
      </c>
      <c r="H244" s="10" t="s">
        <v>423</v>
      </c>
      <c r="I244" s="10" t="s">
        <v>540</v>
      </c>
      <c r="J244" s="138">
        <v>0.615277777777778</v>
      </c>
    </row>
    <row r="245" spans="1:10">
      <c r="A245" s="31">
        <f>VLOOKUP($C245,SKU!$A:$I,3,FALSE)</f>
        <v>10043</v>
      </c>
      <c r="B245" s="31" t="str">
        <f>VLOOKUP($C245,SKU!$A:$I,2,FALSE)</f>
        <v>光恋XR-披荆斩棘-美少女战士</v>
      </c>
      <c r="C245" s="6" t="s">
        <v>199</v>
      </c>
      <c r="D245" s="6"/>
      <c r="E245" s="31">
        <f>D245*VLOOKUP(A245,Nhập入库!A:N,8,FALSE)</f>
        <v>0</v>
      </c>
      <c r="F245" s="6">
        <v>19</v>
      </c>
      <c r="G245" s="6" t="s">
        <v>477</v>
      </c>
      <c r="H245" s="6" t="s">
        <v>424</v>
      </c>
      <c r="I245" s="10" t="s">
        <v>485</v>
      </c>
      <c r="J245" s="138">
        <v>0.640277777777778</v>
      </c>
    </row>
    <row r="246" spans="1:10">
      <c r="A246" s="31">
        <f>VLOOKUP($C246,SKU!$A:$I,3,FALSE)</f>
        <v>10009</v>
      </c>
      <c r="B246" s="31" t="str">
        <f>VLOOKUP($C246,SKU!$A:$I,2,FALSE)</f>
        <v>万画云游三丽鸥家族百变cos收藏卡</v>
      </c>
      <c r="C246" s="6" t="s">
        <v>61</v>
      </c>
      <c r="D246" s="6">
        <v>5</v>
      </c>
      <c r="E246" s="31">
        <f>D246*VLOOKUP(A246,Nhập入库!A:N,8,FALSE)</f>
        <v>50</v>
      </c>
      <c r="F246" s="6"/>
      <c r="G246" s="6" t="s">
        <v>422</v>
      </c>
      <c r="H246" s="6" t="s">
        <v>431</v>
      </c>
      <c r="I246" s="10" t="s">
        <v>485</v>
      </c>
      <c r="J246" s="138">
        <v>0.783333333333333</v>
      </c>
    </row>
    <row r="247" spans="1:10">
      <c r="A247" s="31">
        <f>VLOOKUP($C247,SKU!$A:$I,3,FALSE)</f>
        <v>10058</v>
      </c>
      <c r="B247" s="31" t="str">
        <f>VLOOKUP($C247,SKU!$A:$I,2,FALSE)</f>
        <v>三丽鸥家族hello kitty梦境巡礼</v>
      </c>
      <c r="C247" s="6" t="s">
        <v>244</v>
      </c>
      <c r="D247" s="6">
        <v>2</v>
      </c>
      <c r="E247" s="31">
        <f>D247*VLOOKUP(A247,Nhập入库!A:N,8,FALSE)</f>
        <v>30</v>
      </c>
      <c r="F247" s="6"/>
      <c r="G247" s="6" t="s">
        <v>422</v>
      </c>
      <c r="H247" s="6" t="s">
        <v>431</v>
      </c>
      <c r="I247" s="10" t="s">
        <v>485</v>
      </c>
      <c r="J247" s="138">
        <v>0.938888888888889</v>
      </c>
    </row>
    <row r="248" spans="1:10">
      <c r="A248" s="31">
        <f>VLOOKUP($C248,SKU!$A:$I,3,FALSE)</f>
        <v>10056</v>
      </c>
      <c r="B248" s="31" t="str">
        <f>VLOOKUP($C248,SKU!$A:$I,2,FALSE)</f>
        <v>集卡社天官赐福动画周年纪念版</v>
      </c>
      <c r="C248" s="6" t="s">
        <v>238</v>
      </c>
      <c r="D248" s="6">
        <v>1</v>
      </c>
      <c r="E248" s="31">
        <f>D248*VLOOKUP(A248,Nhập入库!A:N,8,FALSE)</f>
        <v>10</v>
      </c>
      <c r="F248" s="6"/>
      <c r="G248" s="10" t="s">
        <v>422</v>
      </c>
      <c r="H248" s="10" t="s">
        <v>431</v>
      </c>
      <c r="I248" s="10" t="s">
        <v>485</v>
      </c>
      <c r="J248" s="138">
        <v>0.963888888888889</v>
      </c>
    </row>
    <row r="249" spans="1:10">
      <c r="A249" s="31">
        <f>VLOOKUP($C249,SKU!$A:$I,3,FALSE)</f>
        <v>10056</v>
      </c>
      <c r="B249" s="31" t="str">
        <f>VLOOKUP($C249,SKU!$A:$I,2,FALSE)</f>
        <v>集卡社天官赐福动画周年纪念版</v>
      </c>
      <c r="C249" s="6" t="s">
        <v>238</v>
      </c>
      <c r="D249" s="6">
        <v>2</v>
      </c>
      <c r="E249" s="31">
        <f>D249*VLOOKUP(A249,Nhập入库!A:N,8,FALSE)</f>
        <v>20</v>
      </c>
      <c r="F249" s="6"/>
      <c r="G249" s="10" t="s">
        <v>130</v>
      </c>
      <c r="H249" s="10" t="s">
        <v>431</v>
      </c>
      <c r="I249" s="10" t="s">
        <v>485</v>
      </c>
      <c r="J249" s="138">
        <v>0.963888888888889</v>
      </c>
    </row>
    <row r="250" spans="1:10">
      <c r="A250" s="31">
        <f>VLOOKUP($C250,SKU!$A:$I,3,FALSE)</f>
        <v>10056</v>
      </c>
      <c r="B250" s="31" t="str">
        <f>VLOOKUP($C250,SKU!$A:$I,2,FALSE)</f>
        <v>集卡社天官赐福动画周年纪念版</v>
      </c>
      <c r="C250" s="10" t="s">
        <v>238</v>
      </c>
      <c r="D250" s="6">
        <v>1</v>
      </c>
      <c r="E250" s="31">
        <f>D250*VLOOKUP(A250,Nhập入库!A:N,8,FALSE)</f>
        <v>10</v>
      </c>
      <c r="F250" s="6">
        <v>21</v>
      </c>
      <c r="G250" s="10" t="s">
        <v>433</v>
      </c>
      <c r="H250" s="10" t="s">
        <v>406</v>
      </c>
      <c r="I250" s="10" t="s">
        <v>487</v>
      </c>
      <c r="J250" s="138">
        <v>0.389583333333333</v>
      </c>
    </row>
    <row r="251" spans="1:10">
      <c r="A251" s="31">
        <f>VLOOKUP($C251,SKU!$A:$I,3,FALSE)</f>
        <v>10058</v>
      </c>
      <c r="B251" s="31" t="str">
        <f>VLOOKUP($C251,SKU!$A:$I,2,FALSE)</f>
        <v>三丽鸥家族hello kitty梦境巡礼</v>
      </c>
      <c r="C251" s="10" t="s">
        <v>244</v>
      </c>
      <c r="D251" s="6"/>
      <c r="E251" s="31">
        <f>D251*VLOOKUP(A251,Nhập入库!A:N,8,FALSE)</f>
        <v>0</v>
      </c>
      <c r="F251" s="6">
        <v>28</v>
      </c>
      <c r="G251" s="10" t="s">
        <v>433</v>
      </c>
      <c r="H251" s="10" t="s">
        <v>406</v>
      </c>
      <c r="I251" s="10" t="s">
        <v>487</v>
      </c>
      <c r="J251" s="138">
        <v>0.389583333333333</v>
      </c>
    </row>
    <row r="252" spans="1:10">
      <c r="A252" s="31">
        <f>VLOOKUP($C252,SKU!$A:$I,3,FALSE)</f>
        <v>10058</v>
      </c>
      <c r="B252" s="31" t="str">
        <f>VLOOKUP($C252,SKU!$A:$I,2,FALSE)</f>
        <v>三丽鸥家族hello kitty梦境巡礼</v>
      </c>
      <c r="C252" s="10" t="s">
        <v>244</v>
      </c>
      <c r="D252" s="6">
        <v>2</v>
      </c>
      <c r="E252" s="31">
        <f>D252*VLOOKUP(A252,Nhập入库!A:N,8,FALSE)</f>
        <v>30</v>
      </c>
      <c r="F252" s="6"/>
      <c r="G252" s="10" t="s">
        <v>98</v>
      </c>
      <c r="H252" s="10" t="s">
        <v>406</v>
      </c>
      <c r="I252" s="10" t="s">
        <v>487</v>
      </c>
      <c r="J252" s="138">
        <v>0.409722222222222</v>
      </c>
    </row>
    <row r="253" spans="1:10">
      <c r="A253" s="31">
        <f>VLOOKUP($C253,SKU!$A:$I,3,FALSE)</f>
        <v>10009</v>
      </c>
      <c r="B253" s="31" t="str">
        <f>VLOOKUP($C253,SKU!$A:$I,2,FALSE)</f>
        <v>万画云游三丽鸥家族百变cos收藏卡</v>
      </c>
      <c r="C253" s="10" t="s">
        <v>61</v>
      </c>
      <c r="D253" s="6">
        <v>2</v>
      </c>
      <c r="E253" s="31">
        <f>D253*VLOOKUP(A253,Nhập入库!A:N,8,FALSE)</f>
        <v>20</v>
      </c>
      <c r="F253" s="6"/>
      <c r="G253" s="10" t="s">
        <v>433</v>
      </c>
      <c r="H253" s="10" t="s">
        <v>406</v>
      </c>
      <c r="I253" s="10" t="s">
        <v>487</v>
      </c>
      <c r="J253" s="138">
        <v>0.409722222222222</v>
      </c>
    </row>
    <row r="254" spans="1:10">
      <c r="A254" s="31">
        <f>VLOOKUP($C254,SKU!$A:$I,3,FALSE)</f>
        <v>10058</v>
      </c>
      <c r="B254" s="31" t="str">
        <f>VLOOKUP($C254,SKU!$A:$I,2,FALSE)</f>
        <v>三丽鸥家族hello kitty梦境巡礼</v>
      </c>
      <c r="C254" s="10" t="s">
        <v>244</v>
      </c>
      <c r="D254" s="6">
        <v>3</v>
      </c>
      <c r="E254" s="31">
        <f>D254*VLOOKUP(A254,Nhập入库!A:N,8,FALSE)</f>
        <v>45</v>
      </c>
      <c r="F254" s="6"/>
      <c r="G254" s="10" t="s">
        <v>78</v>
      </c>
      <c r="H254" s="10" t="s">
        <v>406</v>
      </c>
      <c r="I254" s="10" t="s">
        <v>487</v>
      </c>
      <c r="J254" s="138">
        <v>0.448611111111111</v>
      </c>
    </row>
    <row r="255" spans="1:10">
      <c r="A255" s="31">
        <f>VLOOKUP($C255,SKU!$A:$I,3,FALSE)</f>
        <v>10056</v>
      </c>
      <c r="B255" s="31" t="str">
        <f>VLOOKUP($C255,SKU!$A:$I,2,FALSE)</f>
        <v>集卡社天官赐福动画周年纪念版</v>
      </c>
      <c r="C255" s="10" t="s">
        <v>238</v>
      </c>
      <c r="D255" s="6">
        <v>1</v>
      </c>
      <c r="E255" s="31">
        <f>D255*VLOOKUP(A255,Nhập入库!A:N,8,FALSE)</f>
        <v>10</v>
      </c>
      <c r="F255" s="6"/>
      <c r="G255" s="10" t="s">
        <v>130</v>
      </c>
      <c r="H255" s="10" t="s">
        <v>406</v>
      </c>
      <c r="I255" s="10" t="s">
        <v>487</v>
      </c>
      <c r="J255" s="138">
        <v>0.470833333333333</v>
      </c>
    </row>
    <row r="256" spans="1:10">
      <c r="A256" s="31">
        <f>VLOOKUP($C256,SKU!$A:$I,3,FALSE)</f>
        <v>10039</v>
      </c>
      <c r="B256" s="31" t="str">
        <f>VLOOKUP($C256,SKU!$A:$I,2,FALSE)</f>
        <v>非凡航海王第五弹</v>
      </c>
      <c r="C256" s="10" t="s">
        <v>184</v>
      </c>
      <c r="D256" s="6"/>
      <c r="E256" s="31">
        <f>D256*VLOOKUP(A256,Nhập入库!A:N,8,FALSE)</f>
        <v>0</v>
      </c>
      <c r="F256" s="6">
        <v>40</v>
      </c>
      <c r="G256" s="10" t="s">
        <v>122</v>
      </c>
      <c r="H256" s="10" t="s">
        <v>423</v>
      </c>
      <c r="I256" s="10" t="s">
        <v>487</v>
      </c>
      <c r="J256" s="138">
        <v>0.567361111111111</v>
      </c>
    </row>
    <row r="257" spans="1:10">
      <c r="A257" s="31">
        <f>VLOOKUP($C257,SKU!$A:$I,3,FALSE)</f>
        <v>10056</v>
      </c>
      <c r="B257" s="31" t="str">
        <f>VLOOKUP($C257,SKU!$A:$I,2,FALSE)</f>
        <v>集卡社天官赐福动画周年纪念版</v>
      </c>
      <c r="C257" s="10" t="s">
        <v>238</v>
      </c>
      <c r="D257" s="6"/>
      <c r="E257" s="31">
        <f>D257*VLOOKUP(A257,Nhập入库!A:N,8,FALSE)</f>
        <v>0</v>
      </c>
      <c r="F257" s="6">
        <v>17</v>
      </c>
      <c r="G257" s="10" t="s">
        <v>130</v>
      </c>
      <c r="H257" s="10" t="s">
        <v>406</v>
      </c>
      <c r="I257" s="10" t="s">
        <v>487</v>
      </c>
      <c r="J257" s="138">
        <v>0.502777777777778</v>
      </c>
    </row>
    <row r="258" spans="1:10">
      <c r="A258" s="31">
        <f>VLOOKUP($C258,SKU!$A:$I,3,FALSE)</f>
        <v>10058</v>
      </c>
      <c r="B258" s="31" t="str">
        <f>VLOOKUP($C258,SKU!$A:$I,2,FALSE)</f>
        <v>三丽鸥家族hello kitty梦境巡礼</v>
      </c>
      <c r="C258" s="10" t="s">
        <v>244</v>
      </c>
      <c r="D258" s="6">
        <v>1</v>
      </c>
      <c r="E258" s="31">
        <f>D258*VLOOKUP(A258,Nhập入库!A:N,8,FALSE)</f>
        <v>15</v>
      </c>
      <c r="F258" s="6"/>
      <c r="G258" s="10" t="s">
        <v>122</v>
      </c>
      <c r="H258" s="10" t="s">
        <v>408</v>
      </c>
      <c r="I258" s="10" t="s">
        <v>487</v>
      </c>
      <c r="J258" s="138">
        <v>0.539583333333333</v>
      </c>
    </row>
    <row r="259" spans="1:10">
      <c r="A259" s="31">
        <f>VLOOKUP($C259,SKU!$A:$I,3,FALSE)</f>
        <v>10058</v>
      </c>
      <c r="B259" s="31" t="str">
        <f>VLOOKUP($C259,SKU!$A:$I,2,FALSE)</f>
        <v>三丽鸥家族hello kitty梦境巡礼</v>
      </c>
      <c r="C259" s="10" t="s">
        <v>244</v>
      </c>
      <c r="D259" s="6">
        <v>2</v>
      </c>
      <c r="E259" s="31">
        <f>D259*VLOOKUP(A259,Nhập入库!A:N,8,FALSE)</f>
        <v>30</v>
      </c>
      <c r="F259" s="6"/>
      <c r="G259" s="10" t="s">
        <v>78</v>
      </c>
      <c r="H259" s="10" t="s">
        <v>424</v>
      </c>
      <c r="I259" s="10" t="s">
        <v>487</v>
      </c>
      <c r="J259" s="138">
        <v>0.540277777777778</v>
      </c>
    </row>
    <row r="260" spans="1:10">
      <c r="A260" s="31">
        <f>VLOOKUP($C260,SKU!$A:$I,3,FALSE)</f>
        <v>10058</v>
      </c>
      <c r="B260" s="31" t="str">
        <f>VLOOKUP($C260,SKU!$A:$I,2,FALSE)</f>
        <v>三丽鸥家族hello kitty梦境巡礼</v>
      </c>
      <c r="C260" s="6" t="s">
        <v>244</v>
      </c>
      <c r="D260" s="6">
        <v>1</v>
      </c>
      <c r="E260" s="31">
        <f>D260*VLOOKUP(A260,Nhập入库!A:N,8,FALSE)</f>
        <v>15</v>
      </c>
      <c r="F260" s="6"/>
      <c r="G260" s="6" t="s">
        <v>98</v>
      </c>
      <c r="H260" s="10" t="s">
        <v>424</v>
      </c>
      <c r="I260" s="10" t="s">
        <v>487</v>
      </c>
      <c r="J260" s="138">
        <v>0.539583333333333</v>
      </c>
    </row>
    <row r="261" spans="1:10">
      <c r="A261" s="31">
        <f>VLOOKUP($C261,SKU!$A:$I,3,FALSE)</f>
        <v>10048</v>
      </c>
      <c r="B261" s="31" t="str">
        <f>VLOOKUP($C261,SKU!$A:$I,2,FALSE)</f>
        <v>奈良社《极昼漫游》美少女战士撕撕乐+异形小卡</v>
      </c>
      <c r="C261" s="6" t="s">
        <v>212</v>
      </c>
      <c r="D261" s="6"/>
      <c r="E261" s="31">
        <f>D261*VLOOKUP(A261,Nhập入库!A:N,8,FALSE)</f>
        <v>0</v>
      </c>
      <c r="F261" s="6">
        <v>3</v>
      </c>
      <c r="G261" s="6" t="s">
        <v>134</v>
      </c>
      <c r="H261" s="10" t="s">
        <v>424</v>
      </c>
      <c r="I261" s="10" t="s">
        <v>487</v>
      </c>
      <c r="J261" s="138">
        <v>0.515972222222222</v>
      </c>
    </row>
    <row r="262" spans="1:10">
      <c r="A262" s="31">
        <f>VLOOKUP($C262,SKU!$A:$I,3,FALSE)</f>
        <v>10016</v>
      </c>
      <c r="B262" s="31" t="str">
        <f>VLOOKUP($C262,SKU!$A:$I,2,FALSE)</f>
        <v>思梨普文创《hey!国王陛下》集换式艺术家典藏卡</v>
      </c>
      <c r="C262" s="6" t="s">
        <v>91</v>
      </c>
      <c r="D262" s="6">
        <v>1</v>
      </c>
      <c r="E262" s="31">
        <f>D262*VLOOKUP(A262,Nhập入库!A:N,8,FALSE)</f>
        <v>10</v>
      </c>
      <c r="F262" s="6"/>
      <c r="G262" s="6" t="s">
        <v>433</v>
      </c>
      <c r="H262" s="10" t="s">
        <v>431</v>
      </c>
      <c r="I262" s="10" t="s">
        <v>487</v>
      </c>
      <c r="J262" s="138">
        <v>0.828472222222222</v>
      </c>
    </row>
    <row r="263" s="136" customFormat="1" spans="1:10">
      <c r="A263" s="31">
        <f>VLOOKUP($C263,SKU!$A:$I,3,FALSE)</f>
        <v>10026</v>
      </c>
      <c r="B263" s="31" t="str">
        <f>VLOOKUP($C263,SKU!$A:$I,2,FALSE)</f>
        <v>星恋文创·恋与深空《晦明交错之间》亚克力相框卡</v>
      </c>
      <c r="C263" s="6" t="s">
        <v>131</v>
      </c>
      <c r="D263" s="6"/>
      <c r="E263" s="31">
        <f>D263*VLOOKUP(A263,Nhập入库!A:N,8,FALSE)</f>
        <v>0</v>
      </c>
      <c r="F263" s="6">
        <v>20</v>
      </c>
      <c r="G263" s="6" t="s">
        <v>432</v>
      </c>
      <c r="H263" s="10" t="s">
        <v>431</v>
      </c>
      <c r="I263" s="10" t="s">
        <v>487</v>
      </c>
      <c r="J263" s="138">
        <v>0.870138888888889</v>
      </c>
    </row>
    <row r="264" spans="1:10">
      <c r="A264" s="31">
        <f>VLOOKUP($C264,SKU!$A:$I,3,FALSE)</f>
        <v>10058</v>
      </c>
      <c r="B264" s="31" t="str">
        <f>VLOOKUP($C264,SKU!$A:$I,2,FALSE)</f>
        <v>三丽鸥家族hello kitty梦境巡礼</v>
      </c>
      <c r="C264" s="6" t="s">
        <v>244</v>
      </c>
      <c r="D264" s="6"/>
      <c r="E264" s="31">
        <f>D264*VLOOKUP(A264,Nhập入库!A:N,8,FALSE)</f>
        <v>0</v>
      </c>
      <c r="F264" s="6">
        <v>11</v>
      </c>
      <c r="G264" s="6" t="s">
        <v>122</v>
      </c>
      <c r="H264" s="10" t="s">
        <v>408</v>
      </c>
      <c r="I264" s="10" t="s">
        <v>489</v>
      </c>
      <c r="J264" s="138">
        <v>0.397916666666667</v>
      </c>
    </row>
    <row r="265" spans="1:10">
      <c r="A265" s="31">
        <f>VLOOKUP($C265,SKU!$A:$I,3,FALSE)</f>
        <v>10009</v>
      </c>
      <c r="B265" s="31" t="str">
        <f>VLOOKUP($C265,SKU!$A:$I,2,FALSE)</f>
        <v>万画云游三丽鸥家族百变cos收藏卡</v>
      </c>
      <c r="C265" s="6" t="s">
        <v>61</v>
      </c>
      <c r="D265" s="6">
        <v>3</v>
      </c>
      <c r="E265" s="31">
        <f>D265*VLOOKUP(A265,Nhập入库!A:N,8,FALSE)</f>
        <v>30</v>
      </c>
      <c r="F265" s="6"/>
      <c r="G265" s="6" t="s">
        <v>422</v>
      </c>
      <c r="H265" s="6" t="s">
        <v>424</v>
      </c>
      <c r="I265" s="10" t="s">
        <v>489</v>
      </c>
      <c r="J265" s="138">
        <v>0.399305555555556</v>
      </c>
    </row>
    <row r="266" spans="1:10">
      <c r="A266" s="31">
        <f>VLOOKUP($C266,SKU!$A:$I,3,FALSE)</f>
        <v>10048</v>
      </c>
      <c r="B266" s="31" t="str">
        <f>VLOOKUP($C266,SKU!$A:$I,2,FALSE)</f>
        <v>奈良社《极昼漫游》美少女战士撕撕乐+异形小卡</v>
      </c>
      <c r="C266" s="6" t="s">
        <v>212</v>
      </c>
      <c r="D266" s="6"/>
      <c r="E266" s="31">
        <f>D266*VLOOKUP(A266,Nhập入库!A:N,8,FALSE)</f>
        <v>0</v>
      </c>
      <c r="F266" s="6">
        <v>20</v>
      </c>
      <c r="G266" s="6" t="s">
        <v>430</v>
      </c>
      <c r="H266" s="6" t="s">
        <v>424</v>
      </c>
      <c r="I266" s="10" t="s">
        <v>489</v>
      </c>
      <c r="J266" s="138">
        <v>0.422222222222222</v>
      </c>
    </row>
    <row r="267" spans="1:10">
      <c r="A267" s="31">
        <f>VLOOKUP($C267,SKU!$A:$I,3,FALSE)</f>
        <v>10029</v>
      </c>
      <c r="B267" s="31" t="str">
        <f>VLOOKUP($C267,SKU!$A:$I,2,FALSE)</f>
        <v>樱花屋魔卡少女樱</v>
      </c>
      <c r="C267" s="6" t="s">
        <v>143</v>
      </c>
      <c r="D267" s="6">
        <v>1</v>
      </c>
      <c r="E267" s="31">
        <f>D267*VLOOKUP(A267,Nhập入库!A:N,8,FALSE)</f>
        <v>12</v>
      </c>
      <c r="F267" s="6"/>
      <c r="G267" s="6" t="s">
        <v>98</v>
      </c>
      <c r="H267" s="6" t="s">
        <v>424</v>
      </c>
      <c r="I267" s="10" t="s">
        <v>489</v>
      </c>
      <c r="J267" s="138">
        <v>0.422222222222222</v>
      </c>
    </row>
    <row r="268" spans="1:10">
      <c r="A268" s="31">
        <f>VLOOKUP($C268,SKU!$A:$I,3,FALSE)</f>
        <v>10058</v>
      </c>
      <c r="B268" s="31" t="str">
        <f>VLOOKUP($C268,SKU!$A:$I,2,FALSE)</f>
        <v>三丽鸥家族hello kitty梦境巡礼</v>
      </c>
      <c r="C268" s="6" t="s">
        <v>244</v>
      </c>
      <c r="D268" s="6"/>
      <c r="E268" s="31">
        <f>D268*VLOOKUP(A268,Nhập入库!A:N,8,FALSE)</f>
        <v>0</v>
      </c>
      <c r="F268" s="6">
        <v>23</v>
      </c>
      <c r="G268" s="6" t="s">
        <v>98</v>
      </c>
      <c r="H268" s="6" t="s">
        <v>424</v>
      </c>
      <c r="I268" s="10" t="s">
        <v>489</v>
      </c>
      <c r="J268" s="138">
        <v>0.48125</v>
      </c>
    </row>
    <row r="269" spans="1:10">
      <c r="A269" s="31">
        <f>VLOOKUP($C269,SKU!$A:$I,3,FALSE)</f>
        <v>10058</v>
      </c>
      <c r="B269" s="31" t="str">
        <f>VLOOKUP($C269,SKU!$A:$I,2,FALSE)</f>
        <v>三丽鸥家族hello kitty梦境巡礼</v>
      </c>
      <c r="C269" s="6" t="s">
        <v>244</v>
      </c>
      <c r="D269" s="6"/>
      <c r="E269" s="31">
        <f>D269*VLOOKUP(A269,Nhập入库!A:N,8,FALSE)</f>
        <v>0</v>
      </c>
      <c r="F269" s="6">
        <v>15</v>
      </c>
      <c r="G269" s="6" t="s">
        <v>78</v>
      </c>
      <c r="H269" s="6" t="s">
        <v>424</v>
      </c>
      <c r="I269" s="10" t="s">
        <v>490</v>
      </c>
      <c r="J269" s="138">
        <v>0.380555555555556</v>
      </c>
    </row>
    <row r="270" spans="1:10">
      <c r="A270" s="31">
        <f>VLOOKUP($C270,SKU!$A:$I,3,FALSE)</f>
        <v>10035</v>
      </c>
      <c r="B270" s="31" t="str">
        <f>VLOOKUP($C270,SKU!$A:$I,2,FALSE)</f>
        <v>KK CARD × 新海诚系列第一弹</v>
      </c>
      <c r="C270" s="6" t="s">
        <v>167</v>
      </c>
      <c r="D270" s="6">
        <v>5</v>
      </c>
      <c r="E270" s="31">
        <f>D270*VLOOKUP(A270,Nhập入库!A:N,8,FALSE)</f>
        <v>70</v>
      </c>
      <c r="F270" s="6"/>
      <c r="G270" s="6" t="s">
        <v>429</v>
      </c>
      <c r="H270" s="6" t="s">
        <v>424</v>
      </c>
      <c r="I270" s="10" t="s">
        <v>490</v>
      </c>
      <c r="J270" s="138">
        <v>0.60625</v>
      </c>
    </row>
    <row r="271" spans="1:10">
      <c r="A271" s="31">
        <f>VLOOKUP($C271,SKU!$A:$I,3,FALSE)</f>
        <v>10058</v>
      </c>
      <c r="B271" s="31" t="str">
        <f>VLOOKUP($C271,SKU!$A:$I,2,FALSE)</f>
        <v>三丽鸥家族hello kitty梦境巡礼</v>
      </c>
      <c r="C271" s="6" t="s">
        <v>244</v>
      </c>
      <c r="D271" s="6"/>
      <c r="E271" s="31">
        <f>D271*VLOOKUP(A271,Nhập入库!A:N,8,FALSE)</f>
        <v>0</v>
      </c>
      <c r="F271" s="6">
        <v>6</v>
      </c>
      <c r="G271" s="6" t="s">
        <v>98</v>
      </c>
      <c r="H271" s="6" t="s">
        <v>424</v>
      </c>
      <c r="I271" s="10" t="s">
        <v>491</v>
      </c>
      <c r="J271" s="138">
        <v>0.425</v>
      </c>
    </row>
    <row r="272" spans="1:10">
      <c r="A272" s="31">
        <f>VLOOKUP($C272,SKU!$A:$I,3,FALSE)</f>
        <v>10058</v>
      </c>
      <c r="B272" s="31" t="str">
        <f>VLOOKUP($C272,SKU!$A:$I,2,FALSE)</f>
        <v>三丽鸥家族hello kitty梦境巡礼</v>
      </c>
      <c r="C272" s="6" t="s">
        <v>244</v>
      </c>
      <c r="D272" s="6"/>
      <c r="E272" s="31">
        <f>D272*VLOOKUP(A272,Nhập入库!A:N,8,FALSE)</f>
        <v>0</v>
      </c>
      <c r="F272" s="6">
        <v>7</v>
      </c>
      <c r="G272" s="6" t="s">
        <v>134</v>
      </c>
      <c r="H272" s="6" t="s">
        <v>408</v>
      </c>
      <c r="I272" s="10" t="s">
        <v>491</v>
      </c>
      <c r="J272" s="138">
        <v>0.425</v>
      </c>
    </row>
    <row r="273" spans="1:10">
      <c r="A273" s="31">
        <f>VLOOKUP($C273,SKU!$A:$I,3,FALSE)</f>
        <v>10007</v>
      </c>
      <c r="B273" s="31" t="str">
        <f>VLOOKUP($C273,SKU!$A:$I,2,FALSE)</f>
        <v>kawaii宫崎骏梦幻之国</v>
      </c>
      <c r="C273" s="6" t="s">
        <v>49</v>
      </c>
      <c r="D273" s="6"/>
      <c r="E273" s="31">
        <f>D273*VLOOKUP(A273,Nhập入库!A:N,8,FALSE)</f>
        <v>0</v>
      </c>
      <c r="F273" s="6">
        <v>35</v>
      </c>
      <c r="G273" s="6" t="s">
        <v>432</v>
      </c>
      <c r="H273" s="6" t="s">
        <v>424</v>
      </c>
      <c r="I273" s="10" t="s">
        <v>492</v>
      </c>
      <c r="J273" s="138">
        <v>0.408333333333333</v>
      </c>
    </row>
    <row r="274" spans="1:10">
      <c r="A274" s="31">
        <f>VLOOKUP($C274,SKU!$A:$I,3,FALSE)</f>
        <v>10037</v>
      </c>
      <c r="B274" s="31" t="str">
        <f>VLOOKUP($C274,SKU!$A:$I,2,FALSE)</f>
        <v>磁吸邮票《咪咕咪咕&amp;魔卡少女樱》</v>
      </c>
      <c r="C274" s="6" t="s">
        <v>175</v>
      </c>
      <c r="D274" s="6"/>
      <c r="E274" s="31">
        <f>D274*VLOOKUP(A274,Nhập入库!A:N,8,FALSE)</f>
        <v>0</v>
      </c>
      <c r="F274" s="6">
        <v>2</v>
      </c>
      <c r="G274" s="6" t="s">
        <v>98</v>
      </c>
      <c r="H274" s="6" t="s">
        <v>424</v>
      </c>
      <c r="I274" s="10" t="s">
        <v>492</v>
      </c>
      <c r="J274" s="138">
        <v>0.425</v>
      </c>
    </row>
    <row r="275" spans="1:10">
      <c r="A275" s="31">
        <f>VLOOKUP($C275,SKU!$A:$I,3,FALSE)</f>
        <v>10005</v>
      </c>
      <c r="B275" s="31" t="str">
        <f>VLOOKUP($C275,SKU!$A:$I,2,FALSE)</f>
        <v>椿柚文创宫崎骏 被风吹散的秘密邮票第一弹</v>
      </c>
      <c r="C275" s="6" t="s">
        <v>36</v>
      </c>
      <c r="D275" s="6"/>
      <c r="E275" s="31">
        <f>D275*VLOOKUP(A275,Nhập入库!A:N,8,FALSE)</f>
        <v>0</v>
      </c>
      <c r="F275" s="6">
        <v>3</v>
      </c>
      <c r="G275" s="6" t="s">
        <v>69</v>
      </c>
      <c r="H275" s="6" t="s">
        <v>424</v>
      </c>
      <c r="I275" s="10" t="s">
        <v>492</v>
      </c>
      <c r="J275" s="138">
        <v>0.425</v>
      </c>
    </row>
    <row r="276" spans="1:10">
      <c r="A276" s="31">
        <f>VLOOKUP($C276,SKU!$A:$I,3,FALSE)</f>
        <v>10007</v>
      </c>
      <c r="B276" s="31" t="str">
        <f>VLOOKUP($C276,SKU!$A:$I,2,FALSE)</f>
        <v>kawaii宫崎骏梦幻之国</v>
      </c>
      <c r="C276" s="6" t="s">
        <v>49</v>
      </c>
      <c r="D276" s="6"/>
      <c r="E276" s="31">
        <f>D276*VLOOKUP(A276,Nhập入库!A:N,8,FALSE)</f>
        <v>0</v>
      </c>
      <c r="F276" s="6">
        <v>75</v>
      </c>
      <c r="G276" s="6" t="s">
        <v>432</v>
      </c>
      <c r="H276" s="6" t="s">
        <v>424</v>
      </c>
      <c r="I276" s="10" t="s">
        <v>492</v>
      </c>
      <c r="J276" s="138">
        <v>0.425</v>
      </c>
    </row>
    <row r="277" spans="1:10">
      <c r="A277" s="31">
        <f>VLOOKUP($C277,SKU!$A:$I,3,FALSE)</f>
        <v>10011</v>
      </c>
      <c r="B277" s="31" t="str">
        <f>VLOOKUP($C277,SKU!$A:$I,2,FALSE)</f>
        <v>灿卡文创宫崎骏第二弹《花涧物语》</v>
      </c>
      <c r="C277" s="6" t="s">
        <v>71</v>
      </c>
      <c r="D277" s="6"/>
      <c r="E277" s="31">
        <f>D277*VLOOKUP(A277,Nhập入库!A:N,8,FALSE)</f>
        <v>0</v>
      </c>
      <c r="F277" s="6">
        <v>15</v>
      </c>
      <c r="G277" s="6" t="s">
        <v>432</v>
      </c>
      <c r="H277" s="6" t="s">
        <v>424</v>
      </c>
      <c r="I277" s="10" t="s">
        <v>492</v>
      </c>
      <c r="J277" s="138">
        <v>0.425</v>
      </c>
    </row>
    <row r="278" spans="1:10">
      <c r="A278" s="31">
        <f>VLOOKUP($C278,SKU!$A:$I,3,FALSE)</f>
        <v>10014</v>
      </c>
      <c r="B278" s="31" t="str">
        <f>VLOOKUP($C278,SKU!$A:$I,2,FALSE)</f>
        <v>星梦文创-Studio Ghibli宫崎骏撕撕乐系列 </v>
      </c>
      <c r="C278" s="6" t="s">
        <v>83</v>
      </c>
      <c r="D278" s="6"/>
      <c r="E278" s="31">
        <f>D278*VLOOKUP(A278,Nhập入库!A:N,8,FALSE)</f>
        <v>0</v>
      </c>
      <c r="F278" s="6">
        <v>1</v>
      </c>
      <c r="G278" s="6" t="s">
        <v>432</v>
      </c>
      <c r="H278" s="6" t="s">
        <v>424</v>
      </c>
      <c r="I278" s="10" t="s">
        <v>492</v>
      </c>
      <c r="J278" s="138">
        <v>0.425</v>
      </c>
    </row>
    <row r="279" spans="1:10">
      <c r="A279" s="31">
        <f>VLOOKUP($C279,SKU!$A:$I,3,FALSE)</f>
        <v>10014</v>
      </c>
      <c r="B279" s="31" t="str">
        <f>VLOOKUP($C279,SKU!$A:$I,2,FALSE)</f>
        <v>星梦文创-Studio Ghibli宫崎骏撕撕乐系列 </v>
      </c>
      <c r="C279" s="10" t="s">
        <v>83</v>
      </c>
      <c r="D279" s="6"/>
      <c r="E279" s="31">
        <f>D279*VLOOKUP(A279,Nhập入库!A:N,8,FALSE)</f>
        <v>0</v>
      </c>
      <c r="F279" s="6">
        <v>30</v>
      </c>
      <c r="G279" s="6" t="s">
        <v>138</v>
      </c>
      <c r="H279" s="10"/>
      <c r="I279" s="10"/>
      <c r="J279" s="138"/>
    </row>
    <row r="280" spans="1:10">
      <c r="A280" s="31">
        <f>VLOOKUP($C280,SKU!$A:$I,3,FALSE)</f>
        <v>10029</v>
      </c>
      <c r="B280" s="31" t="str">
        <f>VLOOKUP($C280,SKU!$A:$I,2,FALSE)</f>
        <v>樱花屋魔卡少女樱</v>
      </c>
      <c r="C280" s="10" t="s">
        <v>143</v>
      </c>
      <c r="D280" s="6"/>
      <c r="E280" s="31">
        <f>D280*VLOOKUP(A280,Nhập入库!A:N,8,FALSE)</f>
        <v>0</v>
      </c>
      <c r="F280" s="6">
        <v>117</v>
      </c>
      <c r="G280" s="6" t="s">
        <v>422</v>
      </c>
      <c r="H280" s="10"/>
      <c r="I280" s="10"/>
      <c r="J280" s="138"/>
    </row>
    <row r="281" spans="1:10">
      <c r="A281" s="31">
        <f>VLOOKUP($C281,SKU!$A:$I,3,FALSE)</f>
        <v>10032</v>
      </c>
      <c r="B281" s="31" t="str">
        <f>VLOOKUP($C281,SKU!$A:$I,2,FALSE)</f>
        <v>绘心阁《魔道祖师—殊途同归》色纸卡牌</v>
      </c>
      <c r="C281" s="10" t="s">
        <v>155</v>
      </c>
      <c r="D281" s="6"/>
      <c r="E281" s="31">
        <f>D281*VLOOKUP(A281,Nhập入库!A:N,8,FALSE)</f>
        <v>0</v>
      </c>
      <c r="F281" s="6">
        <v>4</v>
      </c>
      <c r="G281" s="6" t="s">
        <v>130</v>
      </c>
      <c r="H281" s="10"/>
      <c r="I281" s="10"/>
      <c r="J281" s="138"/>
    </row>
    <row r="282" spans="1:10">
      <c r="A282" s="31">
        <f>VLOOKUP($C282,SKU!$A:$I,3,FALSE)</f>
        <v>10007</v>
      </c>
      <c r="B282" s="31" t="str">
        <f>VLOOKUP($C282,SKU!$A:$I,2,FALSE)</f>
        <v>kawaii宫崎骏梦幻之国</v>
      </c>
      <c r="C282" s="10" t="s">
        <v>49</v>
      </c>
      <c r="D282" s="6"/>
      <c r="E282" s="31">
        <f>D282*VLOOKUP(A282,Nhập入库!A:N,8,FALSE)</f>
        <v>0</v>
      </c>
      <c r="F282" s="6">
        <v>9</v>
      </c>
      <c r="G282" s="6" t="s">
        <v>90</v>
      </c>
      <c r="H282" s="10"/>
      <c r="I282" s="10"/>
      <c r="J282" s="138"/>
    </row>
    <row r="283" spans="1:10">
      <c r="A283" s="31">
        <f>VLOOKUP($C283,SKU!$A:$I,3,FALSE)</f>
        <v>10016</v>
      </c>
      <c r="B283" s="31" t="str">
        <f>VLOOKUP($C283,SKU!$A:$I,2,FALSE)</f>
        <v>思梨普文创《hey!国王陛下》集换式艺术家典藏卡</v>
      </c>
      <c r="C283" s="10" t="s">
        <v>91</v>
      </c>
      <c r="D283" s="6"/>
      <c r="E283" s="31">
        <f>D283*VLOOKUP(A283,Nhập入库!A:N,8,FALSE)</f>
        <v>0</v>
      </c>
      <c r="F283" s="6">
        <v>3</v>
      </c>
      <c r="G283" s="6" t="s">
        <v>134</v>
      </c>
      <c r="H283" s="10"/>
      <c r="I283" s="10"/>
      <c r="J283" s="138"/>
    </row>
    <row r="284" spans="1:10">
      <c r="A284" s="31">
        <f>VLOOKUP($C284,SKU!$A:$I,3,FALSE)</f>
        <v>10016</v>
      </c>
      <c r="B284" s="31" t="str">
        <f>VLOOKUP($C284,SKU!$A:$I,2,FALSE)</f>
        <v>思梨普文创《hey!国王陛下》集换式艺术家典藏卡</v>
      </c>
      <c r="C284" s="10" t="s">
        <v>91</v>
      </c>
      <c r="D284" s="6"/>
      <c r="E284" s="31">
        <f>D284*VLOOKUP(A284,Nhập入库!A:N,8,FALSE)</f>
        <v>0</v>
      </c>
      <c r="F284" s="6">
        <v>22</v>
      </c>
      <c r="G284" s="6" t="s">
        <v>422</v>
      </c>
      <c r="H284" s="6"/>
      <c r="I284" s="6"/>
      <c r="J284" s="138"/>
    </row>
    <row r="285" spans="1:10">
      <c r="A285" s="31">
        <f>VLOOKUP($C285,SKU!$A:$I,3,FALSE)</f>
        <v>10039</v>
      </c>
      <c r="B285" s="31" t="str">
        <f>VLOOKUP($C285,SKU!$A:$I,2,FALSE)</f>
        <v>非凡航海王第五弹</v>
      </c>
      <c r="C285" s="10" t="s">
        <v>184</v>
      </c>
      <c r="D285" s="6"/>
      <c r="E285" s="31">
        <f>D285*VLOOKUP(A285,Nhập入库!A:N,8,FALSE)</f>
        <v>0</v>
      </c>
      <c r="F285" s="6">
        <v>124</v>
      </c>
      <c r="G285" s="6" t="s">
        <v>74</v>
      </c>
      <c r="H285" s="6"/>
      <c r="I285" s="10"/>
      <c r="J285" s="138"/>
    </row>
    <row r="286" spans="1:10">
      <c r="A286" s="128">
        <f>VLOOKUP($C286,SKU!$A:$I,3,FALSE)</f>
        <v>10039</v>
      </c>
      <c r="B286" s="128" t="str">
        <f>VLOOKUP($C286,SKU!$A:$I,2,FALSE)</f>
        <v>非凡航海王第五弹</v>
      </c>
      <c r="C286" s="131" t="s">
        <v>184</v>
      </c>
      <c r="D286" s="149"/>
      <c r="E286" s="128">
        <f>D286*VLOOKUP(A286,Nhập入库!A:N,8,FALSE)</f>
        <v>0</v>
      </c>
      <c r="F286" s="149">
        <v>100</v>
      </c>
      <c r="G286" s="131" t="s">
        <v>433</v>
      </c>
      <c r="H286" s="6"/>
      <c r="I286" s="10"/>
      <c r="J286" s="138"/>
    </row>
    <row r="287" spans="1:10">
      <c r="A287" s="31">
        <f>VLOOKUP($C287,SKU!$A:$I,3,FALSE)</f>
        <v>10039</v>
      </c>
      <c r="B287" s="31" t="str">
        <f>VLOOKUP($C287,SKU!$A:$I,2,FALSE)</f>
        <v>非凡航海王第五弹</v>
      </c>
      <c r="C287" s="10" t="s">
        <v>184</v>
      </c>
      <c r="D287" s="6"/>
      <c r="E287" s="31">
        <f>D287*VLOOKUP(A287,Nhập入库!A:N,8,FALSE)</f>
        <v>0</v>
      </c>
      <c r="F287" s="6">
        <v>15</v>
      </c>
      <c r="G287" s="6" t="s">
        <v>430</v>
      </c>
      <c r="H287" s="6"/>
      <c r="I287" s="10"/>
      <c r="J287" s="138"/>
    </row>
    <row r="288" spans="1:10">
      <c r="A288" s="9"/>
      <c r="B288" s="9"/>
      <c r="C288" s="6"/>
      <c r="D288" s="6"/>
      <c r="E288" s="9"/>
      <c r="F288" s="6"/>
      <c r="G288" s="6"/>
      <c r="H288" s="6"/>
      <c r="I288" s="6"/>
      <c r="J288" s="138"/>
    </row>
    <row r="289" spans="1:10">
      <c r="A289" s="9"/>
      <c r="B289" s="9"/>
      <c r="C289" s="6"/>
      <c r="D289" s="6"/>
      <c r="E289" s="9"/>
      <c r="F289" s="6"/>
      <c r="G289" s="6"/>
      <c r="H289" s="6"/>
      <c r="I289" s="6"/>
      <c r="J289" s="138"/>
    </row>
    <row r="290" spans="1:10">
      <c r="A290" s="9"/>
      <c r="B290" s="9"/>
      <c r="C290" s="6"/>
      <c r="D290" s="6"/>
      <c r="E290" s="9"/>
      <c r="F290" s="6"/>
      <c r="G290" s="6"/>
      <c r="H290" s="6"/>
      <c r="I290" s="6"/>
      <c r="J290" s="138"/>
    </row>
    <row r="291" spans="1:10">
      <c r="A291" s="9"/>
      <c r="B291" s="9"/>
      <c r="C291" s="6"/>
      <c r="D291" s="6"/>
      <c r="E291" s="9"/>
      <c r="F291" s="6"/>
      <c r="G291" s="6"/>
      <c r="H291" s="6"/>
      <c r="I291" s="6"/>
      <c r="J291" s="138"/>
    </row>
    <row r="292" spans="1:10">
      <c r="A292" s="9"/>
      <c r="B292" s="9"/>
      <c r="C292" s="6"/>
      <c r="D292" s="6"/>
      <c r="E292" s="9"/>
      <c r="F292" s="6"/>
      <c r="G292" s="6"/>
      <c r="H292" s="6"/>
      <c r="I292" s="6"/>
      <c r="J292" s="138"/>
    </row>
    <row r="293" spans="1:10">
      <c r="A293" s="9"/>
      <c r="B293" s="9"/>
      <c r="C293" s="6"/>
      <c r="D293" s="6"/>
      <c r="E293" s="9"/>
      <c r="F293" s="6"/>
      <c r="G293" s="6"/>
      <c r="H293" s="6"/>
      <c r="I293" s="6"/>
      <c r="J293" s="138"/>
    </row>
    <row r="294" spans="1:10">
      <c r="A294" s="9"/>
      <c r="B294" s="9"/>
      <c r="C294" s="6"/>
      <c r="D294" s="6"/>
      <c r="E294" s="9"/>
      <c r="F294" s="6"/>
      <c r="G294" s="6"/>
      <c r="H294" s="6"/>
      <c r="I294" s="6"/>
      <c r="J294" s="138"/>
    </row>
    <row r="295" spans="1:10">
      <c r="A295" s="9"/>
      <c r="B295" s="9"/>
      <c r="C295" s="6"/>
      <c r="D295" s="6"/>
      <c r="E295" s="9"/>
      <c r="F295" s="6"/>
      <c r="G295" s="6"/>
      <c r="H295" s="6"/>
      <c r="I295" s="6"/>
      <c r="J295" s="138"/>
    </row>
    <row r="296" spans="1:10">
      <c r="A296" s="9"/>
      <c r="B296" s="9"/>
      <c r="C296" s="6"/>
      <c r="D296" s="6"/>
      <c r="E296" s="9"/>
      <c r="F296" s="6"/>
      <c r="G296" s="6"/>
      <c r="H296" s="6"/>
      <c r="I296" s="6"/>
      <c r="J296" s="138"/>
    </row>
    <row r="297" spans="1:10">
      <c r="A297" s="9"/>
      <c r="B297" s="9"/>
      <c r="C297" s="6"/>
      <c r="D297" s="6"/>
      <c r="E297" s="9"/>
      <c r="F297" s="6"/>
      <c r="G297" s="6"/>
      <c r="H297" s="6"/>
      <c r="I297" s="6"/>
      <c r="J297" s="138"/>
    </row>
    <row r="298" spans="1:10">
      <c r="A298" s="9"/>
      <c r="B298" s="9"/>
      <c r="C298" s="6"/>
      <c r="D298" s="6"/>
      <c r="E298" s="9"/>
      <c r="F298" s="6"/>
      <c r="G298" s="6"/>
      <c r="H298" s="6"/>
      <c r="I298" s="6"/>
      <c r="J298" s="138"/>
    </row>
    <row r="299" spans="1:10">
      <c r="A299" s="9"/>
      <c r="B299" s="9"/>
      <c r="C299" s="6"/>
      <c r="D299" s="6"/>
      <c r="E299" s="9"/>
      <c r="F299" s="6"/>
      <c r="G299" s="6"/>
      <c r="H299" s="6"/>
      <c r="I299" s="6"/>
      <c r="J299" s="138"/>
    </row>
    <row r="300" spans="1:10">
      <c r="A300" s="9"/>
      <c r="B300" s="9"/>
      <c r="C300" s="6"/>
      <c r="D300" s="6"/>
      <c r="E300" s="9"/>
      <c r="F300" s="6"/>
      <c r="G300" s="6"/>
      <c r="H300" s="6"/>
      <c r="I300" s="6"/>
      <c r="J300" s="138"/>
    </row>
    <row r="301" spans="1:10">
      <c r="A301" s="9"/>
      <c r="B301" s="9"/>
      <c r="C301" s="6"/>
      <c r="D301" s="6"/>
      <c r="E301" s="9"/>
      <c r="F301" s="6"/>
      <c r="G301" s="6"/>
      <c r="H301" s="6"/>
      <c r="I301" s="6"/>
      <c r="J301" s="138"/>
    </row>
    <row r="302" spans="1:10">
      <c r="A302" s="9"/>
      <c r="B302" s="9"/>
      <c r="C302" s="6"/>
      <c r="D302" s="6"/>
      <c r="E302" s="9"/>
      <c r="F302" s="6"/>
      <c r="G302" s="6"/>
      <c r="H302" s="6"/>
      <c r="I302" s="6"/>
      <c r="J302" s="138"/>
    </row>
    <row r="303" spans="1:10">
      <c r="A303" s="9"/>
      <c r="B303" s="9"/>
      <c r="C303" s="6"/>
      <c r="D303" s="6"/>
      <c r="E303" s="9"/>
      <c r="F303" s="6"/>
      <c r="G303" s="6"/>
      <c r="H303" s="6"/>
      <c r="I303" s="6"/>
      <c r="J303" s="138"/>
    </row>
    <row r="304" spans="1:10">
      <c r="A304" s="9"/>
      <c r="B304" s="9"/>
      <c r="C304" s="6"/>
      <c r="D304" s="6"/>
      <c r="E304" s="9"/>
      <c r="F304" s="6"/>
      <c r="G304" s="6"/>
      <c r="H304" s="6"/>
      <c r="I304" s="6"/>
      <c r="J304" s="138"/>
    </row>
    <row r="305" spans="1:10">
      <c r="A305" s="9"/>
      <c r="B305" s="9"/>
      <c r="C305" s="6"/>
      <c r="D305" s="6"/>
      <c r="E305" s="9"/>
      <c r="F305" s="6"/>
      <c r="G305" s="6"/>
      <c r="H305" s="6"/>
      <c r="I305" s="6"/>
      <c r="J305" s="138"/>
    </row>
    <row r="306" spans="1:10">
      <c r="A306" s="9"/>
      <c r="B306" s="9"/>
      <c r="C306" s="6"/>
      <c r="D306" s="6"/>
      <c r="E306" s="9"/>
      <c r="F306" s="6"/>
      <c r="G306" s="6"/>
      <c r="H306" s="6"/>
      <c r="I306" s="6"/>
      <c r="J306" s="138"/>
    </row>
    <row r="307" spans="1:10">
      <c r="A307" s="9"/>
      <c r="B307" s="9"/>
      <c r="C307" s="6"/>
      <c r="D307" s="6"/>
      <c r="E307" s="9"/>
      <c r="F307" s="6"/>
      <c r="G307" s="6"/>
      <c r="H307" s="6"/>
      <c r="I307" s="6"/>
      <c r="J307" s="138"/>
    </row>
    <row r="308" spans="1:10">
      <c r="A308" s="9"/>
      <c r="B308" s="9"/>
      <c r="C308" s="6"/>
      <c r="D308" s="6"/>
      <c r="E308" s="9"/>
      <c r="F308" s="6"/>
      <c r="G308" s="6"/>
      <c r="H308" s="6"/>
      <c r="I308" s="6"/>
      <c r="J308" s="138"/>
    </row>
    <row r="309" spans="1:10">
      <c r="A309" s="9"/>
      <c r="B309" s="9"/>
      <c r="C309" s="6"/>
      <c r="D309" s="6"/>
      <c r="E309" s="9"/>
      <c r="F309" s="6"/>
      <c r="G309" s="6"/>
      <c r="H309" s="6"/>
      <c r="I309" s="6"/>
      <c r="J309" s="138"/>
    </row>
    <row r="310" spans="1:10">
      <c r="A310" s="9"/>
      <c r="B310" s="9"/>
      <c r="C310" s="6"/>
      <c r="D310" s="6"/>
      <c r="E310" s="9"/>
      <c r="F310" s="6"/>
      <c r="G310" s="6"/>
      <c r="H310" s="6"/>
      <c r="I310" s="6"/>
      <c r="J310" s="138"/>
    </row>
    <row r="311" spans="1:10">
      <c r="A311" s="9"/>
      <c r="B311" s="9"/>
      <c r="C311" s="6"/>
      <c r="D311" s="6"/>
      <c r="E311" s="9"/>
      <c r="F311" s="6"/>
      <c r="G311" s="6"/>
      <c r="H311" s="6"/>
      <c r="I311" s="6"/>
      <c r="J311" s="138"/>
    </row>
    <row r="312" spans="1:10">
      <c r="A312" s="9"/>
      <c r="B312" s="9"/>
      <c r="C312" s="6"/>
      <c r="D312" s="6"/>
      <c r="E312" s="9"/>
      <c r="F312" s="6"/>
      <c r="G312" s="6"/>
      <c r="H312" s="6"/>
      <c r="I312" s="6"/>
      <c r="J312" s="138"/>
    </row>
    <row r="313" spans="1:10">
      <c r="A313" s="9"/>
      <c r="B313" s="9"/>
      <c r="C313" s="6"/>
      <c r="D313" s="6"/>
      <c r="E313" s="9"/>
      <c r="F313" s="6"/>
      <c r="G313" s="6"/>
      <c r="H313" s="6"/>
      <c r="I313" s="6"/>
      <c r="J313" s="138"/>
    </row>
    <row r="314" spans="1:10">
      <c r="A314" s="9"/>
      <c r="B314" s="9"/>
      <c r="C314" s="6"/>
      <c r="D314" s="6"/>
      <c r="E314" s="9"/>
      <c r="F314" s="6"/>
      <c r="G314" s="6"/>
      <c r="H314" s="6"/>
      <c r="I314" s="6"/>
      <c r="J314" s="138"/>
    </row>
    <row r="315" spans="1:10">
      <c r="A315" s="9"/>
      <c r="B315" s="9"/>
      <c r="C315" s="6"/>
      <c r="D315" s="6"/>
      <c r="E315" s="9"/>
      <c r="F315" s="6"/>
      <c r="G315" s="6"/>
      <c r="H315" s="6"/>
      <c r="I315" s="6"/>
      <c r="J315" s="138"/>
    </row>
    <row r="316" spans="1:10">
      <c r="A316" s="9"/>
      <c r="B316" s="9"/>
      <c r="C316" s="6"/>
      <c r="D316" s="6"/>
      <c r="E316" s="9"/>
      <c r="F316" s="6"/>
      <c r="G316" s="6"/>
      <c r="H316" s="6"/>
      <c r="I316" s="6"/>
      <c r="J316" s="138"/>
    </row>
    <row r="317" spans="1:10">
      <c r="A317" s="9"/>
      <c r="B317" s="9"/>
      <c r="C317" s="6"/>
      <c r="D317" s="6"/>
      <c r="E317" s="9"/>
      <c r="F317" s="6"/>
      <c r="G317" s="6"/>
      <c r="H317" s="6"/>
      <c r="I317" s="6"/>
      <c r="J317" s="138"/>
    </row>
    <row r="318" spans="1:10">
      <c r="A318" s="9"/>
      <c r="B318" s="9"/>
      <c r="C318" s="6"/>
      <c r="D318" s="6"/>
      <c r="E318" s="9"/>
      <c r="F318" s="6"/>
      <c r="G318" s="6"/>
      <c r="H318" s="6"/>
      <c r="I318" s="6"/>
      <c r="J318" s="138"/>
    </row>
    <row r="319" spans="1:10">
      <c r="A319" s="9"/>
      <c r="B319" s="9"/>
      <c r="C319" s="6"/>
      <c r="D319" s="6"/>
      <c r="E319" s="9"/>
      <c r="F319" s="6"/>
      <c r="G319" s="6"/>
      <c r="H319" s="6"/>
      <c r="I319" s="6"/>
      <c r="J319" s="138"/>
    </row>
    <row r="320" spans="1:10">
      <c r="A320" s="9"/>
      <c r="B320" s="9"/>
      <c r="C320" s="6"/>
      <c r="D320" s="6"/>
      <c r="E320" s="9"/>
      <c r="F320" s="6"/>
      <c r="G320" s="6"/>
      <c r="H320" s="6"/>
      <c r="I320" s="6"/>
      <c r="J320" s="138"/>
    </row>
    <row r="321" spans="1:10">
      <c r="A321" s="9"/>
      <c r="B321" s="9"/>
      <c r="C321" s="6"/>
      <c r="D321" s="6"/>
      <c r="E321" s="9"/>
      <c r="F321" s="6"/>
      <c r="G321" s="6"/>
      <c r="H321" s="6"/>
      <c r="I321" s="6"/>
      <c r="J321" s="138"/>
    </row>
    <row r="322" spans="1:10">
      <c r="A322" s="9"/>
      <c r="B322" s="9"/>
      <c r="C322" s="6"/>
      <c r="D322" s="6"/>
      <c r="E322" s="9"/>
      <c r="F322" s="6"/>
      <c r="G322" s="6"/>
      <c r="H322" s="6"/>
      <c r="I322" s="6"/>
      <c r="J322" s="138"/>
    </row>
    <row r="323" spans="1:10">
      <c r="A323" s="9"/>
      <c r="B323" s="9"/>
      <c r="C323" s="6"/>
      <c r="D323" s="6"/>
      <c r="E323" s="9"/>
      <c r="F323" s="6"/>
      <c r="G323" s="6"/>
      <c r="H323" s="6"/>
      <c r="I323" s="6"/>
      <c r="J323" s="138"/>
    </row>
    <row r="324" spans="1:10">
      <c r="A324" s="9"/>
      <c r="B324" s="9"/>
      <c r="C324" s="6"/>
      <c r="D324" s="6"/>
      <c r="E324" s="9"/>
      <c r="F324" s="6"/>
      <c r="G324" s="6"/>
      <c r="H324" s="6"/>
      <c r="I324" s="6"/>
      <c r="J324" s="138"/>
    </row>
    <row r="325" spans="1:10">
      <c r="A325" s="9"/>
      <c r="B325" s="9"/>
      <c r="C325" s="6"/>
      <c r="D325" s="6"/>
      <c r="E325" s="9"/>
      <c r="F325" s="6"/>
      <c r="G325" s="6"/>
      <c r="H325" s="6"/>
      <c r="I325" s="6"/>
      <c r="J325" s="138"/>
    </row>
    <row r="326" spans="1:10">
      <c r="A326" s="9"/>
      <c r="B326" s="9"/>
      <c r="C326" s="6"/>
      <c r="D326" s="6"/>
      <c r="E326" s="9"/>
      <c r="F326" s="6"/>
      <c r="G326" s="6"/>
      <c r="H326" s="6"/>
      <c r="I326" s="6"/>
      <c r="J326" s="138"/>
    </row>
    <row r="327" spans="1:10">
      <c r="A327" s="9"/>
      <c r="B327" s="9"/>
      <c r="C327" s="6"/>
      <c r="D327" s="6"/>
      <c r="E327" s="9"/>
      <c r="F327" s="6"/>
      <c r="G327" s="6"/>
      <c r="H327" s="6"/>
      <c r="I327" s="6"/>
      <c r="J327" s="138"/>
    </row>
    <row r="328" spans="1:10">
      <c r="A328" s="9"/>
      <c r="B328" s="9"/>
      <c r="C328" s="6"/>
      <c r="D328" s="6"/>
      <c r="E328" s="9"/>
      <c r="F328" s="6"/>
      <c r="G328" s="6"/>
      <c r="H328" s="6"/>
      <c r="I328" s="6"/>
      <c r="J328" s="138"/>
    </row>
    <row r="329" spans="1:10">
      <c r="A329" s="9"/>
      <c r="B329" s="9"/>
      <c r="C329" s="6"/>
      <c r="D329" s="6"/>
      <c r="E329" s="9"/>
      <c r="F329" s="6"/>
      <c r="G329" s="6"/>
      <c r="H329" s="6"/>
      <c r="I329" s="6"/>
      <c r="J329" s="138"/>
    </row>
    <row r="330" spans="1:10">
      <c r="A330" s="9"/>
      <c r="B330" s="9"/>
      <c r="C330" s="6"/>
      <c r="D330" s="6"/>
      <c r="E330" s="9"/>
      <c r="F330" s="6"/>
      <c r="G330" s="6"/>
      <c r="H330" s="6"/>
      <c r="I330" s="6"/>
      <c r="J330" s="138"/>
    </row>
    <row r="331" spans="1:10">
      <c r="A331" s="9"/>
      <c r="B331" s="9"/>
      <c r="C331" s="6"/>
      <c r="D331" s="6"/>
      <c r="E331" s="9"/>
      <c r="F331" s="6"/>
      <c r="G331" s="6"/>
      <c r="H331" s="6"/>
      <c r="I331" s="6"/>
      <c r="J331" s="138"/>
    </row>
    <row r="332" spans="1:10">
      <c r="A332" s="9"/>
      <c r="B332" s="9"/>
      <c r="C332" s="6"/>
      <c r="D332" s="6"/>
      <c r="E332" s="9"/>
      <c r="F332" s="6"/>
      <c r="G332" s="6"/>
      <c r="H332" s="6"/>
      <c r="I332" s="6"/>
      <c r="J332" s="138"/>
    </row>
    <row r="333" spans="1:10">
      <c r="A333" s="9"/>
      <c r="B333" s="9"/>
      <c r="C333" s="6"/>
      <c r="D333" s="6"/>
      <c r="E333" s="9"/>
      <c r="F333" s="6"/>
      <c r="G333" s="6"/>
      <c r="H333" s="6"/>
      <c r="I333" s="6"/>
      <c r="J333" s="138"/>
    </row>
    <row r="334" spans="1:10">
      <c r="A334" s="9"/>
      <c r="B334" s="9"/>
      <c r="C334" s="6"/>
      <c r="D334" s="6"/>
      <c r="E334" s="9"/>
      <c r="F334" s="6"/>
      <c r="G334" s="6"/>
      <c r="H334" s="6"/>
      <c r="I334" s="6"/>
      <c r="J334" s="138"/>
    </row>
    <row r="335" spans="1:10">
      <c r="A335" s="9"/>
      <c r="B335" s="9"/>
      <c r="C335" s="6"/>
      <c r="D335" s="6"/>
      <c r="E335" s="9"/>
      <c r="F335" s="6"/>
      <c r="G335" s="6"/>
      <c r="H335" s="6"/>
      <c r="I335" s="6"/>
      <c r="J335" s="138"/>
    </row>
    <row r="336" spans="1:10">
      <c r="A336" s="9"/>
      <c r="B336" s="9"/>
      <c r="C336" s="6"/>
      <c r="D336" s="6"/>
      <c r="E336" s="9"/>
      <c r="F336" s="6"/>
      <c r="G336" s="6"/>
      <c r="H336" s="6"/>
      <c r="I336" s="6"/>
      <c r="J336" s="138"/>
    </row>
    <row r="337" spans="1:10">
      <c r="A337" s="9"/>
      <c r="B337" s="9"/>
      <c r="C337" s="6"/>
      <c r="D337" s="6"/>
      <c r="E337" s="9"/>
      <c r="F337" s="6"/>
      <c r="G337" s="6"/>
      <c r="H337" s="6"/>
      <c r="I337" s="6"/>
      <c r="J337" s="138"/>
    </row>
    <row r="338" spans="1:10">
      <c r="A338" s="9"/>
      <c r="B338" s="9"/>
      <c r="C338" s="6"/>
      <c r="D338" s="6"/>
      <c r="E338" s="9"/>
      <c r="F338" s="6"/>
      <c r="G338" s="6"/>
      <c r="H338" s="6"/>
      <c r="I338" s="6"/>
      <c r="J338" s="138"/>
    </row>
    <row r="339" spans="1:10">
      <c r="A339" s="9"/>
      <c r="B339" s="9"/>
      <c r="C339" s="6"/>
      <c r="D339" s="6"/>
      <c r="E339" s="9"/>
      <c r="F339" s="6"/>
      <c r="G339" s="6"/>
      <c r="H339" s="6"/>
      <c r="I339" s="6"/>
      <c r="J339" s="138"/>
    </row>
    <row r="340" spans="1:10">
      <c r="A340" s="9"/>
      <c r="B340" s="9"/>
      <c r="C340" s="6"/>
      <c r="D340" s="6"/>
      <c r="E340" s="9"/>
      <c r="F340" s="6"/>
      <c r="G340" s="6"/>
      <c r="H340" s="6"/>
      <c r="I340" s="6"/>
      <c r="J340" s="138"/>
    </row>
    <row r="341" spans="1:10">
      <c r="A341" s="9"/>
      <c r="B341" s="9"/>
      <c r="C341" s="6"/>
      <c r="D341" s="6"/>
      <c r="E341" s="9"/>
      <c r="F341" s="6"/>
      <c r="G341" s="6"/>
      <c r="H341" s="6"/>
      <c r="I341" s="6"/>
      <c r="J341" s="138"/>
    </row>
    <row r="342" spans="1:10">
      <c r="A342" s="9"/>
      <c r="B342" s="9"/>
      <c r="C342" s="6"/>
      <c r="D342" s="6"/>
      <c r="E342" s="9"/>
      <c r="F342" s="6"/>
      <c r="G342" s="6"/>
      <c r="H342" s="6"/>
      <c r="I342" s="6"/>
      <c r="J342" s="138"/>
    </row>
    <row r="343" spans="1:10">
      <c r="A343" s="9"/>
      <c r="B343" s="9"/>
      <c r="C343" s="6"/>
      <c r="D343" s="6"/>
      <c r="E343" s="9"/>
      <c r="F343" s="6"/>
      <c r="G343" s="6"/>
      <c r="H343" s="6"/>
      <c r="I343" s="6"/>
      <c r="J343" s="138"/>
    </row>
    <row r="344" spans="1:10">
      <c r="A344" s="9"/>
      <c r="B344" s="9"/>
      <c r="C344" s="6"/>
      <c r="D344" s="6"/>
      <c r="E344" s="9"/>
      <c r="F344" s="6"/>
      <c r="G344" s="6"/>
      <c r="H344" s="6"/>
      <c r="I344" s="6"/>
      <c r="J344" s="138"/>
    </row>
    <row r="345" spans="1:10">
      <c r="A345" s="9"/>
      <c r="B345" s="9"/>
      <c r="C345" s="6"/>
      <c r="D345" s="6"/>
      <c r="E345" s="9"/>
      <c r="F345" s="6"/>
      <c r="G345" s="6"/>
      <c r="H345" s="6"/>
      <c r="I345" s="6"/>
      <c r="J345" s="138"/>
    </row>
    <row r="346" spans="1:10">
      <c r="A346" s="9"/>
      <c r="B346" s="9"/>
      <c r="C346" s="6"/>
      <c r="D346" s="6"/>
      <c r="E346" s="9"/>
      <c r="F346" s="6"/>
      <c r="G346" s="6"/>
      <c r="H346" s="6"/>
      <c r="I346" s="6"/>
      <c r="J346" s="138"/>
    </row>
    <row r="347" spans="1:10">
      <c r="A347" s="9"/>
      <c r="B347" s="9"/>
      <c r="C347" s="6"/>
      <c r="D347" s="6"/>
      <c r="E347" s="9"/>
      <c r="F347" s="6"/>
      <c r="G347" s="6"/>
      <c r="H347" s="6"/>
      <c r="I347" s="6"/>
      <c r="J347" s="138"/>
    </row>
    <row r="348" spans="1:10">
      <c r="A348" s="9"/>
      <c r="B348" s="9"/>
      <c r="C348" s="6"/>
      <c r="D348" s="6"/>
      <c r="E348" s="9"/>
      <c r="F348" s="6"/>
      <c r="G348" s="6"/>
      <c r="H348" s="6"/>
      <c r="I348" s="6"/>
      <c r="J348" s="138"/>
    </row>
    <row r="349" spans="1:10">
      <c r="A349" s="9"/>
      <c r="B349" s="9"/>
      <c r="C349" s="6"/>
      <c r="D349" s="6"/>
      <c r="E349" s="9"/>
      <c r="F349" s="6"/>
      <c r="G349" s="6"/>
      <c r="H349" s="6"/>
      <c r="I349" s="6"/>
      <c r="J349" s="138"/>
    </row>
    <row r="350" spans="1:10">
      <c r="A350" s="9"/>
      <c r="B350" s="9"/>
      <c r="C350" s="6"/>
      <c r="D350" s="6"/>
      <c r="E350" s="9"/>
      <c r="F350" s="6"/>
      <c r="G350" s="6"/>
      <c r="H350" s="6"/>
      <c r="I350" s="6"/>
      <c r="J350" s="138"/>
    </row>
    <row r="351" spans="1:10">
      <c r="A351" s="9"/>
      <c r="B351" s="9"/>
      <c r="C351" s="6"/>
      <c r="D351" s="6"/>
      <c r="E351" s="9"/>
      <c r="F351" s="6"/>
      <c r="G351" s="6"/>
      <c r="H351" s="6"/>
      <c r="I351" s="6"/>
      <c r="J351" s="138"/>
    </row>
    <row r="352" spans="1:10">
      <c r="A352" s="9"/>
      <c r="B352" s="9"/>
      <c r="C352" s="6"/>
      <c r="D352" s="6"/>
      <c r="E352" s="9"/>
      <c r="F352" s="6"/>
      <c r="G352" s="6"/>
      <c r="H352" s="6"/>
      <c r="I352" s="6"/>
      <c r="J352" s="138"/>
    </row>
    <row r="353" spans="1:10">
      <c r="A353" s="9"/>
      <c r="B353" s="9"/>
      <c r="C353" s="6"/>
      <c r="D353" s="6"/>
      <c r="E353" s="9"/>
      <c r="F353" s="6"/>
      <c r="G353" s="6"/>
      <c r="H353" s="6"/>
      <c r="I353" s="6"/>
      <c r="J353" s="138"/>
    </row>
    <row r="354" spans="1:10">
      <c r="A354" s="9"/>
      <c r="B354" s="9"/>
      <c r="C354" s="6"/>
      <c r="D354" s="6"/>
      <c r="E354" s="9"/>
      <c r="F354" s="6"/>
      <c r="G354" s="6"/>
      <c r="H354" s="6"/>
      <c r="I354" s="6"/>
      <c r="J354" s="138"/>
    </row>
    <row r="355" spans="1:10">
      <c r="A355" s="9"/>
      <c r="B355" s="9"/>
      <c r="C355" s="6"/>
      <c r="D355" s="6"/>
      <c r="E355" s="9"/>
      <c r="F355" s="6"/>
      <c r="G355" s="6"/>
      <c r="H355" s="6"/>
      <c r="I355" s="6"/>
      <c r="J355" s="138"/>
    </row>
    <row r="356" spans="1:10">
      <c r="A356" s="9"/>
      <c r="B356" s="9"/>
      <c r="C356" s="6"/>
      <c r="D356" s="6"/>
      <c r="E356" s="9"/>
      <c r="F356" s="6"/>
      <c r="G356" s="6"/>
      <c r="H356" s="6"/>
      <c r="I356" s="6"/>
      <c r="J356" s="138"/>
    </row>
    <row r="357" spans="1:10">
      <c r="A357" s="9"/>
      <c r="B357" s="9"/>
      <c r="C357" s="6"/>
      <c r="D357" s="6"/>
      <c r="E357" s="9"/>
      <c r="F357" s="6"/>
      <c r="G357" s="6"/>
      <c r="H357" s="6"/>
      <c r="I357" s="6"/>
      <c r="J357" s="138"/>
    </row>
    <row r="358" spans="1:10">
      <c r="A358" s="9"/>
      <c r="B358" s="9"/>
      <c r="C358" s="6"/>
      <c r="D358" s="6"/>
      <c r="E358" s="9"/>
      <c r="F358" s="6"/>
      <c r="G358" s="6"/>
      <c r="H358" s="6"/>
      <c r="I358" s="6"/>
      <c r="J358" s="138"/>
    </row>
    <row r="359" spans="1:10">
      <c r="A359" s="9"/>
      <c r="B359" s="9"/>
      <c r="C359" s="6"/>
      <c r="D359" s="6"/>
      <c r="E359" s="9"/>
      <c r="F359" s="6"/>
      <c r="G359" s="6"/>
      <c r="H359" s="6"/>
      <c r="I359" s="6"/>
      <c r="J359" s="138"/>
    </row>
    <row r="360" spans="1:10">
      <c r="A360" s="9"/>
      <c r="B360" s="9"/>
      <c r="C360" s="6"/>
      <c r="D360" s="6"/>
      <c r="E360" s="9"/>
      <c r="F360" s="6"/>
      <c r="G360" s="6"/>
      <c r="H360" s="6"/>
      <c r="I360" s="6"/>
      <c r="J360" s="138"/>
    </row>
    <row r="361" spans="1:10">
      <c r="A361" s="9"/>
      <c r="B361" s="9"/>
      <c r="C361" s="6"/>
      <c r="D361" s="6"/>
      <c r="E361" s="9"/>
      <c r="F361" s="6"/>
      <c r="G361" s="6"/>
      <c r="H361" s="6"/>
      <c r="I361" s="6"/>
      <c r="J361" s="138"/>
    </row>
    <row r="362" spans="1:10">
      <c r="A362" s="9"/>
      <c r="B362" s="9"/>
      <c r="C362" s="6"/>
      <c r="D362" s="6"/>
      <c r="E362" s="9"/>
      <c r="F362" s="6"/>
      <c r="G362" s="6"/>
      <c r="H362" s="6"/>
      <c r="I362" s="6"/>
      <c r="J362" s="138"/>
    </row>
    <row r="363" spans="1:10">
      <c r="A363" s="9"/>
      <c r="B363" s="9"/>
      <c r="C363" s="6"/>
      <c r="D363" s="6"/>
      <c r="E363" s="9"/>
      <c r="F363" s="6"/>
      <c r="G363" s="6"/>
      <c r="H363" s="6"/>
      <c r="I363" s="6"/>
      <c r="J363" s="138"/>
    </row>
    <row r="364" spans="1:10">
      <c r="A364" s="9"/>
      <c r="B364" s="9"/>
      <c r="C364" s="6"/>
      <c r="D364" s="6"/>
      <c r="E364" s="9"/>
      <c r="F364" s="6"/>
      <c r="G364" s="6"/>
      <c r="H364" s="6"/>
      <c r="I364" s="6"/>
      <c r="J364" s="138"/>
    </row>
    <row r="365" spans="1:10">
      <c r="A365" s="9"/>
      <c r="B365" s="9"/>
      <c r="C365" s="6"/>
      <c r="D365" s="6"/>
      <c r="E365" s="9"/>
      <c r="F365" s="6"/>
      <c r="G365" s="6"/>
      <c r="H365" s="6"/>
      <c r="I365" s="6"/>
      <c r="J365" s="138"/>
    </row>
    <row r="366" spans="1:10">
      <c r="A366" s="9"/>
      <c r="B366" s="9"/>
      <c r="C366" s="6"/>
      <c r="D366" s="6"/>
      <c r="E366" s="9"/>
      <c r="F366" s="6"/>
      <c r="G366" s="6"/>
      <c r="H366" s="6"/>
      <c r="I366" s="6"/>
      <c r="J366" s="138"/>
    </row>
    <row r="367" spans="1:10">
      <c r="A367" s="9"/>
      <c r="B367" s="9"/>
      <c r="C367" s="6"/>
      <c r="D367" s="6"/>
      <c r="E367" s="9"/>
      <c r="F367" s="6"/>
      <c r="G367" s="6"/>
      <c r="H367" s="6"/>
      <c r="I367" s="6"/>
      <c r="J367" s="138"/>
    </row>
    <row r="368" spans="1:10">
      <c r="A368" s="9"/>
      <c r="B368" s="9"/>
      <c r="C368" s="6"/>
      <c r="D368" s="6"/>
      <c r="E368" s="9"/>
      <c r="F368" s="6"/>
      <c r="G368" s="6"/>
      <c r="H368" s="6"/>
      <c r="I368" s="6"/>
      <c r="J368" s="138"/>
    </row>
    <row r="369" spans="1:10">
      <c r="A369" s="9"/>
      <c r="B369" s="9"/>
      <c r="C369" s="6"/>
      <c r="D369" s="6"/>
      <c r="E369" s="9"/>
      <c r="F369" s="6"/>
      <c r="G369" s="6"/>
      <c r="H369" s="6"/>
      <c r="I369" s="6"/>
      <c r="J369" s="138"/>
    </row>
    <row r="370" spans="1:10">
      <c r="A370" s="9"/>
      <c r="B370" s="9"/>
      <c r="C370" s="6"/>
      <c r="D370" s="6"/>
      <c r="E370" s="9"/>
      <c r="F370" s="6"/>
      <c r="G370" s="6"/>
      <c r="H370" s="6"/>
      <c r="I370" s="6"/>
      <c r="J370" s="138"/>
    </row>
    <row r="371" spans="1:10">
      <c r="A371" s="9"/>
      <c r="B371" s="9"/>
      <c r="C371" s="6"/>
      <c r="D371" s="6"/>
      <c r="E371" s="9"/>
      <c r="F371" s="6"/>
      <c r="G371" s="6"/>
      <c r="H371" s="6"/>
      <c r="I371" s="6"/>
      <c r="J371" s="138"/>
    </row>
    <row r="372" spans="1:10">
      <c r="A372" s="9"/>
      <c r="B372" s="9"/>
      <c r="C372" s="6"/>
      <c r="D372" s="6"/>
      <c r="E372" s="9"/>
      <c r="F372" s="6"/>
      <c r="G372" s="6"/>
      <c r="H372" s="6"/>
      <c r="I372" s="6"/>
      <c r="J372" s="138"/>
    </row>
    <row r="373" spans="1:10">
      <c r="A373" s="9"/>
      <c r="B373" s="9"/>
      <c r="C373" s="6"/>
      <c r="D373" s="6"/>
      <c r="E373" s="9"/>
      <c r="F373" s="6"/>
      <c r="G373" s="6"/>
      <c r="H373" s="6"/>
      <c r="I373" s="6"/>
      <c r="J373" s="138"/>
    </row>
    <row r="374" spans="1:10">
      <c r="A374" s="9"/>
      <c r="B374" s="9"/>
      <c r="C374" s="6"/>
      <c r="D374" s="6"/>
      <c r="E374" s="9"/>
      <c r="F374" s="6"/>
      <c r="G374" s="6"/>
      <c r="H374" s="6"/>
      <c r="I374" s="6"/>
      <c r="J374" s="138"/>
    </row>
    <row r="375" spans="1:10">
      <c r="A375" s="9"/>
      <c r="B375" s="9"/>
      <c r="C375" s="6"/>
      <c r="D375" s="6"/>
      <c r="E375" s="9"/>
      <c r="F375" s="6"/>
      <c r="G375" s="6"/>
      <c r="H375" s="6"/>
      <c r="I375" s="6"/>
      <c r="J375" s="138"/>
    </row>
    <row r="376" spans="1:10">
      <c r="A376" s="9"/>
      <c r="B376" s="9"/>
      <c r="C376" s="6"/>
      <c r="D376" s="6"/>
      <c r="E376" s="9"/>
      <c r="F376" s="6"/>
      <c r="G376" s="6"/>
      <c r="H376" s="6"/>
      <c r="I376" s="6"/>
      <c r="J376" s="138"/>
    </row>
    <row r="377" spans="1:10">
      <c r="A377" s="9"/>
      <c r="B377" s="9"/>
      <c r="C377" s="6"/>
      <c r="D377" s="6"/>
      <c r="E377" s="9"/>
      <c r="F377" s="6"/>
      <c r="G377" s="6"/>
      <c r="H377" s="6"/>
      <c r="I377" s="6"/>
      <c r="J377" s="138"/>
    </row>
    <row r="378" spans="1:10">
      <c r="A378" s="9"/>
      <c r="B378" s="9"/>
      <c r="C378" s="6"/>
      <c r="D378" s="6"/>
      <c r="E378" s="9"/>
      <c r="F378" s="6"/>
      <c r="G378" s="6"/>
      <c r="H378" s="6"/>
      <c r="I378" s="6"/>
      <c r="J378" s="138"/>
    </row>
    <row r="379" spans="1:10">
      <c r="A379" s="9"/>
      <c r="B379" s="9"/>
      <c r="C379" s="6"/>
      <c r="D379" s="6"/>
      <c r="E379" s="9"/>
      <c r="F379" s="6"/>
      <c r="G379" s="6"/>
      <c r="H379" s="6"/>
      <c r="I379" s="6"/>
      <c r="J379" s="138"/>
    </row>
    <row r="380" spans="1:10">
      <c r="A380" s="9"/>
      <c r="B380" s="9"/>
      <c r="C380" s="6"/>
      <c r="D380" s="6"/>
      <c r="E380" s="9"/>
      <c r="F380" s="6"/>
      <c r="G380" s="6"/>
      <c r="H380" s="6"/>
      <c r="I380" s="6"/>
      <c r="J380" s="138"/>
    </row>
    <row r="381" spans="1:10">
      <c r="A381" s="9"/>
      <c r="B381" s="9"/>
      <c r="C381" s="6"/>
      <c r="D381" s="6"/>
      <c r="E381" s="9"/>
      <c r="F381" s="6"/>
      <c r="G381" s="6"/>
      <c r="H381" s="6"/>
      <c r="I381" s="6"/>
      <c r="J381" s="138"/>
    </row>
    <row r="382" spans="1:10">
      <c r="A382" s="9"/>
      <c r="B382" s="9"/>
      <c r="C382" s="6"/>
      <c r="D382" s="6"/>
      <c r="E382" s="9"/>
      <c r="F382" s="6"/>
      <c r="G382" s="6"/>
      <c r="H382" s="6"/>
      <c r="I382" s="6"/>
      <c r="J382" s="138"/>
    </row>
    <row r="383" spans="1:10">
      <c r="A383" s="9"/>
      <c r="B383" s="9"/>
      <c r="C383" s="6"/>
      <c r="D383" s="6"/>
      <c r="E383" s="9"/>
      <c r="F383" s="6"/>
      <c r="G383" s="6"/>
      <c r="H383" s="6"/>
      <c r="I383" s="6"/>
      <c r="J383" s="138"/>
    </row>
    <row r="384" spans="1:10">
      <c r="A384" s="9"/>
      <c r="B384" s="9"/>
      <c r="C384" s="6"/>
      <c r="D384" s="6"/>
      <c r="E384" s="9"/>
      <c r="F384" s="6"/>
      <c r="G384" s="6"/>
      <c r="H384" s="6"/>
      <c r="I384" s="6"/>
      <c r="J384" s="138"/>
    </row>
    <row r="385" spans="1:10">
      <c r="A385" s="9"/>
      <c r="B385" s="9"/>
      <c r="C385" s="6"/>
      <c r="D385" s="6"/>
      <c r="E385" s="9"/>
      <c r="F385" s="6"/>
      <c r="G385" s="6"/>
      <c r="H385" s="6"/>
      <c r="I385" s="6"/>
      <c r="J385" s="138"/>
    </row>
    <row r="386" spans="1:10">
      <c r="A386" s="9"/>
      <c r="B386" s="9"/>
      <c r="C386" s="6"/>
      <c r="D386" s="6"/>
      <c r="E386" s="9"/>
      <c r="F386" s="6"/>
      <c r="G386" s="6"/>
      <c r="H386" s="6"/>
      <c r="I386" s="6"/>
      <c r="J386" s="138"/>
    </row>
    <row r="387" spans="1:10">
      <c r="A387" s="9"/>
      <c r="B387" s="9"/>
      <c r="C387" s="6"/>
      <c r="D387" s="6"/>
      <c r="E387" s="9"/>
      <c r="F387" s="6"/>
      <c r="G387" s="6"/>
      <c r="H387" s="6"/>
      <c r="I387" s="6"/>
      <c r="J387" s="138"/>
    </row>
    <row r="388" spans="1:10">
      <c r="A388" s="9"/>
      <c r="B388" s="9"/>
      <c r="C388" s="6"/>
      <c r="D388" s="6"/>
      <c r="E388" s="9"/>
      <c r="F388" s="6"/>
      <c r="G388" s="6"/>
      <c r="H388" s="6"/>
      <c r="I388" s="6"/>
      <c r="J388" s="138"/>
    </row>
    <row r="389" spans="1:10">
      <c r="A389" s="9"/>
      <c r="B389" s="9"/>
      <c r="C389" s="6"/>
      <c r="D389" s="6"/>
      <c r="E389" s="9"/>
      <c r="F389" s="6"/>
      <c r="G389" s="6"/>
      <c r="H389" s="6"/>
      <c r="I389" s="6"/>
      <c r="J389" s="138"/>
    </row>
    <row r="390" spans="1:10">
      <c r="A390" s="9"/>
      <c r="B390" s="9"/>
      <c r="C390" s="6"/>
      <c r="D390" s="6"/>
      <c r="E390" s="9"/>
      <c r="F390" s="6"/>
      <c r="G390" s="6"/>
      <c r="H390" s="6"/>
      <c r="I390" s="6"/>
      <c r="J390" s="138"/>
    </row>
    <row r="391" spans="1:10">
      <c r="A391" s="9"/>
      <c r="B391" s="9"/>
      <c r="C391" s="6"/>
      <c r="D391" s="6"/>
      <c r="E391" s="9"/>
      <c r="F391" s="6"/>
      <c r="G391" s="6"/>
      <c r="H391" s="6"/>
      <c r="I391" s="6"/>
      <c r="J391" s="138"/>
    </row>
    <row r="392" spans="1:10">
      <c r="A392" s="9"/>
      <c r="B392" s="9"/>
      <c r="C392" s="6"/>
      <c r="D392" s="6"/>
      <c r="E392" s="9"/>
      <c r="F392" s="6"/>
      <c r="G392" s="6"/>
      <c r="H392" s="6"/>
      <c r="I392" s="6"/>
      <c r="J392" s="138"/>
    </row>
    <row r="393" spans="1:10">
      <c r="A393" s="9"/>
      <c r="B393" s="9"/>
      <c r="C393" s="6"/>
      <c r="D393" s="6"/>
      <c r="E393" s="9"/>
      <c r="F393" s="6"/>
      <c r="G393" s="6"/>
      <c r="H393" s="6"/>
      <c r="I393" s="6"/>
      <c r="J393" s="138"/>
    </row>
    <row r="394" spans="1:10">
      <c r="A394" s="9"/>
      <c r="B394" s="9"/>
      <c r="C394" s="6"/>
      <c r="D394" s="6"/>
      <c r="E394" s="9"/>
      <c r="F394" s="6"/>
      <c r="G394" s="6"/>
      <c r="H394" s="6"/>
      <c r="I394" s="6"/>
      <c r="J394" s="138"/>
    </row>
    <row r="395" spans="1:10">
      <c r="A395" s="9"/>
      <c r="B395" s="9"/>
      <c r="C395" s="6"/>
      <c r="D395" s="6"/>
      <c r="E395" s="9"/>
      <c r="F395" s="6"/>
      <c r="G395" s="6"/>
      <c r="H395" s="6"/>
      <c r="I395" s="6"/>
      <c r="J395" s="138"/>
    </row>
    <row r="396" spans="1:10">
      <c r="A396" s="9"/>
      <c r="B396" s="9"/>
      <c r="C396" s="6"/>
      <c r="D396" s="6"/>
      <c r="E396" s="9"/>
      <c r="F396" s="6"/>
      <c r="G396" s="6"/>
      <c r="H396" s="6"/>
      <c r="I396" s="6"/>
      <c r="J396" s="138"/>
    </row>
    <row r="397" spans="1:10">
      <c r="A397" s="9"/>
      <c r="B397" s="9"/>
      <c r="C397" s="6"/>
      <c r="D397" s="6"/>
      <c r="E397" s="9"/>
      <c r="F397" s="6"/>
      <c r="G397" s="6"/>
      <c r="H397" s="6"/>
      <c r="I397" s="6"/>
      <c r="J397" s="138"/>
    </row>
    <row r="398" spans="1:10">
      <c r="A398" s="9"/>
      <c r="B398" s="9"/>
      <c r="C398" s="6"/>
      <c r="D398" s="6"/>
      <c r="E398" s="9"/>
      <c r="F398" s="6"/>
      <c r="G398" s="6"/>
      <c r="H398" s="6"/>
      <c r="I398" s="6"/>
      <c r="J398" s="138"/>
    </row>
    <row r="399" spans="1:10">
      <c r="A399" s="9"/>
      <c r="B399" s="9"/>
      <c r="C399" s="6"/>
      <c r="D399" s="6"/>
      <c r="E399" s="9"/>
      <c r="F399" s="6"/>
      <c r="G399" s="6"/>
      <c r="H399" s="6"/>
      <c r="I399" s="6"/>
      <c r="J399" s="138"/>
    </row>
    <row r="400" spans="1:10">
      <c r="A400" s="9"/>
      <c r="B400" s="9"/>
      <c r="C400" s="6"/>
      <c r="D400" s="6"/>
      <c r="E400" s="9"/>
      <c r="F400" s="6"/>
      <c r="G400" s="6"/>
      <c r="H400" s="6"/>
      <c r="I400" s="6"/>
      <c r="J400" s="138"/>
    </row>
    <row r="401" spans="1:10">
      <c r="A401" s="9"/>
      <c r="B401" s="9"/>
      <c r="C401" s="6"/>
      <c r="D401" s="6"/>
      <c r="E401" s="9"/>
      <c r="F401" s="6"/>
      <c r="G401" s="6"/>
      <c r="H401" s="6"/>
      <c r="I401" s="6"/>
      <c r="J401" s="138"/>
    </row>
    <row r="402" spans="1:10">
      <c r="A402" s="9"/>
      <c r="B402" s="9"/>
      <c r="C402" s="6"/>
      <c r="D402" s="6"/>
      <c r="E402" s="9"/>
      <c r="F402" s="6"/>
      <c r="G402" s="6"/>
      <c r="H402" s="6"/>
      <c r="I402" s="6"/>
      <c r="J402" s="138"/>
    </row>
    <row r="403" spans="1:10">
      <c r="A403" s="9"/>
      <c r="B403" s="9"/>
      <c r="C403" s="6"/>
      <c r="D403" s="6"/>
      <c r="E403" s="9"/>
      <c r="F403" s="6"/>
      <c r="G403" s="6"/>
      <c r="H403" s="6"/>
      <c r="I403" s="6"/>
      <c r="J403" s="138"/>
    </row>
    <row r="404" spans="1:10">
      <c r="A404" s="9"/>
      <c r="B404" s="9"/>
      <c r="C404" s="6"/>
      <c r="D404" s="6"/>
      <c r="E404" s="9"/>
      <c r="F404" s="6"/>
      <c r="G404" s="6"/>
      <c r="H404" s="6"/>
      <c r="I404" s="6"/>
      <c r="J404" s="138"/>
    </row>
    <row r="405" spans="1:10">
      <c r="A405" s="9"/>
      <c r="B405" s="9"/>
      <c r="C405" s="6"/>
      <c r="D405" s="6"/>
      <c r="E405" s="9"/>
      <c r="F405" s="6"/>
      <c r="G405" s="6"/>
      <c r="H405" s="6"/>
      <c r="I405" s="6"/>
      <c r="J405" s="138"/>
    </row>
    <row r="406" spans="1:10">
      <c r="A406" s="9"/>
      <c r="B406" s="9"/>
      <c r="C406" s="6"/>
      <c r="D406" s="6"/>
      <c r="E406" s="9"/>
      <c r="F406" s="6"/>
      <c r="G406" s="6"/>
      <c r="H406" s="6"/>
      <c r="I406" s="6"/>
      <c r="J406" s="138"/>
    </row>
    <row r="407" spans="1:10">
      <c r="A407" s="9"/>
      <c r="B407" s="9"/>
      <c r="C407" s="6"/>
      <c r="D407" s="6"/>
      <c r="E407" s="9"/>
      <c r="F407" s="6"/>
      <c r="G407" s="6"/>
      <c r="H407" s="6"/>
      <c r="I407" s="6"/>
      <c r="J407" s="138"/>
    </row>
    <row r="408" spans="1:10">
      <c r="A408" s="9"/>
      <c r="B408" s="9"/>
      <c r="C408" s="6"/>
      <c r="D408" s="6"/>
      <c r="E408" s="9"/>
      <c r="F408" s="6"/>
      <c r="G408" s="6"/>
      <c r="H408" s="6"/>
      <c r="I408" s="6"/>
      <c r="J408" s="138"/>
    </row>
    <row r="409" spans="1:10">
      <c r="A409" s="9"/>
      <c r="B409" s="9"/>
      <c r="C409" s="6"/>
      <c r="D409" s="6"/>
      <c r="E409" s="9"/>
      <c r="F409" s="6"/>
      <c r="G409" s="6"/>
      <c r="H409" s="6"/>
      <c r="I409" s="6"/>
      <c r="J409" s="138"/>
    </row>
    <row r="410" spans="1:10">
      <c r="A410" s="9"/>
      <c r="B410" s="9"/>
      <c r="C410" s="6"/>
      <c r="D410" s="6"/>
      <c r="E410" s="9"/>
      <c r="F410" s="6"/>
      <c r="G410" s="6"/>
      <c r="H410" s="6"/>
      <c r="I410" s="6"/>
      <c r="J410" s="138"/>
    </row>
    <row r="411" spans="1:10">
      <c r="A411" s="9"/>
      <c r="B411" s="9"/>
      <c r="C411" s="6"/>
      <c r="D411" s="6"/>
      <c r="E411" s="9"/>
      <c r="F411" s="6"/>
      <c r="G411" s="6"/>
      <c r="H411" s="6"/>
      <c r="I411" s="6"/>
      <c r="J411" s="138"/>
    </row>
    <row r="412" spans="1:10">
      <c r="A412" s="9"/>
      <c r="B412" s="9"/>
      <c r="C412" s="6"/>
      <c r="D412" s="6"/>
      <c r="E412" s="9"/>
      <c r="F412" s="6"/>
      <c r="G412" s="6"/>
      <c r="H412" s="6"/>
      <c r="I412" s="6"/>
      <c r="J412" s="138"/>
    </row>
    <row r="413" spans="1:10">
      <c r="A413" s="9"/>
      <c r="B413" s="9"/>
      <c r="C413" s="6"/>
      <c r="D413" s="6"/>
      <c r="E413" s="9"/>
      <c r="F413" s="6"/>
      <c r="G413" s="6"/>
      <c r="H413" s="6"/>
      <c r="I413" s="6"/>
      <c r="J413" s="138"/>
    </row>
    <row r="414" spans="1:10">
      <c r="A414" s="9"/>
      <c r="B414" s="9"/>
      <c r="C414" s="6"/>
      <c r="D414" s="6"/>
      <c r="E414" s="9"/>
      <c r="F414" s="6"/>
      <c r="G414" s="6"/>
      <c r="H414" s="6"/>
      <c r="I414" s="6"/>
      <c r="J414" s="138"/>
    </row>
    <row r="415" spans="1:10">
      <c r="A415" s="9"/>
      <c r="B415" s="9"/>
      <c r="C415" s="6"/>
      <c r="D415" s="6"/>
      <c r="E415" s="9"/>
      <c r="F415" s="6"/>
      <c r="G415" s="6"/>
      <c r="H415" s="6"/>
      <c r="I415" s="6"/>
      <c r="J415" s="138"/>
    </row>
    <row r="416" spans="1:10">
      <c r="A416" s="9"/>
      <c r="B416" s="9"/>
      <c r="C416" s="6"/>
      <c r="D416" s="6"/>
      <c r="E416" s="9"/>
      <c r="F416" s="6"/>
      <c r="G416" s="6"/>
      <c r="H416" s="6"/>
      <c r="I416" s="6"/>
      <c r="J416" s="138"/>
    </row>
    <row r="417" spans="1:10">
      <c r="A417" s="9"/>
      <c r="B417" s="9"/>
      <c r="C417" s="6"/>
      <c r="D417" s="6"/>
      <c r="E417" s="9"/>
      <c r="F417" s="6"/>
      <c r="G417" s="6"/>
      <c r="H417" s="6"/>
      <c r="I417" s="6"/>
      <c r="J417" s="138"/>
    </row>
    <row r="418" spans="1:10">
      <c r="A418" s="9"/>
      <c r="B418" s="9"/>
      <c r="C418" s="6"/>
      <c r="D418" s="6"/>
      <c r="E418" s="9"/>
      <c r="F418" s="6"/>
      <c r="G418" s="6"/>
      <c r="H418" s="6"/>
      <c r="I418" s="6"/>
      <c r="J418" s="138"/>
    </row>
    <row r="419" spans="1:10">
      <c r="A419" s="9"/>
      <c r="B419" s="9"/>
      <c r="C419" s="6"/>
      <c r="D419" s="6"/>
      <c r="E419" s="9"/>
      <c r="F419" s="6"/>
      <c r="G419" s="6"/>
      <c r="H419" s="6"/>
      <c r="I419" s="6"/>
      <c r="J419" s="138"/>
    </row>
    <row r="420" spans="1:10">
      <c r="A420" s="9"/>
      <c r="B420" s="9"/>
      <c r="C420" s="6"/>
      <c r="D420" s="6"/>
      <c r="E420" s="9"/>
      <c r="F420" s="6"/>
      <c r="G420" s="6"/>
      <c r="H420" s="6"/>
      <c r="I420" s="6"/>
      <c r="J420" s="138"/>
    </row>
    <row r="421" spans="1:10">
      <c r="A421" s="9"/>
      <c r="B421" s="9"/>
      <c r="C421" s="6"/>
      <c r="D421" s="6"/>
      <c r="E421" s="9"/>
      <c r="F421" s="6"/>
      <c r="G421" s="6"/>
      <c r="H421" s="6"/>
      <c r="I421" s="6"/>
      <c r="J421" s="138"/>
    </row>
    <row r="422" spans="1:10">
      <c r="A422" s="9"/>
      <c r="B422" s="9"/>
      <c r="C422" s="6"/>
      <c r="D422" s="6"/>
      <c r="E422" s="9"/>
      <c r="F422" s="6"/>
      <c r="G422" s="6"/>
      <c r="H422" s="6"/>
      <c r="I422" s="6"/>
      <c r="J422" s="138"/>
    </row>
    <row r="423" spans="1:10">
      <c r="A423" s="9"/>
      <c r="B423" s="9"/>
      <c r="C423" s="6"/>
      <c r="D423" s="6"/>
      <c r="E423" s="9"/>
      <c r="F423" s="6"/>
      <c r="G423" s="6"/>
      <c r="H423" s="6"/>
      <c r="I423" s="6"/>
      <c r="J423" s="138"/>
    </row>
    <row r="424" spans="1:10">
      <c r="A424" s="9"/>
      <c r="B424" s="9"/>
      <c r="C424" s="6"/>
      <c r="D424" s="6"/>
      <c r="E424" s="9"/>
      <c r="F424" s="6"/>
      <c r="G424" s="6"/>
      <c r="H424" s="6"/>
      <c r="I424" s="6"/>
      <c r="J424" s="138"/>
    </row>
    <row r="425" spans="1:10">
      <c r="A425" s="9"/>
      <c r="B425" s="9"/>
      <c r="C425" s="6"/>
      <c r="D425" s="6"/>
      <c r="E425" s="9"/>
      <c r="F425" s="6"/>
      <c r="G425" s="6"/>
      <c r="H425" s="6"/>
      <c r="I425" s="6"/>
      <c r="J425" s="138"/>
    </row>
    <row r="426" spans="1:10">
      <c r="A426" s="9"/>
      <c r="B426" s="9"/>
      <c r="C426" s="6"/>
      <c r="D426" s="6"/>
      <c r="E426" s="9"/>
      <c r="F426" s="6"/>
      <c r="G426" s="6"/>
      <c r="H426" s="6"/>
      <c r="I426" s="6"/>
      <c r="J426" s="138"/>
    </row>
    <row r="427" spans="1:10">
      <c r="A427" s="9"/>
      <c r="B427" s="9"/>
      <c r="C427" s="6"/>
      <c r="D427" s="6"/>
      <c r="E427" s="9"/>
      <c r="F427" s="6"/>
      <c r="G427" s="6"/>
      <c r="H427" s="6"/>
      <c r="I427" s="6"/>
      <c r="J427" s="138"/>
    </row>
    <row r="428" spans="1:10">
      <c r="A428" s="9"/>
      <c r="B428" s="9"/>
      <c r="C428" s="6"/>
      <c r="D428" s="6"/>
      <c r="E428" s="9"/>
      <c r="F428" s="6"/>
      <c r="G428" s="6"/>
      <c r="H428" s="6"/>
      <c r="I428" s="6"/>
      <c r="J428" s="138"/>
    </row>
    <row r="429" spans="1:10">
      <c r="A429" s="9"/>
      <c r="B429" s="9"/>
      <c r="C429" s="6"/>
      <c r="D429" s="6"/>
      <c r="E429" s="9"/>
      <c r="F429" s="6"/>
      <c r="G429" s="6"/>
      <c r="H429" s="6"/>
      <c r="I429" s="6"/>
      <c r="J429" s="138"/>
    </row>
    <row r="430" spans="1:10">
      <c r="A430" s="9"/>
      <c r="B430" s="9"/>
      <c r="C430" s="6"/>
      <c r="D430" s="6"/>
      <c r="E430" s="9"/>
      <c r="F430" s="6"/>
      <c r="G430" s="6"/>
      <c r="H430" s="6"/>
      <c r="I430" s="6"/>
      <c r="J430" s="138"/>
    </row>
    <row r="431" spans="1:10">
      <c r="A431" s="9"/>
      <c r="B431" s="9"/>
      <c r="C431" s="6"/>
      <c r="D431" s="6"/>
      <c r="E431" s="9"/>
      <c r="F431" s="6"/>
      <c r="G431" s="6"/>
      <c r="H431" s="6"/>
      <c r="I431" s="6"/>
      <c r="J431" s="138"/>
    </row>
    <row r="432" spans="1:10">
      <c r="A432" s="9"/>
      <c r="B432" s="9"/>
      <c r="C432" s="6"/>
      <c r="D432" s="6"/>
      <c r="E432" s="9"/>
      <c r="F432" s="6"/>
      <c r="G432" s="6"/>
      <c r="H432" s="6"/>
      <c r="I432" s="6"/>
      <c r="J432" s="138"/>
    </row>
    <row r="433" spans="1:10">
      <c r="A433" s="9"/>
      <c r="B433" s="9"/>
      <c r="C433" s="6"/>
      <c r="D433" s="6"/>
      <c r="E433" s="9"/>
      <c r="F433" s="6"/>
      <c r="G433" s="6"/>
      <c r="H433" s="6"/>
      <c r="I433" s="6"/>
      <c r="J433" s="138"/>
    </row>
    <row r="434" spans="1:10">
      <c r="A434" s="9"/>
      <c r="B434" s="9"/>
      <c r="C434" s="6"/>
      <c r="D434" s="6"/>
      <c r="E434" s="9"/>
      <c r="F434" s="6"/>
      <c r="G434" s="6"/>
      <c r="H434" s="6"/>
      <c r="I434" s="6"/>
      <c r="J434" s="138"/>
    </row>
    <row r="435" spans="1:10">
      <c r="A435" s="9"/>
      <c r="B435" s="9"/>
      <c r="C435" s="6"/>
      <c r="D435" s="6"/>
      <c r="E435" s="9"/>
      <c r="F435" s="6"/>
      <c r="G435" s="6"/>
      <c r="H435" s="6"/>
      <c r="I435" s="6"/>
      <c r="J435" s="138"/>
    </row>
    <row r="436" spans="1:10">
      <c r="A436" s="9"/>
      <c r="B436" s="9"/>
      <c r="C436" s="6"/>
      <c r="D436" s="6"/>
      <c r="E436" s="9"/>
      <c r="F436" s="6"/>
      <c r="G436" s="6"/>
      <c r="H436" s="6"/>
      <c r="I436" s="6"/>
      <c r="J436" s="138"/>
    </row>
    <row r="437" spans="1:10">
      <c r="A437" s="9"/>
      <c r="B437" s="9"/>
      <c r="C437" s="6"/>
      <c r="D437" s="6"/>
      <c r="E437" s="9"/>
      <c r="F437" s="6"/>
      <c r="G437" s="6"/>
      <c r="H437" s="6"/>
      <c r="I437" s="6"/>
      <c r="J437" s="138"/>
    </row>
    <row r="438" spans="1:10">
      <c r="A438" s="9"/>
      <c r="B438" s="9"/>
      <c r="C438" s="6"/>
      <c r="D438" s="6"/>
      <c r="E438" s="9"/>
      <c r="F438" s="6"/>
      <c r="G438" s="6"/>
      <c r="H438" s="6"/>
      <c r="I438" s="6"/>
      <c r="J438" s="138"/>
    </row>
    <row r="439" spans="1:10">
      <c r="A439" s="9"/>
      <c r="B439" s="9"/>
      <c r="C439" s="6"/>
      <c r="D439" s="6"/>
      <c r="E439" s="9"/>
      <c r="F439" s="6"/>
      <c r="G439" s="6"/>
      <c r="H439" s="6"/>
      <c r="I439" s="6"/>
      <c r="J439" s="138"/>
    </row>
    <row r="440" spans="1:10">
      <c r="A440" s="9"/>
      <c r="B440" s="9"/>
      <c r="C440" s="6"/>
      <c r="D440" s="6"/>
      <c r="E440" s="9"/>
      <c r="F440" s="6"/>
      <c r="G440" s="6"/>
      <c r="H440" s="6"/>
      <c r="I440" s="6"/>
      <c r="J440" s="138"/>
    </row>
    <row r="441" spans="1:10">
      <c r="A441" s="9"/>
      <c r="B441" s="9"/>
      <c r="C441" s="6"/>
      <c r="D441" s="6"/>
      <c r="E441" s="9"/>
      <c r="F441" s="6"/>
      <c r="G441" s="6"/>
      <c r="H441" s="6"/>
      <c r="I441" s="6"/>
      <c r="J441" s="138"/>
    </row>
    <row r="442" spans="1:10">
      <c r="A442" s="9"/>
      <c r="B442" s="9"/>
      <c r="C442" s="6"/>
      <c r="D442" s="6"/>
      <c r="E442" s="9"/>
      <c r="F442" s="6"/>
      <c r="G442" s="6"/>
      <c r="H442" s="6"/>
      <c r="I442" s="6"/>
      <c r="J442" s="138"/>
    </row>
    <row r="443" spans="1:10">
      <c r="A443" s="9"/>
      <c r="B443" s="9"/>
      <c r="C443" s="6"/>
      <c r="D443" s="6"/>
      <c r="E443" s="9"/>
      <c r="F443" s="6"/>
      <c r="G443" s="6"/>
      <c r="H443" s="6"/>
      <c r="I443" s="6"/>
      <c r="J443" s="138"/>
    </row>
    <row r="444" spans="1:10">
      <c r="A444" s="9"/>
      <c r="B444" s="9"/>
      <c r="C444" s="6"/>
      <c r="D444" s="6"/>
      <c r="E444" s="9"/>
      <c r="F444" s="6"/>
      <c r="G444" s="6"/>
      <c r="H444" s="6"/>
      <c r="I444" s="6"/>
      <c r="J444" s="138"/>
    </row>
    <row r="445" spans="1:10">
      <c r="A445" s="9"/>
      <c r="B445" s="9"/>
      <c r="C445" s="6"/>
      <c r="D445" s="6"/>
      <c r="E445" s="9"/>
      <c r="F445" s="6"/>
      <c r="G445" s="6"/>
      <c r="H445" s="6"/>
      <c r="I445" s="6"/>
      <c r="J445" s="138"/>
    </row>
    <row r="446" spans="1:10">
      <c r="A446" s="9"/>
      <c r="B446" s="9"/>
      <c r="C446" s="6"/>
      <c r="D446" s="6"/>
      <c r="E446" s="9"/>
      <c r="F446" s="6"/>
      <c r="G446" s="6"/>
      <c r="H446" s="6"/>
      <c r="I446" s="6"/>
      <c r="J446" s="138"/>
    </row>
    <row r="447" spans="1:10">
      <c r="A447" s="9"/>
      <c r="B447" s="9"/>
      <c r="C447" s="6"/>
      <c r="D447" s="6"/>
      <c r="E447" s="9"/>
      <c r="F447" s="6"/>
      <c r="G447" s="6"/>
      <c r="H447" s="6"/>
      <c r="I447" s="6"/>
      <c r="J447" s="138"/>
    </row>
    <row r="448" spans="1:10">
      <c r="A448" s="9"/>
      <c r="B448" s="9"/>
      <c r="C448" s="6"/>
      <c r="D448" s="6"/>
      <c r="E448" s="9"/>
      <c r="F448" s="6"/>
      <c r="G448" s="6"/>
      <c r="H448" s="6"/>
      <c r="I448" s="6"/>
      <c r="J448" s="138"/>
    </row>
    <row r="449" spans="1:10">
      <c r="A449" s="9"/>
      <c r="B449" s="9"/>
      <c r="C449" s="6"/>
      <c r="D449" s="6"/>
      <c r="E449" s="9"/>
      <c r="F449" s="6"/>
      <c r="G449" s="6"/>
      <c r="H449" s="6"/>
      <c r="I449" s="6"/>
      <c r="J449" s="138"/>
    </row>
    <row r="450" spans="1:10">
      <c r="A450" s="9"/>
      <c r="B450" s="9"/>
      <c r="C450" s="6"/>
      <c r="D450" s="6"/>
      <c r="E450" s="9"/>
      <c r="F450" s="6"/>
      <c r="G450" s="6"/>
      <c r="H450" s="6"/>
      <c r="I450" s="6"/>
      <c r="J450" s="138"/>
    </row>
    <row r="451" spans="1:10">
      <c r="A451" s="9"/>
      <c r="B451" s="9"/>
      <c r="C451" s="6"/>
      <c r="D451" s="6"/>
      <c r="E451" s="9"/>
      <c r="F451" s="6"/>
      <c r="G451" s="6"/>
      <c r="H451" s="6"/>
      <c r="I451" s="6"/>
      <c r="J451" s="138"/>
    </row>
    <row r="452" spans="1:10">
      <c r="A452" s="9"/>
      <c r="B452" s="9"/>
      <c r="C452" s="6"/>
      <c r="D452" s="6"/>
      <c r="E452" s="9"/>
      <c r="F452" s="6"/>
      <c r="G452" s="6"/>
      <c r="H452" s="6"/>
      <c r="I452" s="6"/>
      <c r="J452" s="138"/>
    </row>
    <row r="453" spans="1:10">
      <c r="A453" s="9"/>
      <c r="B453" s="9"/>
      <c r="C453" s="6"/>
      <c r="D453" s="6"/>
      <c r="E453" s="9"/>
      <c r="F453" s="6"/>
      <c r="G453" s="6"/>
      <c r="H453" s="6"/>
      <c r="I453" s="6"/>
      <c r="J453" s="138"/>
    </row>
    <row r="454" spans="1:10">
      <c r="A454" s="9"/>
      <c r="B454" s="9"/>
      <c r="C454" s="6"/>
      <c r="D454" s="6"/>
      <c r="E454" s="9"/>
      <c r="F454" s="6"/>
      <c r="G454" s="6"/>
      <c r="H454" s="6"/>
      <c r="I454" s="6"/>
      <c r="J454" s="138"/>
    </row>
    <row r="455" spans="1:10">
      <c r="A455" s="9"/>
      <c r="B455" s="9"/>
      <c r="C455" s="6"/>
      <c r="D455" s="6"/>
      <c r="E455" s="9"/>
      <c r="F455" s="6"/>
      <c r="G455" s="6"/>
      <c r="H455" s="6"/>
      <c r="I455" s="6"/>
      <c r="J455" s="138"/>
    </row>
    <row r="456" spans="1:10">
      <c r="A456" s="9"/>
      <c r="B456" s="9"/>
      <c r="C456" s="6"/>
      <c r="D456" s="6"/>
      <c r="E456" s="9"/>
      <c r="F456" s="6"/>
      <c r="G456" s="6"/>
      <c r="H456" s="6"/>
      <c r="I456" s="6"/>
      <c r="J456" s="138"/>
    </row>
    <row r="457" spans="1:10">
      <c r="A457" s="9"/>
      <c r="B457" s="9"/>
      <c r="C457" s="6"/>
      <c r="D457" s="6"/>
      <c r="E457" s="9"/>
      <c r="F457" s="6"/>
      <c r="G457" s="6"/>
      <c r="H457" s="6"/>
      <c r="I457" s="6"/>
      <c r="J457" s="138"/>
    </row>
    <row r="458" spans="1:10">
      <c r="A458" s="9"/>
      <c r="B458" s="9"/>
      <c r="C458" s="6"/>
      <c r="D458" s="6"/>
      <c r="E458" s="9"/>
      <c r="F458" s="6"/>
      <c r="G458" s="6"/>
      <c r="H458" s="6"/>
      <c r="I458" s="6"/>
      <c r="J458" s="138"/>
    </row>
    <row r="459" spans="1:10">
      <c r="A459" s="9"/>
      <c r="B459" s="9"/>
      <c r="C459" s="6"/>
      <c r="D459" s="6"/>
      <c r="E459" s="9"/>
      <c r="F459" s="6"/>
      <c r="G459" s="6"/>
      <c r="H459" s="6"/>
      <c r="I459" s="6"/>
      <c r="J459" s="138"/>
    </row>
    <row r="460" spans="1:10">
      <c r="A460" s="9"/>
      <c r="B460" s="9"/>
      <c r="C460" s="6"/>
      <c r="D460" s="6"/>
      <c r="E460" s="9"/>
      <c r="F460" s="6"/>
      <c r="G460" s="6"/>
      <c r="H460" s="6"/>
      <c r="I460" s="6"/>
      <c r="J460" s="138"/>
    </row>
    <row r="461" spans="1:10">
      <c r="A461" s="9"/>
      <c r="B461" s="9"/>
      <c r="C461" s="6"/>
      <c r="D461" s="6"/>
      <c r="E461" s="9"/>
      <c r="F461" s="6"/>
      <c r="G461" s="6"/>
      <c r="H461" s="6"/>
      <c r="I461" s="6"/>
      <c r="J461" s="138"/>
    </row>
    <row r="462" spans="1:10">
      <c r="A462" s="9"/>
      <c r="B462" s="9"/>
      <c r="C462" s="6"/>
      <c r="D462" s="6"/>
      <c r="E462" s="9"/>
      <c r="F462" s="6"/>
      <c r="G462" s="6"/>
      <c r="H462" s="6"/>
      <c r="I462" s="6"/>
      <c r="J462" s="138"/>
    </row>
    <row r="463" spans="1:10">
      <c r="A463" s="9"/>
      <c r="B463" s="9"/>
      <c r="C463" s="6"/>
      <c r="D463" s="6"/>
      <c r="E463" s="9"/>
      <c r="F463" s="6"/>
      <c r="G463" s="6"/>
      <c r="H463" s="6"/>
      <c r="I463" s="6"/>
      <c r="J463" s="138"/>
    </row>
    <row r="464" spans="1:10">
      <c r="A464" s="9"/>
      <c r="B464" s="9"/>
      <c r="C464" s="6"/>
      <c r="D464" s="6"/>
      <c r="E464" s="9"/>
      <c r="F464" s="6"/>
      <c r="G464" s="6"/>
      <c r="H464" s="6"/>
      <c r="I464" s="6"/>
      <c r="J464" s="138"/>
    </row>
    <row r="465" spans="1:10">
      <c r="A465" s="9"/>
      <c r="B465" s="9"/>
      <c r="C465" s="6"/>
      <c r="D465" s="6"/>
      <c r="E465" s="9"/>
      <c r="F465" s="6"/>
      <c r="G465" s="6"/>
      <c r="H465" s="6"/>
      <c r="I465" s="6"/>
      <c r="J465" s="138"/>
    </row>
    <row r="466" spans="1:10">
      <c r="A466" s="9"/>
      <c r="B466" s="9"/>
      <c r="C466" s="6"/>
      <c r="D466" s="6"/>
      <c r="E466" s="9"/>
      <c r="F466" s="6"/>
      <c r="G466" s="6"/>
      <c r="H466" s="6"/>
      <c r="I466" s="6"/>
      <c r="J466" s="138"/>
    </row>
    <row r="467" spans="1:10">
      <c r="A467" s="9"/>
      <c r="B467" s="9"/>
      <c r="C467" s="6"/>
      <c r="D467" s="6"/>
      <c r="E467" s="9"/>
      <c r="F467" s="6"/>
      <c r="G467" s="6"/>
      <c r="H467" s="6"/>
      <c r="I467" s="6"/>
      <c r="J467" s="138"/>
    </row>
    <row r="468" spans="1:10">
      <c r="A468" s="9"/>
      <c r="B468" s="9"/>
      <c r="C468" s="6"/>
      <c r="D468" s="6"/>
      <c r="E468" s="9"/>
      <c r="F468" s="6"/>
      <c r="G468" s="6"/>
      <c r="H468" s="6"/>
      <c r="I468" s="6"/>
      <c r="J468" s="138"/>
    </row>
    <row r="469" spans="1:10">
      <c r="A469" s="9"/>
      <c r="B469" s="9"/>
      <c r="C469" s="6"/>
      <c r="D469" s="6"/>
      <c r="E469" s="9"/>
      <c r="F469" s="6"/>
      <c r="G469" s="6"/>
      <c r="H469" s="6"/>
      <c r="I469" s="6"/>
      <c r="J469" s="138"/>
    </row>
    <row r="470" spans="1:10">
      <c r="A470" s="9"/>
      <c r="B470" s="9"/>
      <c r="C470" s="6"/>
      <c r="D470" s="6"/>
      <c r="E470" s="9"/>
      <c r="F470" s="6"/>
      <c r="G470" s="6"/>
      <c r="H470" s="6"/>
      <c r="I470" s="6"/>
      <c r="J470" s="138"/>
    </row>
    <row r="471" spans="1:10">
      <c r="A471" s="9"/>
      <c r="B471" s="9"/>
      <c r="C471" s="6"/>
      <c r="D471" s="6"/>
      <c r="E471" s="9"/>
      <c r="F471" s="6"/>
      <c r="G471" s="6"/>
      <c r="H471" s="6"/>
      <c r="I471" s="6"/>
      <c r="J471" s="138"/>
    </row>
    <row r="472" spans="1:10">
      <c r="A472" s="9"/>
      <c r="B472" s="9"/>
      <c r="C472" s="6"/>
      <c r="D472" s="6"/>
      <c r="E472" s="9"/>
      <c r="F472" s="6"/>
      <c r="G472" s="6"/>
      <c r="H472" s="6"/>
      <c r="I472" s="6"/>
      <c r="J472" s="138"/>
    </row>
    <row r="473" spans="1:10">
      <c r="A473" s="9"/>
      <c r="B473" s="9"/>
      <c r="C473" s="6"/>
      <c r="D473" s="6"/>
      <c r="E473" s="9"/>
      <c r="F473" s="6"/>
      <c r="G473" s="6"/>
      <c r="H473" s="6"/>
      <c r="I473" s="6"/>
      <c r="J473" s="138"/>
    </row>
    <row r="474" spans="1:10">
      <c r="A474" s="9"/>
      <c r="B474" s="9"/>
      <c r="C474" s="6"/>
      <c r="D474" s="6"/>
      <c r="E474" s="9"/>
      <c r="F474" s="6"/>
      <c r="G474" s="6"/>
      <c r="H474" s="6"/>
      <c r="I474" s="6"/>
      <c r="J474" s="138"/>
    </row>
    <row r="475" spans="1:10">
      <c r="A475" s="9"/>
      <c r="B475" s="9"/>
      <c r="C475" s="6"/>
      <c r="D475" s="6"/>
      <c r="E475" s="9"/>
      <c r="F475" s="6"/>
      <c r="G475" s="6"/>
      <c r="H475" s="6"/>
      <c r="I475" s="6"/>
      <c r="J475" s="138"/>
    </row>
    <row r="476" spans="1:10">
      <c r="A476" s="9"/>
      <c r="B476" s="9"/>
      <c r="C476" s="6"/>
      <c r="D476" s="6"/>
      <c r="E476" s="9"/>
      <c r="F476" s="6"/>
      <c r="G476" s="6"/>
      <c r="H476" s="6"/>
      <c r="I476" s="6"/>
      <c r="J476" s="138"/>
    </row>
    <row r="477" spans="1:10">
      <c r="A477" s="9"/>
      <c r="B477" s="9"/>
      <c r="C477" s="6"/>
      <c r="D477" s="6"/>
      <c r="E477" s="9"/>
      <c r="F477" s="6"/>
      <c r="G477" s="6"/>
      <c r="H477" s="6"/>
      <c r="I477" s="6"/>
      <c r="J477" s="138"/>
    </row>
    <row r="478" spans="1:10">
      <c r="A478" s="9"/>
      <c r="B478" s="9"/>
      <c r="C478" s="6"/>
      <c r="D478" s="6"/>
      <c r="E478" s="9"/>
      <c r="F478" s="6"/>
      <c r="G478" s="6"/>
      <c r="H478" s="6"/>
      <c r="I478" s="6"/>
      <c r="J478" s="138"/>
    </row>
    <row r="479" spans="1:10">
      <c r="A479" s="9"/>
      <c r="B479" s="9"/>
      <c r="C479" s="6"/>
      <c r="D479" s="6"/>
      <c r="E479" s="9"/>
      <c r="F479" s="6"/>
      <c r="G479" s="6"/>
      <c r="H479" s="6"/>
      <c r="I479" s="6"/>
      <c r="J479" s="138"/>
    </row>
    <row r="480" spans="1:10">
      <c r="A480" s="9"/>
      <c r="B480" s="9"/>
      <c r="C480" s="6"/>
      <c r="D480" s="6"/>
      <c r="E480" s="9"/>
      <c r="F480" s="6"/>
      <c r="G480" s="6"/>
      <c r="H480" s="6"/>
      <c r="I480" s="6"/>
      <c r="J480" s="138"/>
    </row>
    <row r="481" spans="1:10">
      <c r="A481" s="9"/>
      <c r="B481" s="9"/>
      <c r="C481" s="6"/>
      <c r="D481" s="6"/>
      <c r="E481" s="9"/>
      <c r="F481" s="6"/>
      <c r="G481" s="6"/>
      <c r="H481" s="6"/>
      <c r="I481" s="6"/>
      <c r="J481" s="138"/>
    </row>
    <row r="482" spans="1:10">
      <c r="A482" s="9"/>
      <c r="B482" s="9"/>
      <c r="C482" s="6"/>
      <c r="D482" s="6"/>
      <c r="E482" s="9"/>
      <c r="F482" s="6"/>
      <c r="G482" s="6"/>
      <c r="H482" s="6"/>
      <c r="I482" s="6"/>
      <c r="J482" s="138"/>
    </row>
    <row r="483" spans="1:10">
      <c r="A483" s="9"/>
      <c r="B483" s="9"/>
      <c r="C483" s="6"/>
      <c r="D483" s="6"/>
      <c r="E483" s="9"/>
      <c r="F483" s="6"/>
      <c r="G483" s="6"/>
      <c r="H483" s="6"/>
      <c r="I483" s="6"/>
      <c r="J483" s="138"/>
    </row>
    <row r="484" spans="1:10">
      <c r="A484" s="9"/>
      <c r="B484" s="9"/>
      <c r="C484" s="6"/>
      <c r="D484" s="6"/>
      <c r="E484" s="9"/>
      <c r="F484" s="6"/>
      <c r="G484" s="6"/>
      <c r="H484" s="6"/>
      <c r="I484" s="6"/>
      <c r="J484" s="138"/>
    </row>
    <row r="485" spans="1:10">
      <c r="A485" s="9"/>
      <c r="B485" s="9"/>
      <c r="C485" s="6"/>
      <c r="D485" s="6"/>
      <c r="E485" s="9"/>
      <c r="F485" s="6"/>
      <c r="G485" s="6"/>
      <c r="H485" s="6"/>
      <c r="I485" s="6"/>
      <c r="J485" s="138"/>
    </row>
    <row r="486" spans="1:10">
      <c r="A486" s="9"/>
      <c r="B486" s="9"/>
      <c r="C486" s="6"/>
      <c r="D486" s="6"/>
      <c r="E486" s="9"/>
      <c r="F486" s="6"/>
      <c r="G486" s="6"/>
      <c r="H486" s="6"/>
      <c r="I486" s="6"/>
      <c r="J486" s="138"/>
    </row>
    <row r="487" spans="1:10">
      <c r="A487" s="9"/>
      <c r="B487" s="9"/>
      <c r="C487" s="6"/>
      <c r="D487" s="6"/>
      <c r="E487" s="9"/>
      <c r="F487" s="6"/>
      <c r="G487" s="6"/>
      <c r="H487" s="6"/>
      <c r="I487" s="6"/>
      <c r="J487" s="138"/>
    </row>
    <row r="488" spans="1:10">
      <c r="A488" s="9"/>
      <c r="B488" s="9"/>
      <c r="C488" s="6"/>
      <c r="D488" s="6"/>
      <c r="E488" s="9"/>
      <c r="F488" s="6"/>
      <c r="G488" s="6"/>
      <c r="H488" s="6"/>
      <c r="I488" s="6"/>
      <c r="J488" s="138"/>
    </row>
    <row r="489" spans="1:10">
      <c r="A489" s="9"/>
      <c r="B489" s="9"/>
      <c r="C489" s="6"/>
      <c r="D489" s="6"/>
      <c r="E489" s="9"/>
      <c r="F489" s="6"/>
      <c r="G489" s="6"/>
      <c r="H489" s="6"/>
      <c r="I489" s="6"/>
      <c r="J489" s="138"/>
    </row>
    <row r="490" spans="1:10">
      <c r="A490" s="9"/>
      <c r="B490" s="9"/>
      <c r="C490" s="6"/>
      <c r="D490" s="6"/>
      <c r="E490" s="9"/>
      <c r="F490" s="6"/>
      <c r="G490" s="6"/>
      <c r="H490" s="6"/>
      <c r="I490" s="6"/>
      <c r="J490" s="138"/>
    </row>
    <row r="491" spans="1:10">
      <c r="A491" s="9"/>
      <c r="B491" s="9"/>
      <c r="C491" s="6"/>
      <c r="D491" s="6"/>
      <c r="E491" s="9"/>
      <c r="F491" s="6"/>
      <c r="G491" s="6"/>
      <c r="H491" s="6"/>
      <c r="I491" s="6"/>
      <c r="J491" s="138"/>
    </row>
    <row r="492" spans="1:10">
      <c r="A492" s="9"/>
      <c r="B492" s="9"/>
      <c r="C492" s="6"/>
      <c r="D492" s="6"/>
      <c r="E492" s="9"/>
      <c r="F492" s="6"/>
      <c r="G492" s="6"/>
      <c r="H492" s="6"/>
      <c r="I492" s="6"/>
      <c r="J492" s="138"/>
    </row>
    <row r="493" spans="1:10">
      <c r="A493" s="9"/>
      <c r="B493" s="9"/>
      <c r="C493" s="6"/>
      <c r="D493" s="6"/>
      <c r="E493" s="9"/>
      <c r="F493" s="6"/>
      <c r="G493" s="6"/>
      <c r="H493" s="6"/>
      <c r="I493" s="6"/>
      <c r="J493" s="138"/>
    </row>
    <row r="494" spans="1:10">
      <c r="A494" s="9"/>
      <c r="B494" s="9"/>
      <c r="C494" s="6"/>
      <c r="D494" s="6"/>
      <c r="E494" s="9"/>
      <c r="F494" s="6"/>
      <c r="G494" s="6"/>
      <c r="H494" s="6"/>
      <c r="I494" s="6"/>
      <c r="J494" s="138"/>
    </row>
    <row r="495" spans="1:10">
      <c r="A495" s="9"/>
      <c r="B495" s="9"/>
      <c r="C495" s="6"/>
      <c r="D495" s="6"/>
      <c r="E495" s="9"/>
      <c r="F495" s="6"/>
      <c r="G495" s="6"/>
      <c r="H495" s="6"/>
      <c r="I495" s="6"/>
      <c r="J495" s="138"/>
    </row>
    <row r="496" spans="1:10">
      <c r="A496" s="9"/>
      <c r="B496" s="9"/>
      <c r="C496" s="6"/>
      <c r="D496" s="6"/>
      <c r="E496" s="9"/>
      <c r="F496" s="6"/>
      <c r="G496" s="6"/>
      <c r="H496" s="6"/>
      <c r="I496" s="6"/>
      <c r="J496" s="138"/>
    </row>
    <row r="497" spans="1:10">
      <c r="A497" s="9"/>
      <c r="B497" s="9"/>
      <c r="C497" s="6"/>
      <c r="D497" s="6"/>
      <c r="E497" s="9"/>
      <c r="F497" s="6"/>
      <c r="G497" s="6"/>
      <c r="H497" s="6"/>
      <c r="I497" s="6"/>
      <c r="J497" s="138"/>
    </row>
    <row r="498" spans="1:10">
      <c r="A498" s="9"/>
      <c r="B498" s="9"/>
      <c r="C498" s="6"/>
      <c r="D498" s="6"/>
      <c r="E498" s="9"/>
      <c r="F498" s="6"/>
      <c r="G498" s="6"/>
      <c r="H498" s="6"/>
      <c r="I498" s="6"/>
      <c r="J498" s="138"/>
    </row>
    <row r="499" spans="1:10">
      <c r="A499" s="9"/>
      <c r="B499" s="9"/>
      <c r="C499" s="6"/>
      <c r="D499" s="6"/>
      <c r="E499" s="9"/>
      <c r="F499" s="6"/>
      <c r="G499" s="6"/>
      <c r="H499" s="6"/>
      <c r="I499" s="6"/>
      <c r="J499" s="138"/>
    </row>
    <row r="500" spans="1:10">
      <c r="A500" s="9"/>
      <c r="B500" s="9"/>
      <c r="C500" s="6"/>
      <c r="D500" s="6"/>
      <c r="E500" s="9"/>
      <c r="F500" s="6"/>
      <c r="G500" s="6"/>
      <c r="H500" s="6"/>
      <c r="I500" s="6"/>
      <c r="J500" s="138"/>
    </row>
    <row r="501" spans="1:10">
      <c r="A501" s="9"/>
      <c r="B501" s="9"/>
      <c r="C501" s="6"/>
      <c r="D501" s="6"/>
      <c r="E501" s="9"/>
      <c r="F501" s="6"/>
      <c r="G501" s="6"/>
      <c r="H501" s="6"/>
      <c r="I501" s="6"/>
      <c r="J501" s="138"/>
    </row>
    <row r="502" spans="1:10">
      <c r="A502" s="9"/>
      <c r="B502" s="9"/>
      <c r="C502" s="6"/>
      <c r="D502" s="6"/>
      <c r="E502" s="9"/>
      <c r="F502" s="6"/>
      <c r="G502" s="6"/>
      <c r="H502" s="6"/>
      <c r="I502" s="6"/>
      <c r="J502" s="138"/>
    </row>
    <row r="503" spans="1:10">
      <c r="A503" s="9"/>
      <c r="B503" s="9"/>
      <c r="C503" s="6"/>
      <c r="D503" s="6"/>
      <c r="E503" s="9"/>
      <c r="F503" s="6"/>
      <c r="G503" s="6"/>
      <c r="H503" s="6"/>
      <c r="I503" s="6"/>
      <c r="J503" s="138"/>
    </row>
    <row r="504" spans="1:10">
      <c r="A504" s="9"/>
      <c r="B504" s="9"/>
      <c r="C504" s="6"/>
      <c r="D504" s="6"/>
      <c r="E504" s="9"/>
      <c r="F504" s="6"/>
      <c r="G504" s="6"/>
      <c r="H504" s="6"/>
      <c r="I504" s="6"/>
      <c r="J504" s="138"/>
    </row>
    <row r="505" spans="1:10">
      <c r="A505" s="9"/>
      <c r="B505" s="9"/>
      <c r="C505" s="6"/>
      <c r="D505" s="6"/>
      <c r="E505" s="9"/>
      <c r="F505" s="6"/>
      <c r="G505" s="6"/>
      <c r="H505" s="6"/>
      <c r="I505" s="6"/>
      <c r="J505" s="138"/>
    </row>
    <row r="506" spans="1:10">
      <c r="A506" s="9"/>
      <c r="B506" s="9"/>
      <c r="C506" s="6"/>
      <c r="D506" s="6"/>
      <c r="E506" s="9"/>
      <c r="F506" s="6"/>
      <c r="G506" s="6"/>
      <c r="H506" s="6"/>
      <c r="I506" s="6"/>
      <c r="J506" s="138"/>
    </row>
    <row r="507" spans="1:10">
      <c r="A507" s="9"/>
      <c r="B507" s="9"/>
      <c r="C507" s="6"/>
      <c r="D507" s="6"/>
      <c r="E507" s="9"/>
      <c r="F507" s="6"/>
      <c r="G507" s="6"/>
      <c r="H507" s="6"/>
      <c r="I507" s="6"/>
      <c r="J507" s="138"/>
    </row>
    <row r="508" spans="1:10">
      <c r="A508" s="9"/>
      <c r="B508" s="9"/>
      <c r="C508" s="6"/>
      <c r="D508" s="6"/>
      <c r="E508" s="9"/>
      <c r="F508" s="6"/>
      <c r="G508" s="6"/>
      <c r="H508" s="6"/>
      <c r="I508" s="6"/>
      <c r="J508" s="138"/>
    </row>
    <row r="509" spans="1:10">
      <c r="A509" s="9"/>
      <c r="B509" s="9"/>
      <c r="C509" s="6"/>
      <c r="D509" s="6"/>
      <c r="E509" s="9"/>
      <c r="F509" s="6"/>
      <c r="G509" s="6"/>
      <c r="H509" s="6"/>
      <c r="I509" s="6"/>
      <c r="J509" s="138"/>
    </row>
    <row r="510" spans="1:10">
      <c r="A510" s="9"/>
      <c r="B510" s="9"/>
      <c r="C510" s="6"/>
      <c r="D510" s="6"/>
      <c r="E510" s="9"/>
      <c r="F510" s="6"/>
      <c r="G510" s="6"/>
      <c r="H510" s="6"/>
      <c r="I510" s="6"/>
      <c r="J510" s="138"/>
    </row>
    <row r="511" spans="1:10">
      <c r="A511" s="9"/>
      <c r="B511" s="9"/>
      <c r="C511" s="6"/>
      <c r="D511" s="6"/>
      <c r="E511" s="9"/>
      <c r="F511" s="6"/>
      <c r="G511" s="6"/>
      <c r="H511" s="6"/>
      <c r="I511" s="6"/>
      <c r="J511" s="138"/>
    </row>
    <row r="512" spans="1:10">
      <c r="A512" s="9"/>
      <c r="B512" s="9"/>
      <c r="C512" s="6"/>
      <c r="D512" s="6"/>
      <c r="E512" s="9"/>
      <c r="F512" s="6"/>
      <c r="G512" s="6"/>
      <c r="H512" s="6"/>
      <c r="I512" s="6"/>
      <c r="J512" s="138"/>
    </row>
    <row r="513" spans="1:10">
      <c r="A513" s="9"/>
      <c r="B513" s="9"/>
      <c r="C513" s="6"/>
      <c r="D513" s="6"/>
      <c r="E513" s="9"/>
      <c r="F513" s="6"/>
      <c r="G513" s="6"/>
      <c r="H513" s="6"/>
      <c r="I513" s="6"/>
      <c r="J513" s="138"/>
    </row>
    <row r="514" spans="1:10">
      <c r="A514" s="9"/>
      <c r="B514" s="9"/>
      <c r="C514" s="6"/>
      <c r="D514" s="6"/>
      <c r="E514" s="9"/>
      <c r="F514" s="6"/>
      <c r="G514" s="6"/>
      <c r="H514" s="6"/>
      <c r="I514" s="6"/>
      <c r="J514" s="138"/>
    </row>
    <row r="515" spans="1:10">
      <c r="A515" s="9"/>
      <c r="B515" s="9"/>
      <c r="C515" s="6"/>
      <c r="D515" s="6"/>
      <c r="E515" s="9"/>
      <c r="F515" s="6"/>
      <c r="G515" s="6"/>
      <c r="H515" s="6"/>
      <c r="I515" s="6"/>
      <c r="J515" s="138"/>
    </row>
    <row r="516" spans="1:10">
      <c r="A516" s="9"/>
      <c r="B516" s="9"/>
      <c r="C516" s="6"/>
      <c r="D516" s="6"/>
      <c r="E516" s="9"/>
      <c r="F516" s="6"/>
      <c r="G516" s="6"/>
      <c r="H516" s="6"/>
      <c r="I516" s="6"/>
      <c r="J516" s="138"/>
    </row>
    <row r="517" spans="1:10">
      <c r="A517" s="9"/>
      <c r="B517" s="9"/>
      <c r="C517" s="6"/>
      <c r="D517" s="6"/>
      <c r="E517" s="9"/>
      <c r="F517" s="6"/>
      <c r="G517" s="6"/>
      <c r="H517" s="6"/>
      <c r="I517" s="6"/>
      <c r="J517" s="138"/>
    </row>
    <row r="518" spans="1:10">
      <c r="A518" s="9"/>
      <c r="B518" s="9"/>
      <c r="C518" s="6"/>
      <c r="D518" s="6"/>
      <c r="E518" s="9"/>
      <c r="F518" s="6"/>
      <c r="G518" s="6"/>
      <c r="H518" s="6"/>
      <c r="I518" s="6"/>
      <c r="J518" s="138"/>
    </row>
    <row r="519" spans="1:10">
      <c r="A519" s="9"/>
      <c r="B519" s="9"/>
      <c r="C519" s="6"/>
      <c r="D519" s="6"/>
      <c r="E519" s="9"/>
      <c r="F519" s="6"/>
      <c r="G519" s="6"/>
      <c r="H519" s="6"/>
      <c r="I519" s="6"/>
      <c r="J519" s="138"/>
    </row>
    <row r="520" spans="1:10">
      <c r="A520" s="9"/>
      <c r="B520" s="9"/>
      <c r="C520" s="6"/>
      <c r="D520" s="6"/>
      <c r="E520" s="9"/>
      <c r="F520" s="6"/>
      <c r="G520" s="6"/>
      <c r="H520" s="6"/>
      <c r="I520" s="6"/>
      <c r="J520" s="138"/>
    </row>
    <row r="521" spans="1:10">
      <c r="A521" s="9"/>
      <c r="B521" s="9"/>
      <c r="C521" s="6"/>
      <c r="D521" s="6"/>
      <c r="E521" s="9"/>
      <c r="F521" s="6"/>
      <c r="G521" s="6"/>
      <c r="H521" s="6"/>
      <c r="I521" s="6"/>
      <c r="J521" s="138"/>
    </row>
    <row r="522" spans="1:10">
      <c r="A522" s="9"/>
      <c r="B522" s="9"/>
      <c r="C522" s="6"/>
      <c r="D522" s="6"/>
      <c r="E522" s="9"/>
      <c r="F522" s="6"/>
      <c r="G522" s="6"/>
      <c r="H522" s="6"/>
      <c r="I522" s="6"/>
      <c r="J522" s="138"/>
    </row>
    <row r="523" spans="1:10">
      <c r="A523" s="9"/>
      <c r="B523" s="9"/>
      <c r="C523" s="6"/>
      <c r="D523" s="6"/>
      <c r="E523" s="9"/>
      <c r="F523" s="6"/>
      <c r="G523" s="6"/>
      <c r="H523" s="6"/>
      <c r="I523" s="6"/>
      <c r="J523" s="138"/>
    </row>
    <row r="524" spans="1:10">
      <c r="A524" s="9"/>
      <c r="B524" s="9"/>
      <c r="C524" s="6"/>
      <c r="D524" s="6"/>
      <c r="E524" s="9"/>
      <c r="F524" s="6"/>
      <c r="G524" s="6"/>
      <c r="H524" s="6"/>
      <c r="I524" s="6"/>
      <c r="J524" s="138"/>
    </row>
    <row r="525" spans="1:10">
      <c r="A525" s="9"/>
      <c r="B525" s="9"/>
      <c r="C525" s="6"/>
      <c r="D525" s="6"/>
      <c r="E525" s="9"/>
      <c r="F525" s="6"/>
      <c r="G525" s="6"/>
      <c r="H525" s="6"/>
      <c r="I525" s="6"/>
      <c r="J525" s="138"/>
    </row>
    <row r="526" spans="1:10">
      <c r="A526" s="9"/>
      <c r="B526" s="9"/>
      <c r="C526" s="6"/>
      <c r="D526" s="6"/>
      <c r="E526" s="9"/>
      <c r="F526" s="6"/>
      <c r="G526" s="6"/>
      <c r="H526" s="6"/>
      <c r="I526" s="6"/>
      <c r="J526" s="138"/>
    </row>
    <row r="527" spans="1:10">
      <c r="A527" s="9"/>
      <c r="B527" s="9"/>
      <c r="C527" s="6"/>
      <c r="D527" s="6"/>
      <c r="E527" s="9"/>
      <c r="F527" s="6"/>
      <c r="G527" s="6"/>
      <c r="H527" s="6"/>
      <c r="I527" s="6"/>
      <c r="J527" s="138"/>
    </row>
    <row r="528" spans="1:10">
      <c r="A528" s="9"/>
      <c r="B528" s="9"/>
      <c r="C528" s="6"/>
      <c r="D528" s="6"/>
      <c r="E528" s="9"/>
      <c r="F528" s="6"/>
      <c r="G528" s="6"/>
      <c r="H528" s="6"/>
      <c r="I528" s="6"/>
      <c r="J528" s="138"/>
    </row>
    <row r="529" spans="1:10">
      <c r="A529" s="9"/>
      <c r="B529" s="9"/>
      <c r="C529" s="6"/>
      <c r="D529" s="6"/>
      <c r="E529" s="9"/>
      <c r="F529" s="6"/>
      <c r="G529" s="6"/>
      <c r="H529" s="6"/>
      <c r="I529" s="6"/>
      <c r="J529" s="138"/>
    </row>
    <row r="530" spans="1:10">
      <c r="A530" s="9"/>
      <c r="B530" s="9"/>
      <c r="C530" s="6"/>
      <c r="D530" s="6"/>
      <c r="E530" s="9"/>
      <c r="F530" s="6"/>
      <c r="G530" s="6"/>
      <c r="H530" s="6"/>
      <c r="I530" s="6"/>
      <c r="J530" s="138"/>
    </row>
    <row r="531" spans="1:10">
      <c r="A531" s="9"/>
      <c r="B531" s="9"/>
      <c r="C531" s="6"/>
      <c r="D531" s="6"/>
      <c r="E531" s="9"/>
      <c r="F531" s="6"/>
      <c r="G531" s="6"/>
      <c r="H531" s="6"/>
      <c r="I531" s="6"/>
      <c r="J531" s="138"/>
    </row>
    <row r="532" spans="1:10">
      <c r="A532" s="9"/>
      <c r="B532" s="9"/>
      <c r="C532" s="6"/>
      <c r="D532" s="6"/>
      <c r="E532" s="9"/>
      <c r="F532" s="6"/>
      <c r="G532" s="6"/>
      <c r="H532" s="6"/>
      <c r="I532" s="6"/>
      <c r="J532" s="138"/>
    </row>
    <row r="533" spans="1:10">
      <c r="A533" s="9"/>
      <c r="B533" s="9"/>
      <c r="C533" s="6"/>
      <c r="D533" s="6"/>
      <c r="E533" s="9"/>
      <c r="F533" s="6"/>
      <c r="G533" s="6"/>
      <c r="H533" s="6"/>
      <c r="I533" s="6"/>
      <c r="J533" s="138"/>
    </row>
    <row r="534" spans="1:10">
      <c r="A534" s="9"/>
      <c r="B534" s="9"/>
      <c r="C534" s="6"/>
      <c r="D534" s="6"/>
      <c r="E534" s="9"/>
      <c r="F534" s="6"/>
      <c r="G534" s="6"/>
      <c r="H534" s="6"/>
      <c r="I534" s="6"/>
      <c r="J534" s="138"/>
    </row>
    <row r="535" spans="1:10">
      <c r="A535" s="9"/>
      <c r="B535" s="9"/>
      <c r="C535" s="6"/>
      <c r="D535" s="6"/>
      <c r="E535" s="9"/>
      <c r="F535" s="6"/>
      <c r="G535" s="6"/>
      <c r="H535" s="6"/>
      <c r="I535" s="6"/>
      <c r="J535" s="138"/>
    </row>
    <row r="536" spans="1:10">
      <c r="A536" s="9"/>
      <c r="B536" s="9"/>
      <c r="C536" s="6"/>
      <c r="D536" s="6"/>
      <c r="E536" s="9"/>
      <c r="F536" s="6"/>
      <c r="G536" s="6"/>
      <c r="H536" s="6"/>
      <c r="I536" s="6"/>
      <c r="J536" s="138"/>
    </row>
    <row r="537" spans="1:10">
      <c r="A537" s="9"/>
      <c r="B537" s="9"/>
      <c r="C537" s="6"/>
      <c r="D537" s="6"/>
      <c r="E537" s="9"/>
      <c r="F537" s="6"/>
      <c r="G537" s="6"/>
      <c r="H537" s="6"/>
      <c r="I537" s="6"/>
      <c r="J537" s="138"/>
    </row>
    <row r="538" spans="1:10">
      <c r="A538" s="9"/>
      <c r="B538" s="9"/>
      <c r="C538" s="6"/>
      <c r="D538" s="6"/>
      <c r="E538" s="9"/>
      <c r="F538" s="6"/>
      <c r="G538" s="6"/>
      <c r="H538" s="6"/>
      <c r="I538" s="6"/>
      <c r="J538" s="138"/>
    </row>
    <row r="539" spans="1:10">
      <c r="A539" s="9"/>
      <c r="B539" s="9"/>
      <c r="C539" s="6"/>
      <c r="D539" s="6"/>
      <c r="E539" s="9"/>
      <c r="F539" s="6"/>
      <c r="G539" s="6"/>
      <c r="H539" s="6"/>
      <c r="I539" s="6"/>
      <c r="J539" s="138"/>
    </row>
    <row r="540" spans="1:10">
      <c r="A540" s="9"/>
      <c r="B540" s="9"/>
      <c r="C540" s="6"/>
      <c r="D540" s="6"/>
      <c r="E540" s="9"/>
      <c r="F540" s="6"/>
      <c r="G540" s="6"/>
      <c r="H540" s="6"/>
      <c r="I540" s="6"/>
      <c r="J540" s="138"/>
    </row>
    <row r="541" spans="1:10">
      <c r="A541" s="9"/>
      <c r="B541" s="9"/>
      <c r="C541" s="6"/>
      <c r="D541" s="6"/>
      <c r="E541" s="9"/>
      <c r="F541" s="6"/>
      <c r="G541" s="6"/>
      <c r="H541" s="6"/>
      <c r="I541" s="6"/>
      <c r="J541" s="138"/>
    </row>
    <row r="542" spans="1:10">
      <c r="A542" s="9"/>
      <c r="B542" s="9"/>
      <c r="C542" s="6"/>
      <c r="D542" s="6"/>
      <c r="E542" s="9"/>
      <c r="F542" s="6"/>
      <c r="G542" s="6"/>
      <c r="H542" s="6"/>
      <c r="I542" s="6"/>
      <c r="J542" s="138"/>
    </row>
    <row r="543" spans="1:10">
      <c r="A543" s="9"/>
      <c r="B543" s="9"/>
      <c r="C543" s="6"/>
      <c r="D543" s="6"/>
      <c r="E543" s="9"/>
      <c r="F543" s="6"/>
      <c r="G543" s="6"/>
      <c r="H543" s="6"/>
      <c r="I543" s="6"/>
      <c r="J543" s="138"/>
    </row>
    <row r="544" spans="1:10">
      <c r="A544" s="9"/>
      <c r="B544" s="9"/>
      <c r="C544" s="6"/>
      <c r="D544" s="6"/>
      <c r="E544" s="9"/>
      <c r="F544" s="6"/>
      <c r="G544" s="6"/>
      <c r="H544" s="6"/>
      <c r="I544" s="6"/>
      <c r="J544" s="138"/>
    </row>
    <row r="545" spans="1:10">
      <c r="A545" s="9"/>
      <c r="B545" s="9"/>
      <c r="C545" s="6"/>
      <c r="D545" s="6"/>
      <c r="E545" s="9"/>
      <c r="F545" s="6"/>
      <c r="G545" s="6"/>
      <c r="H545" s="6"/>
      <c r="I545" s="6"/>
      <c r="J545" s="138"/>
    </row>
    <row r="546" spans="1:10">
      <c r="A546" s="9"/>
      <c r="B546" s="9"/>
      <c r="C546" s="6"/>
      <c r="D546" s="6"/>
      <c r="E546" s="9"/>
      <c r="F546" s="6"/>
      <c r="G546" s="6"/>
      <c r="H546" s="6"/>
      <c r="I546" s="6"/>
      <c r="J546" s="138"/>
    </row>
    <row r="547" spans="1:10">
      <c r="A547" s="9"/>
      <c r="B547" s="9"/>
      <c r="C547" s="6"/>
      <c r="D547" s="6"/>
      <c r="E547" s="9"/>
      <c r="F547" s="6"/>
      <c r="G547" s="6"/>
      <c r="H547" s="6"/>
      <c r="I547" s="6"/>
      <c r="J547" s="138"/>
    </row>
    <row r="548" spans="1:10">
      <c r="A548" s="9"/>
      <c r="B548" s="9"/>
      <c r="C548" s="6"/>
      <c r="D548" s="6"/>
      <c r="E548" s="9"/>
      <c r="F548" s="6"/>
      <c r="G548" s="6"/>
      <c r="H548" s="6"/>
      <c r="I548" s="6"/>
      <c r="J548" s="138"/>
    </row>
    <row r="549" spans="1:10">
      <c r="A549" s="9"/>
      <c r="B549" s="9"/>
      <c r="C549" s="6"/>
      <c r="D549" s="6"/>
      <c r="E549" s="9"/>
      <c r="F549" s="6"/>
      <c r="G549" s="6"/>
      <c r="H549" s="6"/>
      <c r="I549" s="6"/>
      <c r="J549" s="138"/>
    </row>
    <row r="550" spans="1:10">
      <c r="A550" s="9"/>
      <c r="B550" s="9"/>
      <c r="C550" s="6"/>
      <c r="D550" s="6"/>
      <c r="E550" s="9"/>
      <c r="F550" s="6"/>
      <c r="G550" s="6"/>
      <c r="H550" s="6"/>
      <c r="I550" s="6"/>
      <c r="J550" s="138"/>
    </row>
    <row r="551" spans="1:10">
      <c r="A551" s="9"/>
      <c r="B551" s="9"/>
      <c r="C551" s="6"/>
      <c r="D551" s="6"/>
      <c r="E551" s="9"/>
      <c r="F551" s="6"/>
      <c r="G551" s="6"/>
      <c r="H551" s="6"/>
      <c r="I551" s="6"/>
      <c r="J551" s="138"/>
    </row>
    <row r="552" spans="1:10">
      <c r="A552" s="9"/>
      <c r="B552" s="9"/>
      <c r="C552" s="6"/>
      <c r="D552" s="6"/>
      <c r="E552" s="9"/>
      <c r="F552" s="6"/>
      <c r="G552" s="6"/>
      <c r="H552" s="6"/>
      <c r="I552" s="6"/>
      <c r="J552" s="138"/>
    </row>
    <row r="553" spans="1:10">
      <c r="A553" s="9"/>
      <c r="B553" s="9"/>
      <c r="C553" s="6"/>
      <c r="D553" s="6"/>
      <c r="E553" s="9"/>
      <c r="F553" s="6"/>
      <c r="G553" s="6"/>
      <c r="H553" s="6"/>
      <c r="I553" s="6"/>
      <c r="J553" s="138"/>
    </row>
    <row r="554" spans="1:10">
      <c r="A554" s="9"/>
      <c r="B554" s="9"/>
      <c r="C554" s="6"/>
      <c r="D554" s="6"/>
      <c r="E554" s="9"/>
      <c r="F554" s="6"/>
      <c r="G554" s="6"/>
      <c r="H554" s="6"/>
      <c r="I554" s="6"/>
      <c r="J554" s="138"/>
    </row>
    <row r="555" spans="1:10">
      <c r="A555" s="9"/>
      <c r="B555" s="9"/>
      <c r="C555" s="6"/>
      <c r="D555" s="6"/>
      <c r="E555" s="9"/>
      <c r="F555" s="6"/>
      <c r="G555" s="6"/>
      <c r="H555" s="6"/>
      <c r="I555" s="6"/>
      <c r="J555" s="138"/>
    </row>
    <row r="556" spans="1:10">
      <c r="A556" s="9"/>
      <c r="B556" s="9"/>
      <c r="C556" s="6"/>
      <c r="D556" s="6"/>
      <c r="E556" s="9"/>
      <c r="F556" s="6"/>
      <c r="G556" s="6"/>
      <c r="H556" s="6"/>
      <c r="I556" s="6"/>
      <c r="J556" s="138"/>
    </row>
    <row r="557" spans="1:10">
      <c r="A557" s="9"/>
      <c r="B557" s="9"/>
      <c r="C557" s="6"/>
      <c r="D557" s="6"/>
      <c r="E557" s="9"/>
      <c r="F557" s="6"/>
      <c r="G557" s="6"/>
      <c r="H557" s="6"/>
      <c r="I557" s="6"/>
      <c r="J557" s="138"/>
    </row>
    <row r="558" spans="1:10">
      <c r="A558" s="9"/>
      <c r="B558" s="9"/>
      <c r="C558" s="6"/>
      <c r="D558" s="6"/>
      <c r="E558" s="9"/>
      <c r="F558" s="6"/>
      <c r="G558" s="6"/>
      <c r="H558" s="6"/>
      <c r="I558" s="6"/>
      <c r="J558" s="138"/>
    </row>
    <row r="559" spans="1:10">
      <c r="A559" s="9"/>
      <c r="B559" s="9"/>
      <c r="C559" s="6"/>
      <c r="D559" s="6"/>
      <c r="E559" s="9"/>
      <c r="F559" s="6"/>
      <c r="G559" s="6"/>
      <c r="H559" s="6"/>
      <c r="I559" s="6"/>
      <c r="J559" s="138"/>
    </row>
    <row r="560" spans="1:10">
      <c r="A560" s="9"/>
      <c r="B560" s="9"/>
      <c r="C560" s="6"/>
      <c r="D560" s="6"/>
      <c r="E560" s="9"/>
      <c r="F560" s="6"/>
      <c r="G560" s="6"/>
      <c r="H560" s="6"/>
      <c r="I560" s="6"/>
      <c r="J560" s="138"/>
    </row>
    <row r="561" spans="1:10">
      <c r="A561" s="9"/>
      <c r="B561" s="9"/>
      <c r="C561" s="6"/>
      <c r="D561" s="6"/>
      <c r="E561" s="9"/>
      <c r="F561" s="6"/>
      <c r="G561" s="6"/>
      <c r="H561" s="6"/>
      <c r="I561" s="6"/>
      <c r="J561" s="138"/>
    </row>
    <row r="562" spans="1:10">
      <c r="A562" s="9"/>
      <c r="B562" s="9"/>
      <c r="C562" s="6"/>
      <c r="D562" s="6"/>
      <c r="E562" s="9"/>
      <c r="F562" s="6"/>
      <c r="G562" s="6"/>
      <c r="H562" s="6"/>
      <c r="I562" s="6"/>
      <c r="J562" s="138"/>
    </row>
    <row r="563" spans="1:10">
      <c r="A563" s="9"/>
      <c r="B563" s="9"/>
      <c r="C563" s="6"/>
      <c r="D563" s="6"/>
      <c r="E563" s="9"/>
      <c r="F563" s="6"/>
      <c r="G563" s="6"/>
      <c r="H563" s="6"/>
      <c r="I563" s="6"/>
      <c r="J563" s="138"/>
    </row>
    <row r="564" spans="1:10">
      <c r="A564" s="9"/>
      <c r="B564" s="9"/>
      <c r="C564" s="6"/>
      <c r="D564" s="6"/>
      <c r="E564" s="9"/>
      <c r="F564" s="6"/>
      <c r="G564" s="6"/>
      <c r="H564" s="6"/>
      <c r="I564" s="6"/>
      <c r="J564" s="138"/>
    </row>
    <row r="565" spans="1:10">
      <c r="A565" s="9"/>
      <c r="B565" s="9"/>
      <c r="C565" s="6"/>
      <c r="D565" s="6"/>
      <c r="E565" s="9"/>
      <c r="F565" s="6"/>
      <c r="G565" s="6"/>
      <c r="H565" s="6"/>
      <c r="I565" s="6"/>
      <c r="J565" s="138"/>
    </row>
    <row r="566" spans="1:10">
      <c r="A566" s="9"/>
      <c r="B566" s="9"/>
      <c r="C566" s="6"/>
      <c r="D566" s="6"/>
      <c r="E566" s="9"/>
      <c r="F566" s="6"/>
      <c r="G566" s="6"/>
      <c r="H566" s="6"/>
      <c r="I566" s="6"/>
      <c r="J566" s="138"/>
    </row>
    <row r="567" spans="1:10">
      <c r="A567" s="9"/>
      <c r="B567" s="9"/>
      <c r="C567" s="6"/>
      <c r="D567" s="6"/>
      <c r="E567" s="9"/>
      <c r="F567" s="6"/>
      <c r="G567" s="6"/>
      <c r="H567" s="6"/>
      <c r="I567" s="6"/>
      <c r="J567" s="138"/>
    </row>
    <row r="568" spans="1:10">
      <c r="A568" s="9"/>
      <c r="B568" s="9"/>
      <c r="C568" s="6"/>
      <c r="D568" s="6"/>
      <c r="E568" s="9"/>
      <c r="F568" s="6"/>
      <c r="G568" s="6"/>
      <c r="H568" s="6"/>
      <c r="I568" s="6"/>
      <c r="J568" s="138"/>
    </row>
    <row r="569" spans="1:10">
      <c r="A569" s="9"/>
      <c r="B569" s="9"/>
      <c r="C569" s="6"/>
      <c r="D569" s="6"/>
      <c r="E569" s="9"/>
      <c r="F569" s="6"/>
      <c r="G569" s="6"/>
      <c r="H569" s="6"/>
      <c r="I569" s="6"/>
      <c r="J569" s="138"/>
    </row>
    <row r="570" spans="1:10">
      <c r="A570" s="9"/>
      <c r="B570" s="9"/>
      <c r="C570" s="6"/>
      <c r="D570" s="6"/>
      <c r="E570" s="9"/>
      <c r="F570" s="6"/>
      <c r="G570" s="6"/>
      <c r="H570" s="6"/>
      <c r="I570" s="6"/>
      <c r="J570" s="138"/>
    </row>
    <row r="571" spans="1:10">
      <c r="A571" s="9"/>
      <c r="B571" s="9"/>
      <c r="C571" s="6"/>
      <c r="D571" s="6"/>
      <c r="E571" s="9"/>
      <c r="F571" s="6"/>
      <c r="G571" s="6"/>
      <c r="H571" s="6"/>
      <c r="I571" s="6"/>
      <c r="J571" s="138"/>
    </row>
    <row r="572" spans="1:10">
      <c r="A572" s="9"/>
      <c r="B572" s="9"/>
      <c r="C572" s="6"/>
      <c r="D572" s="6"/>
      <c r="E572" s="9"/>
      <c r="F572" s="6"/>
      <c r="G572" s="6"/>
      <c r="H572" s="6"/>
      <c r="I572" s="6"/>
      <c r="J572" s="138"/>
    </row>
    <row r="573" spans="1:10">
      <c r="A573" s="9"/>
      <c r="B573" s="9"/>
      <c r="C573" s="6"/>
      <c r="D573" s="6"/>
      <c r="E573" s="9"/>
      <c r="F573" s="6"/>
      <c r="G573" s="6"/>
      <c r="H573" s="6"/>
      <c r="I573" s="6"/>
      <c r="J573" s="138"/>
    </row>
    <row r="574" spans="1:10">
      <c r="A574" s="9"/>
      <c r="B574" s="9"/>
      <c r="C574" s="6"/>
      <c r="D574" s="6"/>
      <c r="E574" s="9"/>
      <c r="F574" s="6"/>
      <c r="G574" s="6"/>
      <c r="H574" s="6"/>
      <c r="I574" s="6"/>
      <c r="J574" s="138"/>
    </row>
    <row r="575" spans="1:10">
      <c r="A575" s="9"/>
      <c r="B575" s="9"/>
      <c r="C575" s="6"/>
      <c r="D575" s="6"/>
      <c r="E575" s="9"/>
      <c r="F575" s="6"/>
      <c r="G575" s="6"/>
      <c r="H575" s="6"/>
      <c r="I575" s="6"/>
      <c r="J575" s="138"/>
    </row>
    <row r="576" spans="1:10">
      <c r="A576" s="9"/>
      <c r="B576" s="9"/>
      <c r="C576" s="6"/>
      <c r="D576" s="6"/>
      <c r="E576" s="9"/>
      <c r="F576" s="6"/>
      <c r="G576" s="6"/>
      <c r="H576" s="6"/>
      <c r="I576" s="6"/>
      <c r="J576" s="138"/>
    </row>
    <row r="577" spans="1:10">
      <c r="A577" s="9"/>
      <c r="B577" s="9"/>
      <c r="C577" s="6"/>
      <c r="D577" s="6"/>
      <c r="E577" s="9"/>
      <c r="F577" s="6"/>
      <c r="G577" s="6"/>
      <c r="H577" s="6"/>
      <c r="I577" s="6"/>
      <c r="J577" s="138"/>
    </row>
    <row r="578" spans="1:10">
      <c r="A578" s="9"/>
      <c r="B578" s="9"/>
      <c r="C578" s="6"/>
      <c r="D578" s="6"/>
      <c r="E578" s="9"/>
      <c r="F578" s="6"/>
      <c r="G578" s="6"/>
      <c r="H578" s="6"/>
      <c r="I578" s="6"/>
      <c r="J578" s="138"/>
    </row>
    <row r="579" spans="1:10">
      <c r="A579" s="9"/>
      <c r="B579" s="9"/>
      <c r="C579" s="6"/>
      <c r="D579" s="6"/>
      <c r="E579" s="9"/>
      <c r="F579" s="6"/>
      <c r="G579" s="6"/>
      <c r="H579" s="6"/>
      <c r="I579" s="6"/>
      <c r="J579" s="138"/>
    </row>
    <row r="580" spans="1:10">
      <c r="A580" s="9"/>
      <c r="B580" s="9"/>
      <c r="C580" s="6"/>
      <c r="D580" s="6"/>
      <c r="E580" s="9"/>
      <c r="F580" s="6"/>
      <c r="G580" s="6"/>
      <c r="H580" s="6"/>
      <c r="I580" s="6"/>
      <c r="J580" s="138"/>
    </row>
    <row r="581" spans="1:10">
      <c r="A581" s="9"/>
      <c r="B581" s="9"/>
      <c r="C581" s="6"/>
      <c r="D581" s="6"/>
      <c r="E581" s="9"/>
      <c r="F581" s="6"/>
      <c r="G581" s="6"/>
      <c r="H581" s="6"/>
      <c r="I581" s="6"/>
      <c r="J581" s="138"/>
    </row>
    <row r="582" spans="1:10">
      <c r="A582" s="9"/>
      <c r="B582" s="9"/>
      <c r="C582" s="6"/>
      <c r="D582" s="6"/>
      <c r="E582" s="9"/>
      <c r="F582" s="6"/>
      <c r="G582" s="6"/>
      <c r="H582" s="6"/>
      <c r="I582" s="6"/>
      <c r="J582" s="138"/>
    </row>
    <row r="583" spans="1:10">
      <c r="A583" s="9"/>
      <c r="B583" s="9"/>
      <c r="C583" s="6"/>
      <c r="D583" s="6"/>
      <c r="E583" s="9"/>
      <c r="F583" s="6"/>
      <c r="G583" s="6"/>
      <c r="H583" s="6"/>
      <c r="I583" s="6"/>
      <c r="J583" s="138"/>
    </row>
    <row r="584" spans="1:10">
      <c r="A584" s="9"/>
      <c r="B584" s="9"/>
      <c r="C584" s="6"/>
      <c r="D584" s="6"/>
      <c r="E584" s="9"/>
      <c r="F584" s="6"/>
      <c r="G584" s="6"/>
      <c r="H584" s="6"/>
      <c r="I584" s="6"/>
      <c r="J584" s="138"/>
    </row>
    <row r="585" spans="1:10">
      <c r="A585" s="9"/>
      <c r="B585" s="9"/>
      <c r="C585" s="6"/>
      <c r="D585" s="6"/>
      <c r="E585" s="9"/>
      <c r="F585" s="6"/>
      <c r="G585" s="6"/>
      <c r="H585" s="6"/>
      <c r="I585" s="6"/>
      <c r="J585" s="138"/>
    </row>
    <row r="586" spans="1:10">
      <c r="A586" s="9"/>
      <c r="B586" s="9"/>
      <c r="C586" s="6"/>
      <c r="D586" s="6"/>
      <c r="E586" s="9"/>
      <c r="F586" s="6"/>
      <c r="G586" s="6"/>
      <c r="H586" s="6"/>
      <c r="I586" s="6"/>
      <c r="J586" s="138"/>
    </row>
    <row r="587" spans="1:10">
      <c r="A587" s="9"/>
      <c r="B587" s="9"/>
      <c r="C587" s="6"/>
      <c r="D587" s="6"/>
      <c r="E587" s="9"/>
      <c r="F587" s="6"/>
      <c r="G587" s="6"/>
      <c r="H587" s="6"/>
      <c r="I587" s="6"/>
      <c r="J587" s="138"/>
    </row>
    <row r="588" spans="1:10">
      <c r="A588" s="9"/>
      <c r="B588" s="9"/>
      <c r="C588" s="6"/>
      <c r="D588" s="6"/>
      <c r="E588" s="9"/>
      <c r="F588" s="6"/>
      <c r="G588" s="6"/>
      <c r="H588" s="6"/>
      <c r="I588" s="6"/>
      <c r="J588" s="138"/>
    </row>
    <row r="589" spans="1:10">
      <c r="A589" s="9"/>
      <c r="B589" s="9"/>
      <c r="C589" s="6"/>
      <c r="D589" s="6"/>
      <c r="E589" s="9"/>
      <c r="F589" s="6"/>
      <c r="G589" s="6"/>
      <c r="H589" s="6"/>
      <c r="I589" s="6"/>
      <c r="J589" s="138"/>
    </row>
    <row r="590" spans="1:10">
      <c r="A590" s="9"/>
      <c r="B590" s="9"/>
      <c r="C590" s="6"/>
      <c r="D590" s="6"/>
      <c r="E590" s="9"/>
      <c r="F590" s="6"/>
      <c r="G590" s="6"/>
      <c r="H590" s="6"/>
      <c r="I590" s="6"/>
      <c r="J590" s="138"/>
    </row>
    <row r="591" spans="1:10">
      <c r="A591" s="9"/>
      <c r="B591" s="9"/>
      <c r="C591" s="6"/>
      <c r="D591" s="6"/>
      <c r="E591" s="9"/>
      <c r="F591" s="6"/>
      <c r="G591" s="6"/>
      <c r="H591" s="6"/>
      <c r="I591" s="6"/>
      <c r="J591" s="138"/>
    </row>
    <row r="592" spans="1:10">
      <c r="A592" s="9"/>
      <c r="B592" s="9"/>
      <c r="C592" s="6"/>
      <c r="D592" s="6"/>
      <c r="E592" s="9"/>
      <c r="F592" s="6"/>
      <c r="G592" s="6"/>
      <c r="H592" s="6"/>
      <c r="I592" s="6"/>
      <c r="J592" s="138"/>
    </row>
    <row r="593" spans="1:10">
      <c r="A593" s="9"/>
      <c r="B593" s="9"/>
      <c r="C593" s="6"/>
      <c r="D593" s="6"/>
      <c r="E593" s="9"/>
      <c r="F593" s="6"/>
      <c r="G593" s="6"/>
      <c r="H593" s="6"/>
      <c r="I593" s="6"/>
      <c r="J593" s="138"/>
    </row>
    <row r="594" spans="1:10">
      <c r="A594" s="9"/>
      <c r="B594" s="9"/>
      <c r="C594" s="6"/>
      <c r="D594" s="6"/>
      <c r="E594" s="9"/>
      <c r="F594" s="6"/>
      <c r="G594" s="6"/>
      <c r="H594" s="6"/>
      <c r="I594" s="6"/>
      <c r="J594" s="138"/>
    </row>
    <row r="595" spans="1:10">
      <c r="A595" s="9"/>
      <c r="B595" s="9"/>
      <c r="C595" s="6"/>
      <c r="D595" s="6"/>
      <c r="E595" s="9"/>
      <c r="F595" s="6"/>
      <c r="G595" s="6"/>
      <c r="H595" s="6"/>
      <c r="I595" s="6"/>
      <c r="J595" s="138"/>
    </row>
    <row r="596" spans="1:10">
      <c r="A596" s="9"/>
      <c r="B596" s="9"/>
      <c r="C596" s="6"/>
      <c r="D596" s="6"/>
      <c r="E596" s="9"/>
      <c r="F596" s="6"/>
      <c r="G596" s="6"/>
      <c r="H596" s="6"/>
      <c r="I596" s="6"/>
      <c r="J596" s="138"/>
    </row>
    <row r="597" spans="1:10">
      <c r="A597" s="9"/>
      <c r="B597" s="9"/>
      <c r="C597" s="6"/>
      <c r="D597" s="6"/>
      <c r="E597" s="9"/>
      <c r="F597" s="6"/>
      <c r="G597" s="6"/>
      <c r="H597" s="6"/>
      <c r="I597" s="6"/>
      <c r="J597" s="138"/>
    </row>
    <row r="598" spans="1:10">
      <c r="A598" s="9"/>
      <c r="B598" s="9"/>
      <c r="C598" s="6"/>
      <c r="D598" s="6"/>
      <c r="E598" s="9"/>
      <c r="F598" s="6"/>
      <c r="G598" s="6"/>
      <c r="H598" s="6"/>
      <c r="I598" s="6"/>
      <c r="J598" s="138"/>
    </row>
    <row r="599" spans="1:10">
      <c r="A599" s="9"/>
      <c r="B599" s="9"/>
      <c r="C599" s="6"/>
      <c r="D599" s="6"/>
      <c r="E599" s="9"/>
      <c r="F599" s="6"/>
      <c r="G599" s="6"/>
      <c r="H599" s="6"/>
      <c r="I599" s="6"/>
      <c r="J599" s="138"/>
    </row>
    <row r="600" spans="1:10">
      <c r="A600" s="9"/>
      <c r="B600" s="9"/>
      <c r="C600" s="6"/>
      <c r="D600" s="6"/>
      <c r="E600" s="9"/>
      <c r="F600" s="6"/>
      <c r="G600" s="6"/>
      <c r="H600" s="6"/>
      <c r="I600" s="6"/>
      <c r="J600" s="138"/>
    </row>
    <row r="601" spans="1:10">
      <c r="A601" s="9"/>
      <c r="B601" s="9"/>
      <c r="C601" s="6"/>
      <c r="D601" s="6"/>
      <c r="E601" s="9"/>
      <c r="F601" s="6"/>
      <c r="G601" s="6"/>
      <c r="H601" s="6"/>
      <c r="I601" s="6"/>
      <c r="J601" s="138"/>
    </row>
    <row r="602" spans="1:10">
      <c r="A602" s="9"/>
      <c r="B602" s="9"/>
      <c r="C602" s="6"/>
      <c r="D602" s="6"/>
      <c r="E602" s="9"/>
      <c r="F602" s="6"/>
      <c r="G602" s="6"/>
      <c r="H602" s="6"/>
      <c r="I602" s="6"/>
      <c r="J602" s="138"/>
    </row>
    <row r="603" spans="1:10">
      <c r="A603" s="9"/>
      <c r="B603" s="9"/>
      <c r="C603" s="6"/>
      <c r="D603" s="6"/>
      <c r="E603" s="9"/>
      <c r="F603" s="6"/>
      <c r="G603" s="6"/>
      <c r="H603" s="6"/>
      <c r="I603" s="6"/>
      <c r="J603" s="138"/>
    </row>
    <row r="604" spans="1:10">
      <c r="A604" s="9"/>
      <c r="B604" s="9"/>
      <c r="C604" s="6"/>
      <c r="D604" s="6"/>
      <c r="E604" s="9"/>
      <c r="F604" s="6"/>
      <c r="G604" s="6"/>
      <c r="H604" s="6"/>
      <c r="I604" s="6"/>
      <c r="J604" s="138"/>
    </row>
    <row r="605" spans="1:10">
      <c r="A605" s="9"/>
      <c r="B605" s="9"/>
      <c r="C605" s="6"/>
      <c r="D605" s="6"/>
      <c r="E605" s="9"/>
      <c r="F605" s="6"/>
      <c r="G605" s="6"/>
      <c r="H605" s="6"/>
      <c r="I605" s="6"/>
      <c r="J605" s="138"/>
    </row>
    <row r="606" spans="1:10">
      <c r="A606" s="9"/>
      <c r="B606" s="9"/>
      <c r="C606" s="6"/>
      <c r="D606" s="6"/>
      <c r="E606" s="9"/>
      <c r="F606" s="6"/>
      <c r="G606" s="6"/>
      <c r="H606" s="6"/>
      <c r="I606" s="6"/>
      <c r="J606" s="138"/>
    </row>
    <row r="607" spans="1:10">
      <c r="A607" s="9"/>
      <c r="B607" s="9"/>
      <c r="C607" s="6"/>
      <c r="D607" s="6"/>
      <c r="E607" s="9"/>
      <c r="F607" s="6"/>
      <c r="G607" s="6"/>
      <c r="H607" s="6"/>
      <c r="I607" s="6"/>
      <c r="J607" s="138"/>
    </row>
    <row r="608" spans="1:10">
      <c r="A608" s="9"/>
      <c r="B608" s="9"/>
      <c r="C608" s="6"/>
      <c r="D608" s="6"/>
      <c r="E608" s="9"/>
      <c r="F608" s="6"/>
      <c r="G608" s="6"/>
      <c r="H608" s="6"/>
      <c r="I608" s="6"/>
      <c r="J608" s="138"/>
    </row>
    <row r="609" spans="1:10">
      <c r="A609" s="9"/>
      <c r="B609" s="9"/>
      <c r="C609" s="6"/>
      <c r="D609" s="6"/>
      <c r="E609" s="9"/>
      <c r="F609" s="6"/>
      <c r="G609" s="6"/>
      <c r="H609" s="6"/>
      <c r="I609" s="6"/>
      <c r="J609" s="138"/>
    </row>
    <row r="610" spans="1:10">
      <c r="A610" s="9"/>
      <c r="B610" s="9"/>
      <c r="C610" s="6"/>
      <c r="D610" s="6"/>
      <c r="E610" s="9"/>
      <c r="F610" s="6"/>
      <c r="G610" s="6"/>
      <c r="H610" s="6"/>
      <c r="I610" s="6"/>
      <c r="J610" s="138"/>
    </row>
    <row r="611" spans="1:10">
      <c r="A611" s="9"/>
      <c r="B611" s="9"/>
      <c r="C611" s="6"/>
      <c r="D611" s="6"/>
      <c r="E611" s="9"/>
      <c r="F611" s="6"/>
      <c r="G611" s="6"/>
      <c r="H611" s="6"/>
      <c r="I611" s="6"/>
      <c r="J611" s="138"/>
    </row>
    <row r="612" spans="1:10">
      <c r="A612" s="9"/>
      <c r="B612" s="9"/>
      <c r="C612" s="6"/>
      <c r="D612" s="6"/>
      <c r="E612" s="9"/>
      <c r="F612" s="6"/>
      <c r="G612" s="6"/>
      <c r="H612" s="6"/>
      <c r="I612" s="6"/>
      <c r="J612" s="138"/>
    </row>
    <row r="613" spans="1:10">
      <c r="A613" s="9"/>
      <c r="B613" s="9"/>
      <c r="C613" s="6"/>
      <c r="D613" s="6"/>
      <c r="E613" s="9"/>
      <c r="F613" s="6"/>
      <c r="G613" s="6"/>
      <c r="H613" s="6"/>
      <c r="I613" s="6"/>
      <c r="J613" s="138"/>
    </row>
    <row r="614" spans="1:10">
      <c r="A614" s="9"/>
      <c r="B614" s="9"/>
      <c r="C614" s="6"/>
      <c r="D614" s="6"/>
      <c r="E614" s="9"/>
      <c r="F614" s="6"/>
      <c r="G614" s="6"/>
      <c r="H614" s="6"/>
      <c r="I614" s="6"/>
      <c r="J614" s="138"/>
    </row>
    <row r="615" spans="1:10">
      <c r="A615" s="9"/>
      <c r="B615" s="9"/>
      <c r="C615" s="6"/>
      <c r="D615" s="6"/>
      <c r="E615" s="9"/>
      <c r="F615" s="6"/>
      <c r="G615" s="6"/>
      <c r="H615" s="6"/>
      <c r="I615" s="6"/>
      <c r="J615" s="138"/>
    </row>
    <row r="616" spans="1:10">
      <c r="A616" s="9"/>
      <c r="B616" s="9"/>
      <c r="C616" s="6"/>
      <c r="D616" s="6"/>
      <c r="E616" s="9"/>
      <c r="F616" s="6"/>
      <c r="G616" s="6"/>
      <c r="H616" s="6"/>
      <c r="I616" s="6"/>
      <c r="J616" s="138"/>
    </row>
    <row r="617" spans="1:10">
      <c r="A617" s="9"/>
      <c r="B617" s="9"/>
      <c r="C617" s="6"/>
      <c r="D617" s="6"/>
      <c r="E617" s="9"/>
      <c r="F617" s="6"/>
      <c r="G617" s="6"/>
      <c r="H617" s="6"/>
      <c r="I617" s="6"/>
      <c r="J617" s="138"/>
    </row>
    <row r="618" spans="1:10">
      <c r="A618" s="9"/>
      <c r="B618" s="9"/>
      <c r="C618" s="6"/>
      <c r="D618" s="6"/>
      <c r="E618" s="9"/>
      <c r="F618" s="6"/>
      <c r="G618" s="6"/>
      <c r="H618" s="6"/>
      <c r="I618" s="6"/>
      <c r="J618" s="138"/>
    </row>
    <row r="619" spans="1:10">
      <c r="A619" s="9"/>
      <c r="B619" s="9"/>
      <c r="C619" s="6"/>
      <c r="D619" s="6"/>
      <c r="E619" s="9"/>
      <c r="F619" s="6"/>
      <c r="G619" s="6"/>
      <c r="H619" s="6"/>
      <c r="I619" s="6"/>
      <c r="J619" s="138"/>
    </row>
    <row r="620" spans="1:10">
      <c r="A620" s="9"/>
      <c r="B620" s="9"/>
      <c r="C620" s="6"/>
      <c r="D620" s="6"/>
      <c r="E620" s="9"/>
      <c r="F620" s="6"/>
      <c r="G620" s="6"/>
      <c r="H620" s="6"/>
      <c r="I620" s="6"/>
      <c r="J620" s="138"/>
    </row>
    <row r="621" spans="1:10">
      <c r="A621" s="9"/>
      <c r="B621" s="9"/>
      <c r="C621" s="6"/>
      <c r="D621" s="6"/>
      <c r="E621" s="9"/>
      <c r="F621" s="6"/>
      <c r="G621" s="6"/>
      <c r="H621" s="6"/>
      <c r="I621" s="6"/>
      <c r="J621" s="138"/>
    </row>
    <row r="622" spans="1:10">
      <c r="A622" s="9"/>
      <c r="B622" s="9"/>
      <c r="C622" s="6"/>
      <c r="D622" s="6"/>
      <c r="E622" s="9"/>
      <c r="F622" s="6"/>
      <c r="G622" s="6"/>
      <c r="H622" s="6"/>
      <c r="I622" s="6"/>
      <c r="J622" s="138"/>
    </row>
    <row r="623" spans="1:10">
      <c r="A623" s="9"/>
      <c r="B623" s="9"/>
      <c r="C623" s="6"/>
      <c r="D623" s="6"/>
      <c r="E623" s="9"/>
      <c r="F623" s="6"/>
      <c r="G623" s="6"/>
      <c r="H623" s="6"/>
      <c r="I623" s="6"/>
      <c r="J623" s="138"/>
    </row>
    <row r="624" spans="1:10">
      <c r="A624" s="9"/>
      <c r="B624" s="9"/>
      <c r="C624" s="6"/>
      <c r="D624" s="6"/>
      <c r="E624" s="9"/>
      <c r="F624" s="6"/>
      <c r="G624" s="6"/>
      <c r="H624" s="6"/>
      <c r="I624" s="6"/>
      <c r="J624" s="138"/>
    </row>
    <row r="625" spans="1:10">
      <c r="A625" s="9"/>
      <c r="B625" s="9"/>
      <c r="C625" s="6"/>
      <c r="D625" s="6"/>
      <c r="E625" s="9"/>
      <c r="F625" s="6"/>
      <c r="G625" s="6"/>
      <c r="H625" s="6"/>
      <c r="I625" s="6"/>
      <c r="J625" s="138"/>
    </row>
    <row r="626" spans="1:10">
      <c r="A626" s="9"/>
      <c r="B626" s="9"/>
      <c r="C626" s="6"/>
      <c r="D626" s="6"/>
      <c r="E626" s="9"/>
      <c r="F626" s="6"/>
      <c r="G626" s="6"/>
      <c r="H626" s="6"/>
      <c r="I626" s="6"/>
      <c r="J626" s="138"/>
    </row>
    <row r="627" spans="1:10">
      <c r="A627" s="9"/>
      <c r="B627" s="9"/>
      <c r="C627" s="6"/>
      <c r="D627" s="6"/>
      <c r="E627" s="9"/>
      <c r="F627" s="6"/>
      <c r="G627" s="6"/>
      <c r="H627" s="6"/>
      <c r="I627" s="6"/>
      <c r="J627" s="138"/>
    </row>
    <row r="628" spans="1:10">
      <c r="A628" s="9"/>
      <c r="B628" s="9"/>
      <c r="C628" s="6"/>
      <c r="D628" s="6"/>
      <c r="E628" s="9"/>
      <c r="F628" s="6"/>
      <c r="G628" s="6"/>
      <c r="H628" s="6"/>
      <c r="I628" s="6"/>
      <c r="J628" s="138"/>
    </row>
    <row r="629" spans="1:10">
      <c r="A629" s="9"/>
      <c r="B629" s="9"/>
      <c r="C629" s="6"/>
      <c r="D629" s="6"/>
      <c r="E629" s="9"/>
      <c r="F629" s="6"/>
      <c r="G629" s="6"/>
      <c r="H629" s="6"/>
      <c r="I629" s="6"/>
      <c r="J629" s="138"/>
    </row>
    <row r="630" spans="1:10">
      <c r="A630" s="9"/>
      <c r="B630" s="9"/>
      <c r="C630" s="6"/>
      <c r="D630" s="6"/>
      <c r="E630" s="9"/>
      <c r="F630" s="6"/>
      <c r="G630" s="6"/>
      <c r="H630" s="6"/>
      <c r="I630" s="6"/>
      <c r="J630" s="138"/>
    </row>
    <row r="631" spans="1:10">
      <c r="A631" s="9"/>
      <c r="B631" s="9"/>
      <c r="C631" s="6"/>
      <c r="D631" s="6"/>
      <c r="E631" s="9"/>
      <c r="F631" s="6"/>
      <c r="G631" s="6"/>
      <c r="H631" s="6"/>
      <c r="I631" s="6"/>
      <c r="J631" s="138"/>
    </row>
    <row r="632" spans="1:10">
      <c r="A632" s="9"/>
      <c r="B632" s="9"/>
      <c r="C632" s="6"/>
      <c r="D632" s="6"/>
      <c r="E632" s="9"/>
      <c r="F632" s="6"/>
      <c r="G632" s="6"/>
      <c r="H632" s="6"/>
      <c r="I632" s="6"/>
      <c r="J632" s="138"/>
    </row>
    <row r="633" spans="1:10">
      <c r="A633" s="9"/>
      <c r="B633" s="9"/>
      <c r="C633" s="6"/>
      <c r="D633" s="6"/>
      <c r="E633" s="9"/>
      <c r="F633" s="6"/>
      <c r="G633" s="6"/>
      <c r="H633" s="6"/>
      <c r="I633" s="6"/>
      <c r="J633" s="138"/>
    </row>
    <row r="634" spans="1:10">
      <c r="A634" s="9"/>
      <c r="B634" s="9"/>
      <c r="C634" s="6"/>
      <c r="D634" s="6"/>
      <c r="E634" s="9"/>
      <c r="F634" s="6"/>
      <c r="G634" s="6"/>
      <c r="H634" s="6"/>
      <c r="I634" s="6"/>
      <c r="J634" s="138"/>
    </row>
    <row r="635" spans="1:10">
      <c r="A635" s="9"/>
      <c r="B635" s="9"/>
      <c r="C635" s="6"/>
      <c r="D635" s="6"/>
      <c r="E635" s="9"/>
      <c r="F635" s="6"/>
      <c r="G635" s="6"/>
      <c r="H635" s="6"/>
      <c r="I635" s="6"/>
      <c r="J635" s="138"/>
    </row>
    <row r="636" spans="1:10">
      <c r="A636" s="9"/>
      <c r="B636" s="9"/>
      <c r="C636" s="6"/>
      <c r="D636" s="6"/>
      <c r="E636" s="9"/>
      <c r="F636" s="6"/>
      <c r="G636" s="6"/>
      <c r="H636" s="6"/>
      <c r="I636" s="6"/>
      <c r="J636" s="138"/>
    </row>
    <row r="637" spans="1:10">
      <c r="A637" s="9"/>
      <c r="B637" s="9"/>
      <c r="C637" s="6"/>
      <c r="D637" s="6"/>
      <c r="E637" s="9"/>
      <c r="F637" s="6"/>
      <c r="G637" s="6"/>
      <c r="H637" s="6"/>
      <c r="I637" s="6"/>
      <c r="J637" s="138"/>
    </row>
    <row r="638" spans="1:10">
      <c r="A638" s="9"/>
      <c r="B638" s="9"/>
      <c r="C638" s="6"/>
      <c r="D638" s="6"/>
      <c r="E638" s="9"/>
      <c r="F638" s="6"/>
      <c r="G638" s="6"/>
      <c r="H638" s="6"/>
      <c r="I638" s="6"/>
      <c r="J638" s="138"/>
    </row>
    <row r="639" spans="1:10">
      <c r="A639" s="9"/>
      <c r="B639" s="9"/>
      <c r="C639" s="6"/>
      <c r="D639" s="6"/>
      <c r="E639" s="9"/>
      <c r="F639" s="6"/>
      <c r="G639" s="6"/>
      <c r="H639" s="6"/>
      <c r="I639" s="6"/>
      <c r="J639" s="138"/>
    </row>
    <row r="640" spans="1:10">
      <c r="A640" s="9"/>
      <c r="B640" s="9"/>
      <c r="C640" s="6"/>
      <c r="D640" s="6"/>
      <c r="E640" s="9"/>
      <c r="F640" s="6"/>
      <c r="G640" s="6"/>
      <c r="H640" s="6"/>
      <c r="I640" s="6"/>
      <c r="J640" s="138"/>
    </row>
    <row r="641" spans="1:10">
      <c r="A641" s="9"/>
      <c r="B641" s="9"/>
      <c r="C641" s="6"/>
      <c r="D641" s="6"/>
      <c r="E641" s="9"/>
      <c r="F641" s="6"/>
      <c r="G641" s="6"/>
      <c r="H641" s="6"/>
      <c r="I641" s="6"/>
      <c r="J641" s="138"/>
    </row>
    <row r="642" spans="1:10">
      <c r="A642" s="9"/>
      <c r="B642" s="9"/>
      <c r="C642" s="6"/>
      <c r="D642" s="6"/>
      <c r="E642" s="9"/>
      <c r="F642" s="6"/>
      <c r="G642" s="6"/>
      <c r="H642" s="6"/>
      <c r="I642" s="6"/>
      <c r="J642" s="138"/>
    </row>
    <row r="643" spans="1:10">
      <c r="A643" s="9"/>
      <c r="B643" s="9"/>
      <c r="C643" s="6"/>
      <c r="D643" s="6"/>
      <c r="E643" s="9"/>
      <c r="F643" s="6"/>
      <c r="G643" s="6"/>
      <c r="H643" s="6"/>
      <c r="I643" s="6"/>
      <c r="J643" s="138"/>
    </row>
    <row r="644" spans="1:10">
      <c r="A644" s="9"/>
      <c r="B644" s="9"/>
      <c r="C644" s="6"/>
      <c r="D644" s="6"/>
      <c r="E644" s="9"/>
      <c r="F644" s="6"/>
      <c r="G644" s="6"/>
      <c r="H644" s="6"/>
      <c r="I644" s="6"/>
      <c r="J644" s="138"/>
    </row>
    <row r="645" spans="1:10">
      <c r="A645" s="9"/>
      <c r="B645" s="9"/>
      <c r="C645" s="6"/>
      <c r="D645" s="6"/>
      <c r="E645" s="9"/>
      <c r="F645" s="6"/>
      <c r="G645" s="6"/>
      <c r="H645" s="6"/>
      <c r="I645" s="6"/>
      <c r="J645" s="138"/>
    </row>
    <row r="646" spans="1:10">
      <c r="A646" s="9"/>
      <c r="B646" s="9"/>
      <c r="C646" s="6"/>
      <c r="D646" s="6"/>
      <c r="E646" s="9"/>
      <c r="F646" s="6"/>
      <c r="G646" s="6"/>
      <c r="H646" s="6"/>
      <c r="I646" s="6"/>
      <c r="J646" s="138"/>
    </row>
    <row r="647" spans="1:10">
      <c r="A647" s="9"/>
      <c r="B647" s="9"/>
      <c r="C647" s="6"/>
      <c r="D647" s="6"/>
      <c r="E647" s="9"/>
      <c r="F647" s="6"/>
      <c r="G647" s="6"/>
      <c r="H647" s="6"/>
      <c r="I647" s="6"/>
      <c r="J647" s="138"/>
    </row>
    <row r="648" spans="1:10">
      <c r="A648" s="9"/>
      <c r="B648" s="9"/>
      <c r="C648" s="6"/>
      <c r="D648" s="6"/>
      <c r="E648" s="9"/>
      <c r="F648" s="6"/>
      <c r="G648" s="6"/>
      <c r="H648" s="6"/>
      <c r="I648" s="6"/>
      <c r="J648" s="138"/>
    </row>
    <row r="649" spans="1:10">
      <c r="A649" s="9"/>
      <c r="B649" s="9"/>
      <c r="C649" s="6"/>
      <c r="D649" s="6"/>
      <c r="E649" s="9"/>
      <c r="F649" s="6"/>
      <c r="G649" s="6"/>
      <c r="H649" s="6"/>
      <c r="I649" s="6"/>
      <c r="J649" s="138"/>
    </row>
    <row r="650" spans="1:10">
      <c r="A650" s="9"/>
      <c r="B650" s="9"/>
      <c r="C650" s="6"/>
      <c r="D650" s="6"/>
      <c r="E650" s="9"/>
      <c r="F650" s="6"/>
      <c r="G650" s="6"/>
      <c r="H650" s="6"/>
      <c r="I650" s="6"/>
      <c r="J650" s="138"/>
    </row>
    <row r="651" spans="1:10">
      <c r="A651" s="9"/>
      <c r="B651" s="9"/>
      <c r="C651" s="6"/>
      <c r="D651" s="6"/>
      <c r="E651" s="9"/>
      <c r="F651" s="6"/>
      <c r="G651" s="6"/>
      <c r="H651" s="6"/>
      <c r="I651" s="6"/>
      <c r="J651" s="138"/>
    </row>
    <row r="652" spans="1:10">
      <c r="A652" s="9"/>
      <c r="B652" s="9"/>
      <c r="C652" s="6"/>
      <c r="D652" s="6"/>
      <c r="E652" s="9"/>
      <c r="F652" s="6"/>
      <c r="G652" s="6"/>
      <c r="H652" s="6"/>
      <c r="I652" s="6"/>
      <c r="J652" s="138"/>
    </row>
    <row r="653" spans="1:10">
      <c r="A653" s="9"/>
      <c r="B653" s="9"/>
      <c r="C653" s="6"/>
      <c r="D653" s="6"/>
      <c r="E653" s="9"/>
      <c r="F653" s="6"/>
      <c r="G653" s="6"/>
      <c r="H653" s="6"/>
      <c r="I653" s="6"/>
      <c r="J653" s="138"/>
    </row>
    <row r="654" spans="1:10">
      <c r="A654" s="9"/>
      <c r="B654" s="9"/>
      <c r="C654" s="6"/>
      <c r="D654" s="6"/>
      <c r="E654" s="9"/>
      <c r="F654" s="6"/>
      <c r="G654" s="6"/>
      <c r="H654" s="6"/>
      <c r="I654" s="6"/>
      <c r="J654" s="138"/>
    </row>
    <row r="655" spans="1:10">
      <c r="A655" s="9"/>
      <c r="B655" s="9"/>
      <c r="C655" s="6"/>
      <c r="D655" s="6"/>
      <c r="E655" s="9"/>
      <c r="F655" s="6"/>
      <c r="G655" s="6"/>
      <c r="H655" s="6"/>
      <c r="I655" s="6"/>
      <c r="J655" s="138"/>
    </row>
    <row r="656" spans="1:10">
      <c r="A656" s="9"/>
      <c r="B656" s="9"/>
      <c r="C656" s="6"/>
      <c r="D656" s="6"/>
      <c r="E656" s="9"/>
      <c r="F656" s="6"/>
      <c r="G656" s="6"/>
      <c r="H656" s="6"/>
      <c r="I656" s="6"/>
      <c r="J656" s="138"/>
    </row>
    <row r="657" spans="1:10">
      <c r="A657" s="9"/>
      <c r="B657" s="9"/>
      <c r="C657" s="6"/>
      <c r="D657" s="6"/>
      <c r="E657" s="9"/>
      <c r="F657" s="6"/>
      <c r="G657" s="6"/>
      <c r="H657" s="6"/>
      <c r="I657" s="6"/>
      <c r="J657" s="138"/>
    </row>
    <row r="658" spans="1:10">
      <c r="A658" s="9"/>
      <c r="B658" s="9"/>
      <c r="C658" s="6"/>
      <c r="D658" s="6"/>
      <c r="E658" s="9"/>
      <c r="F658" s="6"/>
      <c r="G658" s="6"/>
      <c r="H658" s="6"/>
      <c r="I658" s="6"/>
      <c r="J658" s="138"/>
    </row>
    <row r="659" spans="1:10">
      <c r="A659" s="9"/>
      <c r="B659" s="9"/>
      <c r="C659" s="6"/>
      <c r="D659" s="6"/>
      <c r="E659" s="9"/>
      <c r="F659" s="6"/>
      <c r="G659" s="6"/>
      <c r="H659" s="6"/>
      <c r="I659" s="6"/>
      <c r="J659" s="138"/>
    </row>
    <row r="660" spans="1:10">
      <c r="A660" s="9"/>
      <c r="B660" s="9"/>
      <c r="C660" s="6"/>
      <c r="D660" s="6"/>
      <c r="E660" s="9"/>
      <c r="F660" s="6"/>
      <c r="G660" s="6"/>
      <c r="H660" s="6"/>
      <c r="I660" s="6"/>
      <c r="J660" s="138"/>
    </row>
    <row r="661" spans="1:10">
      <c r="A661" s="9"/>
      <c r="B661" s="9"/>
      <c r="C661" s="6"/>
      <c r="D661" s="6"/>
      <c r="E661" s="9"/>
      <c r="F661" s="6"/>
      <c r="G661" s="6"/>
      <c r="H661" s="6"/>
      <c r="I661" s="6"/>
      <c r="J661" s="138"/>
    </row>
    <row r="662" spans="1:10">
      <c r="A662" s="9"/>
      <c r="B662" s="9"/>
      <c r="C662" s="6"/>
      <c r="D662" s="6"/>
      <c r="E662" s="9"/>
      <c r="F662" s="6"/>
      <c r="G662" s="6"/>
      <c r="H662" s="6"/>
      <c r="I662" s="6"/>
      <c r="J662" s="138"/>
    </row>
    <row r="663" spans="1:10">
      <c r="A663" s="9"/>
      <c r="B663" s="9"/>
      <c r="C663" s="6"/>
      <c r="D663" s="6"/>
      <c r="E663" s="9"/>
      <c r="F663" s="6"/>
      <c r="G663" s="6"/>
      <c r="H663" s="6"/>
      <c r="I663" s="6"/>
      <c r="J663" s="138"/>
    </row>
    <row r="664" spans="1:10">
      <c r="A664" s="9"/>
      <c r="B664" s="9"/>
      <c r="C664" s="6"/>
      <c r="D664" s="6"/>
      <c r="E664" s="9"/>
      <c r="F664" s="6"/>
      <c r="G664" s="6"/>
      <c r="H664" s="6"/>
      <c r="I664" s="6"/>
      <c r="J664" s="138"/>
    </row>
    <row r="665" spans="1:10">
      <c r="A665" s="9"/>
      <c r="B665" s="9"/>
      <c r="C665" s="6"/>
      <c r="D665" s="6"/>
      <c r="E665" s="9"/>
      <c r="F665" s="6"/>
      <c r="G665" s="6"/>
      <c r="H665" s="6"/>
      <c r="I665" s="6"/>
      <c r="J665" s="138"/>
    </row>
    <row r="666" spans="1:10">
      <c r="A666" s="9"/>
      <c r="B666" s="9"/>
      <c r="C666" s="6"/>
      <c r="D666" s="6"/>
      <c r="E666" s="9"/>
      <c r="F666" s="6"/>
      <c r="G666" s="6"/>
      <c r="H666" s="6"/>
      <c r="I666" s="6"/>
      <c r="J666" s="138"/>
    </row>
    <row r="667" spans="1:10">
      <c r="A667" s="9"/>
      <c r="B667" s="9"/>
      <c r="C667" s="6"/>
      <c r="D667" s="6"/>
      <c r="E667" s="9"/>
      <c r="F667" s="6"/>
      <c r="G667" s="6"/>
      <c r="H667" s="6"/>
      <c r="I667" s="6"/>
      <c r="J667" s="138"/>
    </row>
    <row r="668" spans="1:10">
      <c r="A668" s="9"/>
      <c r="B668" s="9"/>
      <c r="C668" s="6"/>
      <c r="D668" s="6"/>
      <c r="E668" s="9"/>
      <c r="F668" s="6"/>
      <c r="G668" s="6"/>
      <c r="H668" s="6"/>
      <c r="I668" s="6"/>
      <c r="J668" s="138"/>
    </row>
    <row r="669" spans="1:10">
      <c r="A669" s="9"/>
      <c r="B669" s="9"/>
      <c r="C669" s="6"/>
      <c r="D669" s="6"/>
      <c r="E669" s="9"/>
      <c r="F669" s="6"/>
      <c r="G669" s="6"/>
      <c r="H669" s="6"/>
      <c r="I669" s="6"/>
      <c r="J669" s="138"/>
    </row>
    <row r="670" spans="1:10">
      <c r="A670" s="9"/>
      <c r="B670" s="9"/>
      <c r="C670" s="6"/>
      <c r="D670" s="6"/>
      <c r="E670" s="9"/>
      <c r="F670" s="6"/>
      <c r="G670" s="6"/>
      <c r="H670" s="6"/>
      <c r="I670" s="6"/>
      <c r="J670" s="138"/>
    </row>
    <row r="671" spans="1:10">
      <c r="A671" s="9"/>
      <c r="B671" s="9"/>
      <c r="C671" s="6"/>
      <c r="D671" s="6"/>
      <c r="E671" s="9"/>
      <c r="F671" s="6"/>
      <c r="G671" s="6"/>
      <c r="H671" s="6"/>
      <c r="I671" s="6"/>
      <c r="J671" s="138"/>
    </row>
    <row r="672" spans="1:10">
      <c r="A672" s="9"/>
      <c r="B672" s="9"/>
      <c r="C672" s="6"/>
      <c r="D672" s="6"/>
      <c r="E672" s="9"/>
      <c r="F672" s="6"/>
      <c r="G672" s="6"/>
      <c r="H672" s="6"/>
      <c r="I672" s="6"/>
      <c r="J672" s="138"/>
    </row>
    <row r="673" spans="1:10">
      <c r="A673" s="9"/>
      <c r="B673" s="9"/>
      <c r="C673" s="6"/>
      <c r="D673" s="6"/>
      <c r="E673" s="9"/>
      <c r="F673" s="6"/>
      <c r="G673" s="6"/>
      <c r="H673" s="6"/>
      <c r="I673" s="6"/>
      <c r="J673" s="138"/>
    </row>
    <row r="674" spans="1:10">
      <c r="A674" s="9"/>
      <c r="B674" s="9"/>
      <c r="C674" s="6"/>
      <c r="D674" s="6"/>
      <c r="E674" s="9"/>
      <c r="F674" s="6"/>
      <c r="G674" s="6"/>
      <c r="H674" s="6"/>
      <c r="I674" s="6"/>
      <c r="J674" s="138"/>
    </row>
    <row r="675" spans="1:10">
      <c r="A675" s="9"/>
      <c r="B675" s="9"/>
      <c r="C675" s="6"/>
      <c r="D675" s="6"/>
      <c r="E675" s="9"/>
      <c r="F675" s="6"/>
      <c r="G675" s="6"/>
      <c r="H675" s="6"/>
      <c r="I675" s="6"/>
      <c r="J675" s="138"/>
    </row>
    <row r="676" spans="1:10">
      <c r="A676" s="9"/>
      <c r="B676" s="9"/>
      <c r="C676" s="6"/>
      <c r="D676" s="6"/>
      <c r="E676" s="9"/>
      <c r="F676" s="6"/>
      <c r="G676" s="6"/>
      <c r="H676" s="6"/>
      <c r="I676" s="6"/>
      <c r="J676" s="138"/>
    </row>
    <row r="677" spans="1:10">
      <c r="A677" s="9"/>
      <c r="B677" s="9"/>
      <c r="C677" s="6"/>
      <c r="D677" s="6"/>
      <c r="E677" s="9"/>
      <c r="F677" s="6"/>
      <c r="G677" s="6"/>
      <c r="H677" s="6"/>
      <c r="I677" s="6"/>
      <c r="J677" s="138"/>
    </row>
    <row r="678" spans="1:10">
      <c r="A678" s="9"/>
      <c r="B678" s="9"/>
      <c r="C678" s="6"/>
      <c r="D678" s="6"/>
      <c r="E678" s="9"/>
      <c r="F678" s="6"/>
      <c r="G678" s="6"/>
      <c r="H678" s="6"/>
      <c r="I678" s="6"/>
      <c r="J678" s="138"/>
    </row>
    <row r="679" spans="1:10">
      <c r="A679" s="9"/>
      <c r="B679" s="9"/>
      <c r="C679" s="6"/>
      <c r="D679" s="6"/>
      <c r="E679" s="9"/>
      <c r="F679" s="6"/>
      <c r="G679" s="6"/>
      <c r="H679" s="6"/>
      <c r="I679" s="6"/>
      <c r="J679" s="138"/>
    </row>
    <row r="680" spans="1:10">
      <c r="A680" s="9"/>
      <c r="B680" s="9"/>
      <c r="C680" s="6"/>
      <c r="D680" s="6"/>
      <c r="E680" s="9"/>
      <c r="F680" s="6"/>
      <c r="G680" s="6"/>
      <c r="H680" s="6"/>
      <c r="I680" s="6"/>
      <c r="J680" s="138"/>
    </row>
    <row r="681" spans="1:10">
      <c r="A681" s="9"/>
      <c r="B681" s="9"/>
      <c r="C681" s="6"/>
      <c r="D681" s="6"/>
      <c r="E681" s="9"/>
      <c r="F681" s="6"/>
      <c r="G681" s="6"/>
      <c r="H681" s="6"/>
      <c r="I681" s="6"/>
      <c r="J681" s="138"/>
    </row>
    <row r="682" spans="1:10">
      <c r="A682" s="9"/>
      <c r="B682" s="9"/>
      <c r="C682" s="6"/>
      <c r="D682" s="6"/>
      <c r="E682" s="9"/>
      <c r="F682" s="6"/>
      <c r="G682" s="6"/>
      <c r="H682" s="6"/>
      <c r="I682" s="6"/>
      <c r="J682" s="138"/>
    </row>
    <row r="683" spans="1:10">
      <c r="A683" s="9"/>
      <c r="B683" s="9"/>
      <c r="C683" s="6"/>
      <c r="D683" s="6"/>
      <c r="E683" s="9"/>
      <c r="F683" s="6"/>
      <c r="G683" s="6"/>
      <c r="H683" s="6"/>
      <c r="I683" s="6"/>
      <c r="J683" s="138"/>
    </row>
    <row r="684" spans="1:10">
      <c r="A684" s="9"/>
      <c r="B684" s="9"/>
      <c r="C684" s="6"/>
      <c r="D684" s="6"/>
      <c r="E684" s="9"/>
      <c r="F684" s="6"/>
      <c r="G684" s="6"/>
      <c r="H684" s="6"/>
      <c r="I684" s="6"/>
      <c r="J684" s="138"/>
    </row>
    <row r="685" spans="1:10">
      <c r="A685" s="9"/>
      <c r="B685" s="9"/>
      <c r="C685" s="6"/>
      <c r="D685" s="6"/>
      <c r="E685" s="9"/>
      <c r="F685" s="6"/>
      <c r="G685" s="6"/>
      <c r="H685" s="6"/>
      <c r="I685" s="6"/>
      <c r="J685" s="138"/>
    </row>
    <row r="686" spans="1:10">
      <c r="A686" s="9"/>
      <c r="B686" s="9"/>
      <c r="C686" s="6"/>
      <c r="D686" s="6"/>
      <c r="E686" s="9"/>
      <c r="F686" s="6"/>
      <c r="G686" s="6"/>
      <c r="H686" s="6"/>
      <c r="I686" s="6"/>
      <c r="J686" s="138"/>
    </row>
    <row r="687" spans="1:10">
      <c r="A687" s="9"/>
      <c r="B687" s="9"/>
      <c r="C687" s="6"/>
      <c r="D687" s="6"/>
      <c r="E687" s="9"/>
      <c r="F687" s="6"/>
      <c r="G687" s="6"/>
      <c r="H687" s="6"/>
      <c r="I687" s="6"/>
      <c r="J687" s="138"/>
    </row>
    <row r="688" spans="1:10">
      <c r="A688" s="9"/>
      <c r="B688" s="9"/>
      <c r="C688" s="6"/>
      <c r="D688" s="6"/>
      <c r="E688" s="9"/>
      <c r="F688" s="6"/>
      <c r="G688" s="6"/>
      <c r="H688" s="6"/>
      <c r="I688" s="6"/>
      <c r="J688" s="138"/>
    </row>
    <row r="689" spans="1:10">
      <c r="A689" s="9"/>
      <c r="B689" s="9"/>
      <c r="C689" s="6"/>
      <c r="D689" s="6"/>
      <c r="E689" s="9"/>
      <c r="F689" s="6"/>
      <c r="G689" s="6"/>
      <c r="H689" s="6"/>
      <c r="I689" s="6"/>
      <c r="J689" s="138"/>
    </row>
    <row r="690" spans="1:10">
      <c r="A690" s="9"/>
      <c r="B690" s="9"/>
      <c r="C690" s="6"/>
      <c r="D690" s="6"/>
      <c r="E690" s="9"/>
      <c r="F690" s="6"/>
      <c r="G690" s="6"/>
      <c r="H690" s="6"/>
      <c r="I690" s="6"/>
      <c r="J690" s="138"/>
    </row>
    <row r="691" spans="1:10">
      <c r="A691" s="9"/>
      <c r="B691" s="9"/>
      <c r="C691" s="6"/>
      <c r="D691" s="6"/>
      <c r="E691" s="9"/>
      <c r="F691" s="6"/>
      <c r="G691" s="6"/>
      <c r="H691" s="6"/>
      <c r="I691" s="6"/>
      <c r="J691" s="138"/>
    </row>
    <row r="692" spans="1:10">
      <c r="A692" s="9"/>
      <c r="B692" s="9"/>
      <c r="C692" s="6"/>
      <c r="D692" s="6"/>
      <c r="E692" s="9"/>
      <c r="F692" s="6"/>
      <c r="G692" s="6"/>
      <c r="H692" s="6"/>
      <c r="I692" s="6"/>
      <c r="J692" s="138"/>
    </row>
    <row r="693" spans="1:10">
      <c r="A693" s="9"/>
      <c r="B693" s="9"/>
      <c r="C693" s="6"/>
      <c r="D693" s="6"/>
      <c r="E693" s="9"/>
      <c r="F693" s="6"/>
      <c r="G693" s="6"/>
      <c r="H693" s="6"/>
      <c r="I693" s="6"/>
      <c r="J693" s="138"/>
    </row>
    <row r="694" spans="1:10">
      <c r="A694" s="9"/>
      <c r="B694" s="9"/>
      <c r="C694" s="6"/>
      <c r="D694" s="6"/>
      <c r="E694" s="9"/>
      <c r="F694" s="6"/>
      <c r="G694" s="6"/>
      <c r="H694" s="6"/>
      <c r="I694" s="6"/>
      <c r="J694" s="138"/>
    </row>
    <row r="695" spans="1:10">
      <c r="A695" s="9"/>
      <c r="B695" s="9"/>
      <c r="C695" s="6"/>
      <c r="D695" s="6"/>
      <c r="E695" s="9"/>
      <c r="F695" s="6"/>
      <c r="G695" s="6"/>
      <c r="H695" s="6"/>
      <c r="I695" s="6"/>
      <c r="J695" s="138"/>
    </row>
    <row r="696" spans="1:10">
      <c r="A696" s="9"/>
      <c r="B696" s="9"/>
      <c r="C696" s="6"/>
      <c r="D696" s="6"/>
      <c r="E696" s="9"/>
      <c r="F696" s="6"/>
      <c r="G696" s="6"/>
      <c r="H696" s="6"/>
      <c r="I696" s="6"/>
      <c r="J696" s="138"/>
    </row>
    <row r="697" spans="1:10">
      <c r="A697" s="9"/>
      <c r="B697" s="9"/>
      <c r="C697" s="6"/>
      <c r="D697" s="6"/>
      <c r="E697" s="9"/>
      <c r="F697" s="6"/>
      <c r="G697" s="6"/>
      <c r="H697" s="6"/>
      <c r="I697" s="6"/>
      <c r="J697" s="138"/>
    </row>
    <row r="698" spans="1:10">
      <c r="A698" s="9"/>
      <c r="B698" s="9"/>
      <c r="C698" s="6"/>
      <c r="D698" s="6"/>
      <c r="E698" s="9"/>
      <c r="F698" s="6"/>
      <c r="G698" s="6"/>
      <c r="H698" s="6"/>
      <c r="I698" s="6"/>
      <c r="J698" s="138"/>
    </row>
    <row r="699" spans="1:10">
      <c r="A699" s="9"/>
      <c r="B699" s="9"/>
      <c r="C699" s="6"/>
      <c r="D699" s="6"/>
      <c r="E699" s="9"/>
      <c r="F699" s="6"/>
      <c r="G699" s="6"/>
      <c r="H699" s="6"/>
      <c r="I699" s="6"/>
      <c r="J699" s="138"/>
    </row>
    <row r="700" spans="1:10">
      <c r="A700" s="9"/>
      <c r="B700" s="9"/>
      <c r="C700" s="6"/>
      <c r="D700" s="6"/>
      <c r="E700" s="9"/>
      <c r="F700" s="6"/>
      <c r="G700" s="6"/>
      <c r="H700" s="6"/>
      <c r="I700" s="6"/>
      <c r="J700" s="138"/>
    </row>
    <row r="701" spans="1:10">
      <c r="A701" s="9"/>
      <c r="B701" s="9"/>
      <c r="C701" s="6"/>
      <c r="D701" s="6"/>
      <c r="E701" s="9"/>
      <c r="F701" s="6"/>
      <c r="G701" s="6"/>
      <c r="H701" s="6"/>
      <c r="I701" s="6"/>
      <c r="J701" s="138"/>
    </row>
    <row r="702" spans="1:10">
      <c r="A702" s="9"/>
      <c r="B702" s="9"/>
      <c r="C702" s="6"/>
      <c r="D702" s="6"/>
      <c r="E702" s="9"/>
      <c r="F702" s="6"/>
      <c r="G702" s="6"/>
      <c r="H702" s="6"/>
      <c r="I702" s="6"/>
      <c r="J702" s="138"/>
    </row>
    <row r="703" spans="1:10">
      <c r="A703" s="9"/>
      <c r="B703" s="9"/>
      <c r="C703" s="6"/>
      <c r="D703" s="6"/>
      <c r="E703" s="9"/>
      <c r="F703" s="6"/>
      <c r="G703" s="6"/>
      <c r="H703" s="6"/>
      <c r="I703" s="6"/>
      <c r="J703" s="138"/>
    </row>
    <row r="704" spans="1:10">
      <c r="A704" s="9"/>
      <c r="B704" s="9"/>
      <c r="C704" s="6"/>
      <c r="D704" s="6"/>
      <c r="E704" s="9"/>
      <c r="F704" s="6"/>
      <c r="G704" s="6"/>
      <c r="H704" s="6"/>
      <c r="I704" s="6"/>
      <c r="J704" s="138"/>
    </row>
    <row r="705" spans="1:10">
      <c r="A705" s="9"/>
      <c r="B705" s="9"/>
      <c r="C705" s="6"/>
      <c r="D705" s="6"/>
      <c r="E705" s="9"/>
      <c r="F705" s="6"/>
      <c r="G705" s="6"/>
      <c r="H705" s="6"/>
      <c r="I705" s="6"/>
      <c r="J705" s="138"/>
    </row>
    <row r="706" spans="1:10">
      <c r="A706" s="9"/>
      <c r="B706" s="9"/>
      <c r="C706" s="6"/>
      <c r="D706" s="6"/>
      <c r="E706" s="9"/>
      <c r="F706" s="6"/>
      <c r="G706" s="6"/>
      <c r="H706" s="6"/>
      <c r="I706" s="6"/>
      <c r="J706" s="138"/>
    </row>
    <row r="707" spans="1:10">
      <c r="A707" s="9"/>
      <c r="B707" s="9"/>
      <c r="C707" s="6"/>
      <c r="D707" s="6"/>
      <c r="E707" s="9"/>
      <c r="F707" s="6"/>
      <c r="G707" s="6"/>
      <c r="H707" s="6"/>
      <c r="I707" s="6"/>
      <c r="J707" s="138"/>
    </row>
    <row r="708" spans="1:10">
      <c r="A708" s="9"/>
      <c r="B708" s="9"/>
      <c r="C708" s="6"/>
      <c r="D708" s="6"/>
      <c r="E708" s="9"/>
      <c r="F708" s="6"/>
      <c r="G708" s="6"/>
      <c r="H708" s="6"/>
      <c r="I708" s="6"/>
      <c r="J708" s="138"/>
    </row>
    <row r="709" spans="1:10">
      <c r="A709" s="9"/>
      <c r="B709" s="9"/>
      <c r="C709" s="6"/>
      <c r="D709" s="6"/>
      <c r="E709" s="9"/>
      <c r="F709" s="6"/>
      <c r="G709" s="6"/>
      <c r="H709" s="6"/>
      <c r="I709" s="6"/>
      <c r="J709" s="138"/>
    </row>
    <row r="710" spans="1:10">
      <c r="A710" s="9"/>
      <c r="B710" s="9"/>
      <c r="C710" s="6"/>
      <c r="D710" s="6"/>
      <c r="E710" s="9"/>
      <c r="F710" s="6"/>
      <c r="G710" s="6"/>
      <c r="H710" s="6"/>
      <c r="I710" s="6"/>
      <c r="J710" s="138"/>
    </row>
    <row r="711" spans="1:10">
      <c r="A711" s="9"/>
      <c r="B711" s="9"/>
      <c r="C711" s="6"/>
      <c r="D711" s="6"/>
      <c r="E711" s="9"/>
      <c r="F711" s="6"/>
      <c r="G711" s="6"/>
      <c r="H711" s="6"/>
      <c r="I711" s="6"/>
      <c r="J711" s="138"/>
    </row>
    <row r="712" spans="1:10">
      <c r="A712" s="9"/>
      <c r="B712" s="9"/>
      <c r="C712" s="6"/>
      <c r="D712" s="6"/>
      <c r="E712" s="9"/>
      <c r="F712" s="6"/>
      <c r="G712" s="6"/>
      <c r="H712" s="6"/>
      <c r="I712" s="6"/>
      <c r="J712" s="138"/>
    </row>
    <row r="713" spans="1:10">
      <c r="A713" s="9"/>
      <c r="B713" s="9"/>
      <c r="C713" s="6"/>
      <c r="D713" s="6"/>
      <c r="E713" s="9"/>
      <c r="F713" s="6"/>
      <c r="G713" s="6"/>
      <c r="H713" s="6"/>
      <c r="I713" s="6"/>
      <c r="J713" s="138"/>
    </row>
    <row r="714" spans="1:10">
      <c r="A714" s="9"/>
      <c r="B714" s="9"/>
      <c r="C714" s="6"/>
      <c r="D714" s="6"/>
      <c r="E714" s="9"/>
      <c r="F714" s="6"/>
      <c r="G714" s="6"/>
      <c r="H714" s="6"/>
      <c r="I714" s="6"/>
      <c r="J714" s="138"/>
    </row>
    <row r="715" spans="1:10">
      <c r="A715" s="9"/>
      <c r="B715" s="9"/>
      <c r="C715" s="6"/>
      <c r="D715" s="6"/>
      <c r="E715" s="9"/>
      <c r="F715" s="6"/>
      <c r="G715" s="6"/>
      <c r="H715" s="6"/>
      <c r="I715" s="6"/>
      <c r="J715" s="138"/>
    </row>
    <row r="716" spans="1:10">
      <c r="A716" s="9"/>
      <c r="B716" s="9"/>
      <c r="C716" s="6"/>
      <c r="D716" s="6"/>
      <c r="E716" s="9"/>
      <c r="F716" s="6"/>
      <c r="G716" s="6"/>
      <c r="H716" s="6"/>
      <c r="I716" s="6"/>
      <c r="J716" s="138"/>
    </row>
    <row r="717" spans="1:10">
      <c r="A717" s="9"/>
      <c r="B717" s="9"/>
      <c r="C717" s="6"/>
      <c r="D717" s="6"/>
      <c r="E717" s="9"/>
      <c r="F717" s="6"/>
      <c r="G717" s="6"/>
      <c r="H717" s="6"/>
      <c r="I717" s="6"/>
      <c r="J717" s="138"/>
    </row>
    <row r="718" spans="1:10">
      <c r="A718" s="9"/>
      <c r="B718" s="9"/>
      <c r="C718" s="6"/>
      <c r="D718" s="6"/>
      <c r="E718" s="9"/>
      <c r="F718" s="6"/>
      <c r="G718" s="6"/>
      <c r="H718" s="6"/>
      <c r="I718" s="6"/>
      <c r="J718" s="138"/>
    </row>
    <row r="719" spans="1:10">
      <c r="A719" s="9"/>
      <c r="B719" s="9"/>
      <c r="C719" s="6"/>
      <c r="D719" s="6"/>
      <c r="E719" s="9"/>
      <c r="F719" s="6"/>
      <c r="G719" s="6"/>
      <c r="H719" s="6"/>
      <c r="I719" s="6"/>
      <c r="J719" s="138"/>
    </row>
    <row r="720" spans="1:10">
      <c r="A720" s="9"/>
      <c r="B720" s="9"/>
      <c r="C720" s="6"/>
      <c r="D720" s="6"/>
      <c r="E720" s="9"/>
      <c r="F720" s="6"/>
      <c r="G720" s="6"/>
      <c r="H720" s="6"/>
      <c r="I720" s="6"/>
      <c r="J720" s="138"/>
    </row>
    <row r="721" spans="1:10">
      <c r="A721" s="9"/>
      <c r="B721" s="9"/>
      <c r="C721" s="6"/>
      <c r="D721" s="6"/>
      <c r="E721" s="9"/>
      <c r="F721" s="6"/>
      <c r="G721" s="6"/>
      <c r="H721" s="6"/>
      <c r="I721" s="6"/>
      <c r="J721" s="138"/>
    </row>
    <row r="722" spans="1:10">
      <c r="A722" s="9"/>
      <c r="B722" s="9"/>
      <c r="C722" s="6"/>
      <c r="D722" s="6"/>
      <c r="E722" s="9"/>
      <c r="F722" s="6"/>
      <c r="G722" s="6"/>
      <c r="H722" s="6"/>
      <c r="I722" s="6"/>
      <c r="J722" s="138"/>
    </row>
    <row r="723" spans="1:10">
      <c r="A723" s="9"/>
      <c r="B723" s="9"/>
      <c r="C723" s="6"/>
      <c r="D723" s="6"/>
      <c r="E723" s="9"/>
      <c r="F723" s="6"/>
      <c r="G723" s="6"/>
      <c r="H723" s="6"/>
      <c r="I723" s="6"/>
      <c r="J723" s="138"/>
    </row>
    <row r="724" spans="1:10">
      <c r="A724" s="9"/>
      <c r="B724" s="9"/>
      <c r="C724" s="6"/>
      <c r="D724" s="6"/>
      <c r="E724" s="9"/>
      <c r="F724" s="6"/>
      <c r="G724" s="6"/>
      <c r="H724" s="6"/>
      <c r="I724" s="6"/>
      <c r="J724" s="138"/>
    </row>
    <row r="725" spans="1:10">
      <c r="A725" s="9"/>
      <c r="B725" s="9"/>
      <c r="C725" s="6"/>
      <c r="D725" s="6"/>
      <c r="E725" s="9"/>
      <c r="F725" s="6"/>
      <c r="G725" s="6"/>
      <c r="H725" s="6"/>
      <c r="I725" s="6"/>
      <c r="J725" s="138"/>
    </row>
    <row r="726" spans="1:10">
      <c r="A726" s="9"/>
      <c r="B726" s="9"/>
      <c r="C726" s="6"/>
      <c r="D726" s="6"/>
      <c r="E726" s="9"/>
      <c r="F726" s="6"/>
      <c r="G726" s="6"/>
      <c r="H726" s="6"/>
      <c r="I726" s="6"/>
      <c r="J726" s="138"/>
    </row>
    <row r="727" spans="1:10">
      <c r="A727" s="9"/>
      <c r="B727" s="9"/>
      <c r="C727" s="6"/>
      <c r="D727" s="6"/>
      <c r="E727" s="9"/>
      <c r="F727" s="6"/>
      <c r="G727" s="6"/>
      <c r="H727" s="6"/>
      <c r="I727" s="6"/>
      <c r="J727" s="138"/>
    </row>
    <row r="728" spans="1:10">
      <c r="A728" s="9"/>
      <c r="B728" s="9"/>
      <c r="C728" s="6"/>
      <c r="D728" s="6"/>
      <c r="E728" s="9"/>
      <c r="F728" s="6"/>
      <c r="G728" s="6"/>
      <c r="H728" s="6"/>
      <c r="I728" s="6"/>
      <c r="J728" s="138"/>
    </row>
    <row r="729" spans="1:10">
      <c r="A729" s="9"/>
      <c r="B729" s="9"/>
      <c r="C729" s="6"/>
      <c r="D729" s="6"/>
      <c r="E729" s="9"/>
      <c r="F729" s="6"/>
      <c r="G729" s="6"/>
      <c r="H729" s="6"/>
      <c r="I729" s="6"/>
      <c r="J729" s="138"/>
    </row>
    <row r="730" spans="1:10">
      <c r="A730" s="9"/>
      <c r="B730" s="9"/>
      <c r="C730" s="6"/>
      <c r="D730" s="6"/>
      <c r="E730" s="9"/>
      <c r="F730" s="6"/>
      <c r="G730" s="6"/>
      <c r="H730" s="6"/>
      <c r="I730" s="6"/>
      <c r="J730" s="138"/>
    </row>
    <row r="731" spans="1:10">
      <c r="A731" s="9"/>
      <c r="B731" s="9"/>
      <c r="C731" s="6"/>
      <c r="D731" s="6"/>
      <c r="E731" s="9"/>
      <c r="F731" s="6"/>
      <c r="G731" s="6"/>
      <c r="H731" s="6"/>
      <c r="I731" s="6"/>
      <c r="J731" s="138"/>
    </row>
    <row r="732" spans="1:10">
      <c r="A732" s="9"/>
      <c r="B732" s="9"/>
      <c r="C732" s="6"/>
      <c r="D732" s="6"/>
      <c r="E732" s="9"/>
      <c r="F732" s="6"/>
      <c r="G732" s="6"/>
      <c r="H732" s="6"/>
      <c r="I732" s="6"/>
      <c r="J732" s="138"/>
    </row>
    <row r="733" spans="1:10">
      <c r="A733" s="9"/>
      <c r="B733" s="9"/>
      <c r="C733" s="6"/>
      <c r="D733" s="6"/>
      <c r="E733" s="9"/>
      <c r="F733" s="6"/>
      <c r="G733" s="6"/>
      <c r="H733" s="6"/>
      <c r="I733" s="6"/>
      <c r="J733" s="138"/>
    </row>
    <row r="734" spans="1:10">
      <c r="A734" s="9"/>
      <c r="B734" s="9"/>
      <c r="C734" s="6"/>
      <c r="D734" s="6"/>
      <c r="E734" s="9"/>
      <c r="F734" s="6"/>
      <c r="G734" s="6"/>
      <c r="H734" s="6"/>
      <c r="I734" s="6"/>
      <c r="J734" s="138"/>
    </row>
    <row r="735" spans="1:10">
      <c r="A735" s="9"/>
      <c r="B735" s="9"/>
      <c r="C735" s="6"/>
      <c r="D735" s="6"/>
      <c r="E735" s="9"/>
      <c r="F735" s="6"/>
      <c r="G735" s="6"/>
      <c r="H735" s="6"/>
      <c r="I735" s="6"/>
      <c r="J735" s="138"/>
    </row>
    <row r="736" spans="1:10">
      <c r="A736" s="9"/>
      <c r="B736" s="9"/>
      <c r="C736" s="6"/>
      <c r="D736" s="6"/>
      <c r="E736" s="9"/>
      <c r="F736" s="6"/>
      <c r="G736" s="6"/>
      <c r="H736" s="6"/>
      <c r="I736" s="6"/>
      <c r="J736" s="138"/>
    </row>
    <row r="737" spans="1:10">
      <c r="A737" s="9"/>
      <c r="B737" s="9"/>
      <c r="C737" s="6"/>
      <c r="D737" s="6"/>
      <c r="E737" s="9"/>
      <c r="F737" s="6"/>
      <c r="G737" s="6"/>
      <c r="H737" s="6"/>
      <c r="I737" s="6"/>
      <c r="J737" s="138"/>
    </row>
    <row r="738" spans="1:10">
      <c r="A738" s="9"/>
      <c r="B738" s="9"/>
      <c r="C738" s="6"/>
      <c r="D738" s="6"/>
      <c r="E738" s="9"/>
      <c r="F738" s="6"/>
      <c r="G738" s="6"/>
      <c r="H738" s="6"/>
      <c r="I738" s="6"/>
      <c r="J738" s="138"/>
    </row>
    <row r="739" spans="1:10">
      <c r="A739" s="9"/>
      <c r="B739" s="9"/>
      <c r="C739" s="6"/>
      <c r="D739" s="6"/>
      <c r="E739" s="9"/>
      <c r="F739" s="6"/>
      <c r="G739" s="6"/>
      <c r="H739" s="6"/>
      <c r="I739" s="6"/>
      <c r="J739" s="138"/>
    </row>
    <row r="740" spans="1:10">
      <c r="A740" s="9"/>
      <c r="B740" s="9"/>
      <c r="C740" s="6"/>
      <c r="D740" s="6"/>
      <c r="E740" s="9"/>
      <c r="F740" s="6"/>
      <c r="G740" s="6"/>
      <c r="H740" s="6"/>
      <c r="I740" s="6"/>
      <c r="J740" s="138"/>
    </row>
    <row r="741" spans="1:10">
      <c r="A741" s="9"/>
      <c r="B741" s="9"/>
      <c r="C741" s="6"/>
      <c r="D741" s="6"/>
      <c r="E741" s="9"/>
      <c r="F741" s="6"/>
      <c r="G741" s="6"/>
      <c r="H741" s="6"/>
      <c r="I741" s="6"/>
      <c r="J741" s="138"/>
    </row>
    <row r="742" spans="1:10">
      <c r="A742" s="9"/>
      <c r="B742" s="9"/>
      <c r="C742" s="6"/>
      <c r="D742" s="6"/>
      <c r="E742" s="9"/>
      <c r="F742" s="6"/>
      <c r="G742" s="6"/>
      <c r="H742" s="6"/>
      <c r="I742" s="6"/>
      <c r="J742" s="138"/>
    </row>
    <row r="743" spans="1:10">
      <c r="A743" s="9"/>
      <c r="B743" s="9"/>
      <c r="C743" s="6"/>
      <c r="D743" s="6"/>
      <c r="E743" s="9"/>
      <c r="F743" s="6"/>
      <c r="G743" s="6"/>
      <c r="H743" s="6"/>
      <c r="I743" s="6"/>
      <c r="J743" s="138"/>
    </row>
    <row r="744" spans="1:10">
      <c r="A744" s="9"/>
      <c r="B744" s="9"/>
      <c r="C744" s="6"/>
      <c r="D744" s="6"/>
      <c r="E744" s="9"/>
      <c r="F744" s="6"/>
      <c r="G744" s="6"/>
      <c r="H744" s="6"/>
      <c r="I744" s="6"/>
      <c r="J744" s="138"/>
    </row>
    <row r="745" spans="1:10">
      <c r="A745" s="9"/>
      <c r="B745" s="9"/>
      <c r="C745" s="6"/>
      <c r="D745" s="6"/>
      <c r="E745" s="9"/>
      <c r="F745" s="6"/>
      <c r="G745" s="6"/>
      <c r="H745" s="6"/>
      <c r="I745" s="6"/>
      <c r="J745" s="138"/>
    </row>
    <row r="746" spans="1:10">
      <c r="A746" s="9"/>
      <c r="B746" s="9"/>
      <c r="C746" s="6"/>
      <c r="D746" s="6"/>
      <c r="E746" s="9"/>
      <c r="F746" s="6"/>
      <c r="G746" s="6"/>
      <c r="H746" s="6"/>
      <c r="I746" s="6"/>
      <c r="J746" s="138"/>
    </row>
    <row r="747" spans="1:10">
      <c r="A747" s="9"/>
      <c r="B747" s="9"/>
      <c r="C747" s="6"/>
      <c r="D747" s="6"/>
      <c r="E747" s="9"/>
      <c r="F747" s="6"/>
      <c r="G747" s="6"/>
      <c r="H747" s="6"/>
      <c r="I747" s="6"/>
      <c r="J747" s="138"/>
    </row>
    <row r="748" spans="1:10">
      <c r="A748" s="9"/>
      <c r="B748" s="9"/>
      <c r="C748" s="6"/>
      <c r="D748" s="6"/>
      <c r="E748" s="9"/>
      <c r="F748" s="6"/>
      <c r="G748" s="6"/>
      <c r="H748" s="6"/>
      <c r="I748" s="6"/>
      <c r="J748" s="138"/>
    </row>
    <row r="749" spans="1:10">
      <c r="A749" s="9"/>
      <c r="B749" s="9"/>
      <c r="C749" s="6"/>
      <c r="D749" s="6"/>
      <c r="E749" s="9"/>
      <c r="F749" s="6"/>
      <c r="G749" s="6"/>
      <c r="H749" s="6"/>
      <c r="I749" s="6"/>
      <c r="J749" s="138"/>
    </row>
    <row r="750" spans="1:10">
      <c r="A750" s="9"/>
      <c r="B750" s="9"/>
      <c r="C750" s="6"/>
      <c r="D750" s="6"/>
      <c r="E750" s="9"/>
      <c r="F750" s="6"/>
      <c r="G750" s="6"/>
      <c r="H750" s="6"/>
      <c r="I750" s="6"/>
      <c r="J750" s="138"/>
    </row>
    <row r="751" spans="1:10">
      <c r="A751" s="9"/>
      <c r="B751" s="9"/>
      <c r="C751" s="6"/>
      <c r="D751" s="6"/>
      <c r="E751" s="9"/>
      <c r="F751" s="6"/>
      <c r="G751" s="6"/>
      <c r="H751" s="6"/>
      <c r="I751" s="6"/>
      <c r="J751" s="138"/>
    </row>
    <row r="752" spans="1:10">
      <c r="A752" s="9"/>
      <c r="B752" s="9"/>
      <c r="C752" s="6"/>
      <c r="D752" s="6"/>
      <c r="E752" s="9"/>
      <c r="F752" s="6"/>
      <c r="G752" s="6"/>
      <c r="H752" s="6"/>
      <c r="I752" s="6"/>
      <c r="J752" s="138"/>
    </row>
    <row r="753" spans="1:10">
      <c r="A753" s="9"/>
      <c r="B753" s="9"/>
      <c r="C753" s="6"/>
      <c r="D753" s="6"/>
      <c r="E753" s="9"/>
      <c r="F753" s="6"/>
      <c r="G753" s="6"/>
      <c r="H753" s="6"/>
      <c r="I753" s="6"/>
      <c r="J753" s="138"/>
    </row>
    <row r="754" spans="1:10">
      <c r="A754" s="9"/>
      <c r="B754" s="9"/>
      <c r="C754" s="6"/>
      <c r="D754" s="6"/>
      <c r="E754" s="9"/>
      <c r="F754" s="6"/>
      <c r="G754" s="6"/>
      <c r="H754" s="6"/>
      <c r="I754" s="6"/>
      <c r="J754" s="138"/>
    </row>
    <row r="755" spans="1:10">
      <c r="A755" s="9"/>
      <c r="B755" s="9"/>
      <c r="C755" s="6"/>
      <c r="D755" s="6"/>
      <c r="E755" s="9"/>
      <c r="F755" s="6"/>
      <c r="G755" s="6"/>
      <c r="H755" s="6"/>
      <c r="I755" s="6"/>
      <c r="J755" s="138"/>
    </row>
    <row r="756" spans="1:10">
      <c r="A756" s="9"/>
      <c r="B756" s="9"/>
      <c r="C756" s="6"/>
      <c r="D756" s="6"/>
      <c r="E756" s="9"/>
      <c r="F756" s="6"/>
      <c r="G756" s="6"/>
      <c r="H756" s="6"/>
      <c r="I756" s="6"/>
      <c r="J756" s="138"/>
    </row>
    <row r="757" spans="1:10">
      <c r="A757" s="9"/>
      <c r="B757" s="9"/>
      <c r="C757" s="6"/>
      <c r="D757" s="6"/>
      <c r="E757" s="9"/>
      <c r="F757" s="6"/>
      <c r="G757" s="6"/>
      <c r="H757" s="6"/>
      <c r="I757" s="6"/>
      <c r="J757" s="138"/>
    </row>
    <row r="758" spans="1:10">
      <c r="A758" s="9"/>
      <c r="B758" s="9"/>
      <c r="C758" s="6"/>
      <c r="D758" s="6"/>
      <c r="E758" s="9"/>
      <c r="F758" s="6"/>
      <c r="G758" s="6"/>
      <c r="H758" s="6"/>
      <c r="I758" s="6"/>
      <c r="J758" s="138"/>
    </row>
    <row r="759" spans="1:10">
      <c r="A759" s="9"/>
      <c r="B759" s="9"/>
      <c r="C759" s="6"/>
      <c r="D759" s="6"/>
      <c r="E759" s="9"/>
      <c r="F759" s="6"/>
      <c r="G759" s="6"/>
      <c r="H759" s="6"/>
      <c r="I759" s="6"/>
      <c r="J759" s="138"/>
    </row>
    <row r="760" spans="1:10">
      <c r="A760" s="9"/>
      <c r="B760" s="9"/>
      <c r="C760" s="6"/>
      <c r="D760" s="6"/>
      <c r="E760" s="9"/>
      <c r="F760" s="6"/>
      <c r="G760" s="6"/>
      <c r="H760" s="6"/>
      <c r="I760" s="6"/>
      <c r="J760" s="138"/>
    </row>
    <row r="761" spans="1:10">
      <c r="A761" s="9"/>
      <c r="B761" s="9"/>
      <c r="C761" s="6"/>
      <c r="D761" s="6"/>
      <c r="E761" s="9"/>
      <c r="F761" s="6"/>
      <c r="G761" s="6"/>
      <c r="H761" s="6"/>
      <c r="I761" s="6"/>
      <c r="J761" s="138"/>
    </row>
    <row r="762" spans="1:10">
      <c r="A762" s="9"/>
      <c r="B762" s="9"/>
      <c r="C762" s="6"/>
      <c r="D762" s="6"/>
      <c r="E762" s="9"/>
      <c r="F762" s="6"/>
      <c r="G762" s="6"/>
      <c r="H762" s="6"/>
      <c r="I762" s="6"/>
      <c r="J762" s="138"/>
    </row>
    <row r="763" spans="1:10">
      <c r="A763" s="9"/>
      <c r="B763" s="9"/>
      <c r="C763" s="6"/>
      <c r="D763" s="6"/>
      <c r="E763" s="9"/>
      <c r="F763" s="6"/>
      <c r="G763" s="6"/>
      <c r="H763" s="6"/>
      <c r="I763" s="6"/>
      <c r="J763" s="138"/>
    </row>
    <row r="764" spans="1:10">
      <c r="A764" s="9"/>
      <c r="B764" s="9"/>
      <c r="C764" s="6"/>
      <c r="D764" s="6"/>
      <c r="E764" s="9"/>
      <c r="F764" s="6"/>
      <c r="G764" s="6"/>
      <c r="H764" s="6"/>
      <c r="I764" s="6"/>
      <c r="J764" s="138"/>
    </row>
    <row r="765" spans="1:10">
      <c r="A765" s="9"/>
      <c r="B765" s="9"/>
      <c r="C765" s="6"/>
      <c r="D765" s="6"/>
      <c r="E765" s="9"/>
      <c r="F765" s="6"/>
      <c r="G765" s="6"/>
      <c r="H765" s="6"/>
      <c r="I765" s="6"/>
      <c r="J765" s="138"/>
    </row>
    <row r="766" spans="1:10">
      <c r="A766" s="9"/>
      <c r="B766" s="9"/>
      <c r="C766" s="6"/>
      <c r="D766" s="6"/>
      <c r="E766" s="9"/>
      <c r="F766" s="6"/>
      <c r="G766" s="6"/>
      <c r="H766" s="6"/>
      <c r="I766" s="6"/>
      <c r="J766" s="138"/>
    </row>
    <row r="767" spans="1:10">
      <c r="A767" s="9"/>
      <c r="B767" s="9"/>
      <c r="C767" s="6"/>
      <c r="D767" s="6"/>
      <c r="E767" s="9"/>
      <c r="F767" s="6"/>
      <c r="G767" s="6"/>
      <c r="H767" s="6"/>
      <c r="I767" s="6"/>
      <c r="J767" s="138"/>
    </row>
    <row r="768" spans="1:10">
      <c r="A768" s="9"/>
      <c r="B768" s="9"/>
      <c r="C768" s="6"/>
      <c r="D768" s="6"/>
      <c r="E768" s="9"/>
      <c r="F768" s="6"/>
      <c r="G768" s="6"/>
      <c r="H768" s="6"/>
      <c r="I768" s="6"/>
      <c r="J768" s="138"/>
    </row>
    <row r="769" spans="1:10">
      <c r="A769" s="9"/>
      <c r="B769" s="9"/>
      <c r="C769" s="6"/>
      <c r="D769" s="6"/>
      <c r="E769" s="9"/>
      <c r="F769" s="6"/>
      <c r="G769" s="6"/>
      <c r="H769" s="6"/>
      <c r="I769" s="6"/>
      <c r="J769" s="138"/>
    </row>
    <row r="770" spans="1:10">
      <c r="A770" s="9"/>
      <c r="B770" s="9"/>
      <c r="C770" s="6"/>
      <c r="D770" s="6"/>
      <c r="E770" s="9"/>
      <c r="F770" s="6"/>
      <c r="G770" s="6"/>
      <c r="H770" s="6"/>
      <c r="I770" s="6"/>
      <c r="J770" s="138"/>
    </row>
    <row r="771" spans="1:10">
      <c r="A771" s="9"/>
      <c r="B771" s="9"/>
      <c r="C771" s="6"/>
      <c r="D771" s="6"/>
      <c r="E771" s="9"/>
      <c r="F771" s="6"/>
      <c r="G771" s="6"/>
      <c r="H771" s="6"/>
      <c r="I771" s="6"/>
      <c r="J771" s="138"/>
    </row>
    <row r="772" spans="1:10">
      <c r="A772" s="9"/>
      <c r="B772" s="9"/>
      <c r="C772" s="6"/>
      <c r="D772" s="6"/>
      <c r="E772" s="9"/>
      <c r="F772" s="6"/>
      <c r="G772" s="6"/>
      <c r="H772" s="6"/>
      <c r="I772" s="6"/>
      <c r="J772" s="138"/>
    </row>
    <row r="773" spans="1:10">
      <c r="A773" s="9"/>
      <c r="B773" s="9"/>
      <c r="C773" s="6"/>
      <c r="D773" s="6"/>
      <c r="E773" s="9"/>
      <c r="F773" s="6"/>
      <c r="G773" s="6"/>
      <c r="H773" s="6"/>
      <c r="I773" s="6"/>
      <c r="J773" s="138"/>
    </row>
    <row r="774" spans="1:10">
      <c r="A774" s="9"/>
      <c r="B774" s="9"/>
      <c r="C774" s="6"/>
      <c r="D774" s="6"/>
      <c r="E774" s="9"/>
      <c r="F774" s="6"/>
      <c r="G774" s="6"/>
      <c r="H774" s="6"/>
      <c r="I774" s="6"/>
      <c r="J774" s="138"/>
    </row>
    <row r="775" spans="1:10">
      <c r="A775" s="9"/>
      <c r="B775" s="9"/>
      <c r="C775" s="6"/>
      <c r="D775" s="6"/>
      <c r="E775" s="9"/>
      <c r="F775" s="6"/>
      <c r="G775" s="6"/>
      <c r="H775" s="6"/>
      <c r="I775" s="6"/>
      <c r="J775" s="138"/>
    </row>
    <row r="776" spans="1:10">
      <c r="A776" s="9"/>
      <c r="B776" s="9"/>
      <c r="C776" s="6"/>
      <c r="D776" s="6"/>
      <c r="E776" s="9"/>
      <c r="F776" s="6"/>
      <c r="G776" s="6"/>
      <c r="H776" s="6"/>
      <c r="I776" s="6"/>
      <c r="J776" s="138"/>
    </row>
    <row r="777" spans="1:10">
      <c r="A777" s="9"/>
      <c r="B777" s="9"/>
      <c r="C777" s="6"/>
      <c r="D777" s="6"/>
      <c r="E777" s="9"/>
      <c r="F777" s="6"/>
      <c r="G777" s="6"/>
      <c r="H777" s="6"/>
      <c r="I777" s="6"/>
      <c r="J777" s="138"/>
    </row>
    <row r="778" spans="1:10">
      <c r="A778" s="9"/>
      <c r="B778" s="9"/>
      <c r="C778" s="6"/>
      <c r="D778" s="6"/>
      <c r="E778" s="9"/>
      <c r="F778" s="6"/>
      <c r="G778" s="6"/>
      <c r="H778" s="6"/>
      <c r="I778" s="6"/>
      <c r="J778" s="138"/>
    </row>
    <row r="779" spans="1:10">
      <c r="A779" s="9"/>
      <c r="B779" s="9"/>
      <c r="C779" s="6"/>
      <c r="D779" s="6"/>
      <c r="E779" s="9"/>
      <c r="F779" s="6"/>
      <c r="G779" s="6"/>
      <c r="H779" s="6"/>
      <c r="I779" s="6"/>
      <c r="J779" s="138"/>
    </row>
    <row r="780" spans="1:10">
      <c r="A780" s="9"/>
      <c r="B780" s="9"/>
      <c r="C780" s="6"/>
      <c r="D780" s="6"/>
      <c r="E780" s="9"/>
      <c r="F780" s="6"/>
      <c r="G780" s="6"/>
      <c r="H780" s="6"/>
      <c r="I780" s="6"/>
      <c r="J780" s="138"/>
    </row>
    <row r="781" spans="1:10">
      <c r="A781" s="9"/>
      <c r="B781" s="9"/>
      <c r="C781" s="6"/>
      <c r="D781" s="6"/>
      <c r="E781" s="9"/>
      <c r="F781" s="6"/>
      <c r="G781" s="6"/>
      <c r="H781" s="6"/>
      <c r="I781" s="6"/>
      <c r="J781" s="138"/>
    </row>
    <row r="782" spans="1:10">
      <c r="A782" s="9"/>
      <c r="B782" s="9"/>
      <c r="C782" s="6"/>
      <c r="D782" s="6"/>
      <c r="E782" s="9"/>
      <c r="F782" s="6"/>
      <c r="G782" s="6"/>
      <c r="H782" s="6"/>
      <c r="I782" s="6"/>
      <c r="J782" s="138"/>
    </row>
    <row r="783" spans="1:10">
      <c r="A783" s="9"/>
      <c r="B783" s="9"/>
      <c r="C783" s="6"/>
      <c r="D783" s="6"/>
      <c r="E783" s="9"/>
      <c r="F783" s="6"/>
      <c r="G783" s="6"/>
      <c r="H783" s="6"/>
      <c r="I783" s="6"/>
      <c r="J783" s="138"/>
    </row>
    <row r="784" spans="1:10">
      <c r="A784" s="9"/>
      <c r="B784" s="9"/>
      <c r="C784" s="6"/>
      <c r="D784" s="6"/>
      <c r="E784" s="9"/>
      <c r="F784" s="6"/>
      <c r="G784" s="6"/>
      <c r="H784" s="6"/>
      <c r="I784" s="6"/>
      <c r="J784" s="138"/>
    </row>
    <row r="785" spans="1:10">
      <c r="A785" s="9"/>
      <c r="B785" s="9"/>
      <c r="C785" s="6"/>
      <c r="D785" s="6"/>
      <c r="E785" s="9"/>
      <c r="F785" s="6"/>
      <c r="G785" s="6"/>
      <c r="H785" s="6"/>
      <c r="I785" s="6"/>
      <c r="J785" s="138"/>
    </row>
    <row r="786" spans="1:10">
      <c r="A786" s="9"/>
      <c r="B786" s="9"/>
      <c r="C786" s="6"/>
      <c r="D786" s="6"/>
      <c r="E786" s="9"/>
      <c r="F786" s="6"/>
      <c r="G786" s="6"/>
      <c r="H786" s="6"/>
      <c r="I786" s="6"/>
      <c r="J786" s="138"/>
    </row>
    <row r="787" spans="1:10">
      <c r="A787" s="9"/>
      <c r="B787" s="9"/>
      <c r="C787" s="6"/>
      <c r="D787" s="6"/>
      <c r="E787" s="9"/>
      <c r="F787" s="6"/>
      <c r="G787" s="6"/>
      <c r="H787" s="6"/>
      <c r="I787" s="6"/>
      <c r="J787" s="138"/>
    </row>
    <row r="788" spans="1:10">
      <c r="A788" s="9"/>
      <c r="B788" s="9"/>
      <c r="C788" s="6"/>
      <c r="D788" s="6"/>
      <c r="E788" s="9"/>
      <c r="F788" s="6"/>
      <c r="G788" s="6"/>
      <c r="H788" s="6"/>
      <c r="I788" s="6"/>
      <c r="J788" s="138"/>
    </row>
    <row r="789" spans="1:10">
      <c r="A789" s="9"/>
      <c r="B789" s="9"/>
      <c r="C789" s="6"/>
      <c r="D789" s="6"/>
      <c r="E789" s="9"/>
      <c r="F789" s="6"/>
      <c r="G789" s="6"/>
      <c r="H789" s="6"/>
      <c r="I789" s="6"/>
      <c r="J789" s="138"/>
    </row>
    <row r="790" spans="1:10">
      <c r="A790" s="9"/>
      <c r="B790" s="9"/>
      <c r="C790" s="6"/>
      <c r="D790" s="6"/>
      <c r="E790" s="9"/>
      <c r="F790" s="6"/>
      <c r="G790" s="6"/>
      <c r="H790" s="6"/>
      <c r="I790" s="6"/>
      <c r="J790" s="138"/>
    </row>
    <row r="791" spans="1:10">
      <c r="A791" s="9"/>
      <c r="B791" s="9"/>
      <c r="C791" s="6"/>
      <c r="D791" s="6"/>
      <c r="E791" s="9"/>
      <c r="F791" s="6"/>
      <c r="G791" s="6"/>
      <c r="H791" s="6"/>
      <c r="I791" s="6"/>
      <c r="J791" s="138"/>
    </row>
    <row r="792" spans="1:10">
      <c r="A792" s="9"/>
      <c r="B792" s="9"/>
      <c r="C792" s="6"/>
      <c r="D792" s="6"/>
      <c r="E792" s="9"/>
      <c r="F792" s="6"/>
      <c r="G792" s="6"/>
      <c r="H792" s="6"/>
      <c r="I792" s="6"/>
      <c r="J792" s="138"/>
    </row>
    <row r="793" spans="1:10">
      <c r="A793" s="9"/>
      <c r="B793" s="9"/>
      <c r="C793" s="6"/>
      <c r="D793" s="6"/>
      <c r="E793" s="9"/>
      <c r="F793" s="6"/>
      <c r="G793" s="6"/>
      <c r="H793" s="6"/>
      <c r="I793" s="6"/>
      <c r="J793" s="138"/>
    </row>
    <row r="794" spans="1:10">
      <c r="A794" s="9"/>
      <c r="B794" s="9"/>
      <c r="C794" s="6"/>
      <c r="D794" s="6"/>
      <c r="E794" s="9"/>
      <c r="F794" s="6"/>
      <c r="G794" s="6"/>
      <c r="H794" s="6"/>
      <c r="I794" s="6"/>
      <c r="J794" s="138"/>
    </row>
    <row r="795" spans="1:10">
      <c r="A795" s="9"/>
      <c r="B795" s="9"/>
      <c r="C795" s="6"/>
      <c r="D795" s="6"/>
      <c r="E795" s="9"/>
      <c r="F795" s="6"/>
      <c r="G795" s="6"/>
      <c r="H795" s="6"/>
      <c r="I795" s="6"/>
      <c r="J795" s="138"/>
    </row>
    <row r="796" spans="1:10">
      <c r="A796" s="9"/>
      <c r="B796" s="9"/>
      <c r="C796" s="6"/>
      <c r="D796" s="6"/>
      <c r="E796" s="9"/>
      <c r="F796" s="6"/>
      <c r="G796" s="6"/>
      <c r="H796" s="6"/>
      <c r="I796" s="6"/>
      <c r="J796" s="138"/>
    </row>
    <row r="797" spans="1:10">
      <c r="A797" s="9"/>
      <c r="B797" s="9"/>
      <c r="C797" s="6"/>
      <c r="D797" s="6"/>
      <c r="E797" s="9"/>
      <c r="F797" s="6"/>
      <c r="G797" s="6"/>
      <c r="H797" s="6"/>
      <c r="I797" s="6"/>
      <c r="J797" s="138"/>
    </row>
    <row r="798" spans="1:10">
      <c r="A798" s="9"/>
      <c r="B798" s="9"/>
      <c r="C798" s="6"/>
      <c r="D798" s="6"/>
      <c r="E798" s="9"/>
      <c r="F798" s="6"/>
      <c r="G798" s="6"/>
      <c r="H798" s="6"/>
      <c r="I798" s="6"/>
      <c r="J798" s="138"/>
    </row>
    <row r="799" spans="1:10">
      <c r="A799" s="9"/>
      <c r="B799" s="9"/>
      <c r="C799" s="6"/>
      <c r="D799" s="6"/>
      <c r="E799" s="9"/>
      <c r="F799" s="6"/>
      <c r="G799" s="6"/>
      <c r="H799" s="6"/>
      <c r="I799" s="6"/>
      <c r="J799" s="138"/>
    </row>
    <row r="800" spans="1:10">
      <c r="A800" s="9"/>
      <c r="B800" s="9"/>
      <c r="C800" s="6"/>
      <c r="D800" s="6"/>
      <c r="E800" s="9"/>
      <c r="F800" s="6"/>
      <c r="G800" s="6"/>
      <c r="H800" s="6"/>
      <c r="I800" s="6"/>
      <c r="J800" s="138"/>
    </row>
    <row r="801" spans="1:10">
      <c r="A801" s="9"/>
      <c r="B801" s="9"/>
      <c r="C801" s="6"/>
      <c r="D801" s="6"/>
      <c r="E801" s="9"/>
      <c r="F801" s="6"/>
      <c r="G801" s="6"/>
      <c r="H801" s="6"/>
      <c r="I801" s="6"/>
      <c r="J801" s="138"/>
    </row>
    <row r="802" spans="1:10">
      <c r="A802" s="9"/>
      <c r="B802" s="9"/>
      <c r="C802" s="6"/>
      <c r="D802" s="6"/>
      <c r="E802" s="9"/>
      <c r="F802" s="6"/>
      <c r="G802" s="6"/>
      <c r="H802" s="6"/>
      <c r="I802" s="6"/>
      <c r="J802" s="138"/>
    </row>
    <row r="803" spans="1:10">
      <c r="A803" s="9"/>
      <c r="B803" s="9"/>
      <c r="C803" s="6"/>
      <c r="D803" s="6"/>
      <c r="E803" s="9"/>
      <c r="F803" s="6"/>
      <c r="G803" s="6"/>
      <c r="H803" s="6"/>
      <c r="I803" s="6"/>
      <c r="J803" s="138"/>
    </row>
    <row r="804" spans="1:10">
      <c r="A804" s="9"/>
      <c r="B804" s="9"/>
      <c r="C804" s="6"/>
      <c r="D804" s="6"/>
      <c r="E804" s="9"/>
      <c r="F804" s="6"/>
      <c r="G804" s="6"/>
      <c r="H804" s="6"/>
      <c r="I804" s="6"/>
      <c r="J804" s="138"/>
    </row>
    <row r="805" spans="1:10">
      <c r="A805" s="9"/>
      <c r="B805" s="9"/>
      <c r="C805" s="6"/>
      <c r="D805" s="6"/>
      <c r="E805" s="9"/>
      <c r="F805" s="6"/>
      <c r="G805" s="6"/>
      <c r="H805" s="6"/>
      <c r="I805" s="6"/>
      <c r="J805" s="138"/>
    </row>
    <row r="806" spans="1:10">
      <c r="A806" s="9"/>
      <c r="B806" s="9"/>
      <c r="C806" s="6"/>
      <c r="D806" s="6"/>
      <c r="E806" s="9"/>
      <c r="F806" s="6"/>
      <c r="G806" s="6"/>
      <c r="H806" s="6"/>
      <c r="I806" s="6"/>
      <c r="J806" s="138"/>
    </row>
    <row r="807" spans="1:10">
      <c r="A807" s="9"/>
      <c r="B807" s="9"/>
      <c r="C807" s="6"/>
      <c r="D807" s="6"/>
      <c r="E807" s="9"/>
      <c r="F807" s="6"/>
      <c r="G807" s="6"/>
      <c r="H807" s="6"/>
      <c r="I807" s="6"/>
      <c r="J807" s="138"/>
    </row>
    <row r="808" spans="1:10">
      <c r="A808" s="9"/>
      <c r="B808" s="9"/>
      <c r="C808" s="6"/>
      <c r="D808" s="6"/>
      <c r="E808" s="9"/>
      <c r="F808" s="6"/>
      <c r="G808" s="6"/>
      <c r="H808" s="6"/>
      <c r="I808" s="6"/>
      <c r="J808" s="138"/>
    </row>
    <row r="809" spans="1:10">
      <c r="A809" s="9"/>
      <c r="B809" s="9"/>
      <c r="C809" s="6"/>
      <c r="D809" s="6"/>
      <c r="E809" s="9"/>
      <c r="F809" s="6"/>
      <c r="G809" s="6"/>
      <c r="H809" s="6"/>
      <c r="I809" s="6"/>
      <c r="J809" s="138"/>
    </row>
    <row r="810" spans="1:10">
      <c r="A810" s="9"/>
      <c r="B810" s="9"/>
      <c r="C810" s="6"/>
      <c r="D810" s="6"/>
      <c r="E810" s="9"/>
      <c r="F810" s="6"/>
      <c r="G810" s="6"/>
      <c r="H810" s="6"/>
      <c r="I810" s="6"/>
      <c r="J810" s="138"/>
    </row>
    <row r="811" spans="1:10">
      <c r="A811" s="9"/>
      <c r="B811" s="9"/>
      <c r="C811" s="6"/>
      <c r="D811" s="6"/>
      <c r="E811" s="9"/>
      <c r="F811" s="6"/>
      <c r="G811" s="6"/>
      <c r="H811" s="6"/>
      <c r="I811" s="6"/>
      <c r="J811" s="138"/>
    </row>
    <row r="812" spans="1:10">
      <c r="A812" s="9"/>
      <c r="B812" s="9"/>
      <c r="C812" s="6"/>
      <c r="D812" s="6"/>
      <c r="E812" s="9"/>
      <c r="F812" s="6"/>
      <c r="G812" s="6"/>
      <c r="H812" s="6"/>
      <c r="I812" s="6"/>
      <c r="J812" s="138"/>
    </row>
    <row r="813" spans="1:10">
      <c r="A813" s="9"/>
      <c r="B813" s="9"/>
      <c r="C813" s="6"/>
      <c r="D813" s="6"/>
      <c r="E813" s="9"/>
      <c r="F813" s="6"/>
      <c r="G813" s="6"/>
      <c r="H813" s="6"/>
      <c r="I813" s="6"/>
      <c r="J813" s="138"/>
    </row>
    <row r="814" spans="1:10">
      <c r="A814" s="9"/>
      <c r="B814" s="9"/>
      <c r="C814" s="6"/>
      <c r="D814" s="6"/>
      <c r="E814" s="9"/>
      <c r="F814" s="6"/>
      <c r="G814" s="6"/>
      <c r="H814" s="6"/>
      <c r="I814" s="6"/>
      <c r="J814" s="138"/>
    </row>
    <row r="815" spans="1:10">
      <c r="A815" s="9"/>
      <c r="B815" s="9"/>
      <c r="C815" s="6"/>
      <c r="D815" s="6"/>
      <c r="E815" s="9"/>
      <c r="F815" s="6"/>
      <c r="G815" s="6"/>
      <c r="H815" s="6"/>
      <c r="I815" s="6"/>
      <c r="J815" s="138"/>
    </row>
    <row r="816" spans="1:10">
      <c r="A816" s="9"/>
      <c r="B816" s="9"/>
      <c r="C816" s="6"/>
      <c r="D816" s="6"/>
      <c r="E816" s="9"/>
      <c r="F816" s="6"/>
      <c r="G816" s="6"/>
      <c r="H816" s="6"/>
      <c r="I816" s="6"/>
      <c r="J816" s="138"/>
    </row>
    <row r="817" spans="1:10">
      <c r="A817" s="9"/>
      <c r="B817" s="9"/>
      <c r="C817" s="6"/>
      <c r="D817" s="6"/>
      <c r="E817" s="9"/>
      <c r="F817" s="6"/>
      <c r="G817" s="6"/>
      <c r="H817" s="6"/>
      <c r="I817" s="6"/>
      <c r="J817" s="138"/>
    </row>
    <row r="818" spans="1:10">
      <c r="A818" s="9"/>
      <c r="B818" s="9"/>
      <c r="C818" s="6"/>
      <c r="D818" s="6"/>
      <c r="E818" s="9"/>
      <c r="F818" s="6"/>
      <c r="G818" s="6"/>
      <c r="H818" s="6"/>
      <c r="I818" s="6"/>
      <c r="J818" s="138"/>
    </row>
    <row r="819" spans="1:10">
      <c r="A819" s="9"/>
      <c r="B819" s="9"/>
      <c r="C819" s="6"/>
      <c r="D819" s="6"/>
      <c r="E819" s="9"/>
      <c r="F819" s="6"/>
      <c r="G819" s="6"/>
      <c r="H819" s="6"/>
      <c r="I819" s="6"/>
      <c r="J819" s="138"/>
    </row>
    <row r="820" spans="1:10">
      <c r="A820" s="9"/>
      <c r="B820" s="9"/>
      <c r="C820" s="6"/>
      <c r="D820" s="6"/>
      <c r="E820" s="9"/>
      <c r="F820" s="6"/>
      <c r="G820" s="6"/>
      <c r="H820" s="6"/>
      <c r="I820" s="6"/>
      <c r="J820" s="138"/>
    </row>
    <row r="821" spans="1:10">
      <c r="A821" s="9"/>
      <c r="B821" s="9"/>
      <c r="C821" s="6"/>
      <c r="D821" s="6"/>
      <c r="E821" s="9"/>
      <c r="F821" s="6"/>
      <c r="G821" s="6"/>
      <c r="H821" s="6"/>
      <c r="I821" s="6"/>
      <c r="J821" s="138"/>
    </row>
    <row r="822" spans="1:10">
      <c r="A822" s="9"/>
      <c r="B822" s="9"/>
      <c r="C822" s="6"/>
      <c r="D822" s="6"/>
      <c r="E822" s="9"/>
      <c r="F822" s="6"/>
      <c r="G822" s="6"/>
      <c r="H822" s="6"/>
      <c r="I822" s="6"/>
      <c r="J822" s="138"/>
    </row>
    <row r="823" spans="1:10">
      <c r="A823" s="9"/>
      <c r="B823" s="9"/>
      <c r="C823" s="6"/>
      <c r="D823" s="6"/>
      <c r="E823" s="9"/>
      <c r="F823" s="6"/>
      <c r="G823" s="6"/>
      <c r="H823" s="6"/>
      <c r="I823" s="6"/>
      <c r="J823" s="138"/>
    </row>
    <row r="824" spans="1:10">
      <c r="A824" s="9"/>
      <c r="B824" s="9"/>
      <c r="C824" s="6"/>
      <c r="D824" s="6"/>
      <c r="E824" s="9"/>
      <c r="F824" s="6"/>
      <c r="G824" s="6"/>
      <c r="H824" s="6"/>
      <c r="I824" s="6"/>
      <c r="J824" s="138"/>
    </row>
    <row r="825" spans="1:10">
      <c r="A825" s="9"/>
      <c r="B825" s="9"/>
      <c r="C825" s="6"/>
      <c r="D825" s="6"/>
      <c r="E825" s="9"/>
      <c r="F825" s="6"/>
      <c r="G825" s="6"/>
      <c r="H825" s="6"/>
      <c r="I825" s="6"/>
      <c r="J825" s="138"/>
    </row>
    <row r="826" spans="1:10">
      <c r="A826" s="9"/>
      <c r="B826" s="9"/>
      <c r="C826" s="6"/>
      <c r="D826" s="6"/>
      <c r="E826" s="9"/>
      <c r="F826" s="6"/>
      <c r="G826" s="6"/>
      <c r="H826" s="6"/>
      <c r="I826" s="6"/>
      <c r="J826" s="138"/>
    </row>
    <row r="827" spans="1:10">
      <c r="A827" s="9"/>
      <c r="B827" s="9"/>
      <c r="C827" s="6"/>
      <c r="D827" s="6"/>
      <c r="E827" s="9"/>
      <c r="F827" s="6"/>
      <c r="G827" s="6"/>
      <c r="H827" s="6"/>
      <c r="I827" s="6"/>
      <c r="J827" s="138"/>
    </row>
    <row r="828" spans="1:10">
      <c r="A828" s="9"/>
      <c r="B828" s="9"/>
      <c r="C828" s="6"/>
      <c r="D828" s="6"/>
      <c r="E828" s="9"/>
      <c r="F828" s="6"/>
      <c r="G828" s="6"/>
      <c r="H828" s="6"/>
      <c r="I828" s="6"/>
      <c r="J828" s="138"/>
    </row>
    <row r="829" spans="1:10">
      <c r="A829" s="9"/>
      <c r="B829" s="9"/>
      <c r="C829" s="6"/>
      <c r="D829" s="6"/>
      <c r="E829" s="9"/>
      <c r="F829" s="6"/>
      <c r="G829" s="6"/>
      <c r="H829" s="6"/>
      <c r="I829" s="6"/>
      <c r="J829" s="138"/>
    </row>
    <row r="830" spans="1:10">
      <c r="A830" s="9"/>
      <c r="B830" s="9"/>
      <c r="C830" s="6"/>
      <c r="D830" s="6"/>
      <c r="E830" s="9"/>
      <c r="F830" s="6"/>
      <c r="G830" s="6"/>
      <c r="H830" s="6"/>
      <c r="I830" s="6"/>
      <c r="J830" s="138"/>
    </row>
    <row r="831" spans="1:10">
      <c r="A831" s="9"/>
      <c r="B831" s="9"/>
      <c r="C831" s="6"/>
      <c r="D831" s="6"/>
      <c r="E831" s="9"/>
      <c r="F831" s="6"/>
      <c r="G831" s="6"/>
      <c r="H831" s="6"/>
      <c r="I831" s="6"/>
      <c r="J831" s="138"/>
    </row>
    <row r="832" spans="1:10">
      <c r="A832" s="9"/>
      <c r="B832" s="9"/>
      <c r="C832" s="6"/>
      <c r="D832" s="6"/>
      <c r="E832" s="9"/>
      <c r="F832" s="6"/>
      <c r="G832" s="6"/>
      <c r="H832" s="6"/>
      <c r="I832" s="6"/>
      <c r="J832" s="138"/>
    </row>
    <row r="833" spans="1:10">
      <c r="A833" s="9"/>
      <c r="B833" s="9"/>
      <c r="C833" s="6"/>
      <c r="D833" s="6"/>
      <c r="E833" s="9"/>
      <c r="F833" s="6"/>
      <c r="G833" s="6"/>
      <c r="H833" s="6"/>
      <c r="I833" s="6"/>
      <c r="J833" s="138"/>
    </row>
    <row r="834" spans="1:10">
      <c r="A834" s="9"/>
      <c r="B834" s="9"/>
      <c r="C834" s="6"/>
      <c r="D834" s="6"/>
      <c r="E834" s="9"/>
      <c r="F834" s="6"/>
      <c r="G834" s="6"/>
      <c r="H834" s="6"/>
      <c r="I834" s="6"/>
      <c r="J834" s="138"/>
    </row>
    <row r="835" spans="1:10">
      <c r="A835" s="9"/>
      <c r="B835" s="9"/>
      <c r="C835" s="6"/>
      <c r="D835" s="6"/>
      <c r="E835" s="9"/>
      <c r="F835" s="6"/>
      <c r="G835" s="6"/>
      <c r="H835" s="6"/>
      <c r="I835" s="6"/>
      <c r="J835" s="138"/>
    </row>
    <row r="836" spans="1:10">
      <c r="A836" s="9"/>
      <c r="B836" s="9"/>
      <c r="C836" s="6"/>
      <c r="D836" s="6"/>
      <c r="E836" s="9"/>
      <c r="F836" s="6"/>
      <c r="G836" s="6"/>
      <c r="H836" s="6"/>
      <c r="I836" s="6"/>
      <c r="J836" s="138"/>
    </row>
    <row r="837" spans="1:10">
      <c r="A837" s="9"/>
      <c r="B837" s="9"/>
      <c r="C837" s="6"/>
      <c r="D837" s="6"/>
      <c r="E837" s="9"/>
      <c r="F837" s="6"/>
      <c r="G837" s="6"/>
      <c r="H837" s="6"/>
      <c r="I837" s="6"/>
      <c r="J837" s="138"/>
    </row>
    <row r="838" spans="1:10">
      <c r="A838" s="9"/>
      <c r="B838" s="9"/>
      <c r="C838" s="6"/>
      <c r="D838" s="6"/>
      <c r="E838" s="9"/>
      <c r="F838" s="6"/>
      <c r="G838" s="6"/>
      <c r="H838" s="6"/>
      <c r="I838" s="6"/>
      <c r="J838" s="138"/>
    </row>
    <row r="839" spans="1:10">
      <c r="A839" s="9"/>
      <c r="B839" s="9"/>
      <c r="C839" s="6"/>
      <c r="D839" s="6"/>
      <c r="E839" s="9"/>
      <c r="F839" s="6"/>
      <c r="G839" s="6"/>
      <c r="H839" s="6"/>
      <c r="I839" s="6"/>
      <c r="J839" s="138"/>
    </row>
    <row r="840" spans="1:10">
      <c r="A840" s="9"/>
      <c r="B840" s="9"/>
      <c r="C840" s="6"/>
      <c r="D840" s="6"/>
      <c r="E840" s="9"/>
      <c r="F840" s="6"/>
      <c r="G840" s="6"/>
      <c r="H840" s="6"/>
      <c r="I840" s="6"/>
      <c r="J840" s="138"/>
    </row>
    <row r="841" spans="1:10">
      <c r="A841" s="9"/>
      <c r="B841" s="9"/>
      <c r="C841" s="6"/>
      <c r="D841" s="6"/>
      <c r="E841" s="9"/>
      <c r="F841" s="6"/>
      <c r="G841" s="6"/>
      <c r="H841" s="6"/>
      <c r="I841" s="6"/>
      <c r="J841" s="138"/>
    </row>
    <row r="842" spans="1:10">
      <c r="A842" s="9"/>
      <c r="B842" s="9"/>
      <c r="C842" s="6"/>
      <c r="D842" s="6"/>
      <c r="E842" s="9"/>
      <c r="F842" s="6"/>
      <c r="G842" s="6"/>
      <c r="H842" s="6"/>
      <c r="I842" s="6"/>
      <c r="J842" s="138"/>
    </row>
    <row r="843" spans="1:10">
      <c r="A843" s="9"/>
      <c r="B843" s="9"/>
      <c r="C843" s="6"/>
      <c r="D843" s="6"/>
      <c r="E843" s="9"/>
      <c r="F843" s="6"/>
      <c r="G843" s="6"/>
      <c r="H843" s="6"/>
      <c r="I843" s="6"/>
      <c r="J843" s="138"/>
    </row>
    <row r="844" spans="1:10">
      <c r="A844" s="9"/>
      <c r="B844" s="9"/>
      <c r="C844" s="6"/>
      <c r="D844" s="6"/>
      <c r="E844" s="9"/>
      <c r="F844" s="6"/>
      <c r="G844" s="6"/>
      <c r="H844" s="6"/>
      <c r="I844" s="6"/>
      <c r="J844" s="138"/>
    </row>
    <row r="845" spans="1:10">
      <c r="A845" s="9"/>
      <c r="B845" s="9"/>
      <c r="C845" s="6"/>
      <c r="D845" s="6"/>
      <c r="E845" s="9"/>
      <c r="F845" s="6"/>
      <c r="G845" s="6"/>
      <c r="H845" s="6"/>
      <c r="I845" s="6"/>
      <c r="J845" s="138"/>
    </row>
    <row r="846" spans="1:10">
      <c r="A846" s="9"/>
      <c r="B846" s="9"/>
      <c r="C846" s="6"/>
      <c r="D846" s="6"/>
      <c r="E846" s="9"/>
      <c r="F846" s="6"/>
      <c r="G846" s="6"/>
      <c r="H846" s="6"/>
      <c r="I846" s="6"/>
      <c r="J846" s="138"/>
    </row>
    <row r="847" spans="1:10">
      <c r="A847" s="9"/>
      <c r="B847" s="9"/>
      <c r="C847" s="6"/>
      <c r="D847" s="6"/>
      <c r="E847" s="9"/>
      <c r="F847" s="6"/>
      <c r="G847" s="6"/>
      <c r="H847" s="6"/>
      <c r="I847" s="6"/>
      <c r="J847" s="138"/>
    </row>
    <row r="848" spans="1:10">
      <c r="A848" s="9"/>
      <c r="B848" s="9"/>
      <c r="C848" s="6"/>
      <c r="D848" s="6"/>
      <c r="E848" s="9"/>
      <c r="F848" s="6"/>
      <c r="G848" s="6"/>
      <c r="H848" s="6"/>
      <c r="I848" s="6"/>
      <c r="J848" s="138"/>
    </row>
    <row r="849" spans="1:10">
      <c r="A849" s="9"/>
      <c r="B849" s="9"/>
      <c r="C849" s="6"/>
      <c r="D849" s="6"/>
      <c r="E849" s="9"/>
      <c r="F849" s="6"/>
      <c r="G849" s="6"/>
      <c r="H849" s="6"/>
      <c r="I849" s="6"/>
      <c r="J849" s="138"/>
    </row>
    <row r="850" spans="1:10">
      <c r="A850" s="9"/>
      <c r="B850" s="9"/>
      <c r="C850" s="6"/>
      <c r="D850" s="6"/>
      <c r="E850" s="9"/>
      <c r="F850" s="6"/>
      <c r="G850" s="6"/>
      <c r="H850" s="6"/>
      <c r="I850" s="6"/>
      <c r="J850" s="138"/>
    </row>
    <row r="851" spans="1:10">
      <c r="A851" s="9"/>
      <c r="B851" s="9"/>
      <c r="C851" s="6"/>
      <c r="D851" s="6"/>
      <c r="E851" s="9"/>
      <c r="F851" s="6"/>
      <c r="G851" s="6"/>
      <c r="H851" s="6"/>
      <c r="I851" s="6"/>
      <c r="J851" s="138"/>
    </row>
    <row r="852" spans="1:10">
      <c r="A852" s="9"/>
      <c r="B852" s="9"/>
      <c r="C852" s="6"/>
      <c r="D852" s="6"/>
      <c r="E852" s="9"/>
      <c r="F852" s="6"/>
      <c r="G852" s="6"/>
      <c r="H852" s="6"/>
      <c r="I852" s="6"/>
      <c r="J852" s="138"/>
    </row>
    <row r="853" spans="1:10">
      <c r="A853" s="9"/>
      <c r="B853" s="9"/>
      <c r="C853" s="6"/>
      <c r="D853" s="6"/>
      <c r="E853" s="9"/>
      <c r="F853" s="6"/>
      <c r="G853" s="6"/>
      <c r="H853" s="6"/>
      <c r="I853" s="6"/>
      <c r="J853" s="138"/>
    </row>
    <row r="854" spans="1:10">
      <c r="A854" s="9"/>
      <c r="B854" s="9"/>
      <c r="C854" s="6"/>
      <c r="D854" s="6"/>
      <c r="E854" s="9"/>
      <c r="F854" s="6"/>
      <c r="G854" s="6"/>
      <c r="H854" s="6"/>
      <c r="I854" s="6"/>
      <c r="J854" s="138"/>
    </row>
    <row r="855" spans="1:10">
      <c r="A855" s="9"/>
      <c r="B855" s="9"/>
      <c r="C855" s="6"/>
      <c r="D855" s="6"/>
      <c r="E855" s="9"/>
      <c r="F855" s="6"/>
      <c r="G855" s="6"/>
      <c r="H855" s="6"/>
      <c r="I855" s="6"/>
      <c r="J855" s="138"/>
    </row>
    <row r="856" spans="1:10">
      <c r="A856" s="9"/>
      <c r="B856" s="9"/>
      <c r="C856" s="6"/>
      <c r="D856" s="6"/>
      <c r="E856" s="9"/>
      <c r="F856" s="6"/>
      <c r="G856" s="6"/>
      <c r="H856" s="6"/>
      <c r="I856" s="6"/>
      <c r="J856" s="138"/>
    </row>
    <row r="857" spans="1:10">
      <c r="A857" s="9"/>
      <c r="B857" s="9"/>
      <c r="C857" s="6"/>
      <c r="D857" s="6"/>
      <c r="E857" s="9"/>
      <c r="F857" s="6"/>
      <c r="G857" s="6"/>
      <c r="H857" s="6"/>
      <c r="I857" s="6"/>
      <c r="J857" s="138"/>
    </row>
    <row r="858" spans="1:10">
      <c r="A858" s="9"/>
      <c r="B858" s="9"/>
      <c r="C858" s="6"/>
      <c r="D858" s="6"/>
      <c r="E858" s="9"/>
      <c r="F858" s="6"/>
      <c r="G858" s="6"/>
      <c r="H858" s="6"/>
      <c r="I858" s="6"/>
      <c r="J858" s="138"/>
    </row>
    <row r="859" spans="1:10">
      <c r="A859" s="9"/>
      <c r="B859" s="9"/>
      <c r="C859" s="6"/>
      <c r="D859" s="6"/>
      <c r="E859" s="9"/>
      <c r="F859" s="6"/>
      <c r="G859" s="6"/>
      <c r="H859" s="6"/>
      <c r="I859" s="6"/>
      <c r="J859" s="138"/>
    </row>
    <row r="860" spans="1:10">
      <c r="A860" s="9"/>
      <c r="B860" s="9"/>
      <c r="C860" s="6"/>
      <c r="D860" s="6"/>
      <c r="E860" s="9"/>
      <c r="F860" s="6"/>
      <c r="G860" s="6"/>
      <c r="H860" s="6"/>
      <c r="I860" s="6"/>
      <c r="J860" s="138"/>
    </row>
    <row r="861" spans="1:10">
      <c r="A861" s="9"/>
      <c r="B861" s="9"/>
      <c r="C861" s="6"/>
      <c r="D861" s="6"/>
      <c r="E861" s="9"/>
      <c r="F861" s="6"/>
      <c r="G861" s="6"/>
      <c r="H861" s="6"/>
      <c r="I861" s="6"/>
      <c r="J861" s="138"/>
    </row>
    <row r="862" spans="1:10">
      <c r="A862" s="9"/>
      <c r="B862" s="9"/>
      <c r="C862" s="6"/>
      <c r="D862" s="6"/>
      <c r="E862" s="9"/>
      <c r="F862" s="6"/>
      <c r="G862" s="6"/>
      <c r="H862" s="6"/>
      <c r="I862" s="6"/>
      <c r="J862" s="138"/>
    </row>
    <row r="863" spans="1:10">
      <c r="A863" s="9"/>
      <c r="B863" s="9"/>
      <c r="C863" s="6"/>
      <c r="D863" s="6"/>
      <c r="E863" s="9"/>
      <c r="F863" s="6"/>
      <c r="G863" s="6"/>
      <c r="H863" s="6"/>
      <c r="I863" s="6"/>
      <c r="J863" s="138"/>
    </row>
    <row r="864" spans="1:10">
      <c r="A864" s="9"/>
      <c r="B864" s="9"/>
      <c r="C864" s="6"/>
      <c r="D864" s="6"/>
      <c r="E864" s="9"/>
      <c r="F864" s="6"/>
      <c r="G864" s="6"/>
      <c r="H864" s="6"/>
      <c r="I864" s="6"/>
      <c r="J864" s="138"/>
    </row>
    <row r="865" spans="1:10">
      <c r="A865" s="9"/>
      <c r="B865" s="9"/>
      <c r="C865" s="6"/>
      <c r="D865" s="6"/>
      <c r="E865" s="9"/>
      <c r="F865" s="6"/>
      <c r="G865" s="6"/>
      <c r="H865" s="6"/>
      <c r="I865" s="6"/>
      <c r="J865" s="138"/>
    </row>
    <row r="866" spans="1:10">
      <c r="A866" s="9"/>
      <c r="B866" s="9"/>
      <c r="C866" s="6"/>
      <c r="D866" s="6"/>
      <c r="E866" s="9"/>
      <c r="F866" s="6"/>
      <c r="G866" s="6"/>
      <c r="H866" s="6"/>
      <c r="I866" s="6"/>
      <c r="J866" s="138"/>
    </row>
    <row r="867" spans="1:10">
      <c r="A867" s="9"/>
      <c r="B867" s="9"/>
      <c r="C867" s="6"/>
      <c r="D867" s="6"/>
      <c r="E867" s="9"/>
      <c r="F867" s="6"/>
      <c r="G867" s="6"/>
      <c r="H867" s="6"/>
      <c r="I867" s="6"/>
      <c r="J867" s="138"/>
    </row>
    <row r="868" spans="1:10">
      <c r="A868" s="9"/>
      <c r="B868" s="9"/>
      <c r="C868" s="6"/>
      <c r="D868" s="6"/>
      <c r="E868" s="9"/>
      <c r="F868" s="6"/>
      <c r="G868" s="6"/>
      <c r="H868" s="6"/>
      <c r="I868" s="6"/>
      <c r="J868" s="138"/>
    </row>
    <row r="869" spans="1:10">
      <c r="A869" s="9"/>
      <c r="B869" s="9"/>
      <c r="C869" s="6"/>
      <c r="D869" s="6"/>
      <c r="E869" s="9"/>
      <c r="F869" s="6"/>
      <c r="G869" s="6"/>
      <c r="H869" s="6"/>
      <c r="I869" s="6"/>
      <c r="J869" s="138"/>
    </row>
    <row r="870" spans="1:10">
      <c r="A870" s="9"/>
      <c r="B870" s="9"/>
      <c r="C870" s="6"/>
      <c r="D870" s="6"/>
      <c r="E870" s="9"/>
      <c r="F870" s="6"/>
      <c r="G870" s="6"/>
      <c r="H870" s="6"/>
      <c r="I870" s="6"/>
      <c r="J870" s="138"/>
    </row>
    <row r="871" spans="1:10">
      <c r="A871" s="9"/>
      <c r="B871" s="9"/>
      <c r="C871" s="6"/>
      <c r="D871" s="6"/>
      <c r="E871" s="9"/>
      <c r="F871" s="6"/>
      <c r="G871" s="6"/>
      <c r="H871" s="6"/>
      <c r="I871" s="6"/>
      <c r="J871" s="138"/>
    </row>
    <row r="872" spans="1:10">
      <c r="A872" s="9"/>
      <c r="B872" s="9"/>
      <c r="C872" s="6"/>
      <c r="D872" s="6"/>
      <c r="E872" s="9"/>
      <c r="F872" s="6"/>
      <c r="G872" s="6"/>
      <c r="H872" s="6"/>
      <c r="I872" s="6"/>
      <c r="J872" s="138"/>
    </row>
    <row r="873" spans="1:10">
      <c r="A873" s="9"/>
      <c r="B873" s="9"/>
      <c r="C873" s="6"/>
      <c r="D873" s="6"/>
      <c r="E873" s="9"/>
      <c r="F873" s="6"/>
      <c r="G873" s="6"/>
      <c r="H873" s="6"/>
      <c r="I873" s="6"/>
      <c r="J873" s="138"/>
    </row>
    <row r="874" spans="1:10">
      <c r="A874" s="9"/>
      <c r="B874" s="9"/>
      <c r="C874" s="6"/>
      <c r="D874" s="6"/>
      <c r="E874" s="9"/>
      <c r="F874" s="6"/>
      <c r="G874" s="6"/>
      <c r="H874" s="6"/>
      <c r="I874" s="6"/>
      <c r="J874" s="138"/>
    </row>
    <row r="875" spans="1:10">
      <c r="A875" s="9"/>
      <c r="B875" s="9"/>
      <c r="C875" s="6"/>
      <c r="D875" s="6"/>
      <c r="E875" s="9"/>
      <c r="F875" s="6"/>
      <c r="G875" s="6"/>
      <c r="H875" s="6"/>
      <c r="I875" s="6"/>
      <c r="J875" s="138"/>
    </row>
    <row r="876" spans="1:10">
      <c r="A876" s="9"/>
      <c r="B876" s="9"/>
      <c r="C876" s="6"/>
      <c r="D876" s="6"/>
      <c r="E876" s="9"/>
      <c r="F876" s="6"/>
      <c r="G876" s="6"/>
      <c r="H876" s="6"/>
      <c r="I876" s="6"/>
      <c r="J876" s="138"/>
    </row>
    <row r="877" spans="1:10">
      <c r="A877" s="9"/>
      <c r="B877" s="9"/>
      <c r="C877" s="6"/>
      <c r="D877" s="6"/>
      <c r="E877" s="9"/>
      <c r="F877" s="6"/>
      <c r="G877" s="6"/>
      <c r="H877" s="6"/>
      <c r="I877" s="6"/>
      <c r="J877" s="138"/>
    </row>
    <row r="878" spans="1:10">
      <c r="A878" s="9"/>
      <c r="B878" s="9"/>
      <c r="C878" s="6"/>
      <c r="D878" s="6"/>
      <c r="E878" s="9"/>
      <c r="F878" s="6"/>
      <c r="G878" s="6"/>
      <c r="H878" s="6"/>
      <c r="I878" s="6"/>
      <c r="J878" s="138"/>
    </row>
    <row r="879" spans="1:10">
      <c r="A879" s="9"/>
      <c r="B879" s="9"/>
      <c r="C879" s="6"/>
      <c r="D879" s="6"/>
      <c r="E879" s="9"/>
      <c r="F879" s="6"/>
      <c r="G879" s="6"/>
      <c r="H879" s="6"/>
      <c r="I879" s="6"/>
      <c r="J879" s="138"/>
    </row>
    <row r="880" spans="1:10">
      <c r="A880" s="9"/>
      <c r="B880" s="9"/>
      <c r="C880" s="6"/>
      <c r="D880" s="6"/>
      <c r="E880" s="9"/>
      <c r="F880" s="6"/>
      <c r="G880" s="6"/>
      <c r="H880" s="6"/>
      <c r="I880" s="6"/>
      <c r="J880" s="138"/>
    </row>
    <row r="881" spans="1:10">
      <c r="A881" s="9"/>
      <c r="B881" s="9"/>
      <c r="C881" s="6"/>
      <c r="D881" s="6"/>
      <c r="E881" s="9"/>
      <c r="F881" s="6"/>
      <c r="G881" s="6"/>
      <c r="H881" s="6"/>
      <c r="I881" s="6"/>
      <c r="J881" s="138"/>
    </row>
    <row r="882" spans="1:10">
      <c r="A882" s="9"/>
      <c r="B882" s="9"/>
      <c r="C882" s="6"/>
      <c r="D882" s="6"/>
      <c r="E882" s="9"/>
      <c r="F882" s="6"/>
      <c r="G882" s="6"/>
      <c r="H882" s="6"/>
      <c r="I882" s="6"/>
      <c r="J882" s="138"/>
    </row>
    <row r="883" spans="1:10">
      <c r="A883" s="9"/>
      <c r="B883" s="9"/>
      <c r="C883" s="6"/>
      <c r="D883" s="6"/>
      <c r="E883" s="9"/>
      <c r="F883" s="6"/>
      <c r="G883" s="6"/>
      <c r="H883" s="6"/>
      <c r="I883" s="6"/>
      <c r="J883" s="138"/>
    </row>
    <row r="884" spans="1:10">
      <c r="A884" s="9"/>
      <c r="B884" s="9"/>
      <c r="C884" s="6"/>
      <c r="D884" s="6"/>
      <c r="E884" s="9"/>
      <c r="F884" s="6"/>
      <c r="G884" s="6"/>
      <c r="H884" s="6"/>
      <c r="I884" s="6"/>
      <c r="J884" s="138"/>
    </row>
    <row r="885" spans="1:10">
      <c r="A885" s="9"/>
      <c r="B885" s="9"/>
      <c r="C885" s="6"/>
      <c r="D885" s="6"/>
      <c r="E885" s="9"/>
      <c r="F885" s="6"/>
      <c r="G885" s="6"/>
      <c r="H885" s="6"/>
      <c r="I885" s="6"/>
      <c r="J885" s="138"/>
    </row>
    <row r="886" spans="1:10">
      <c r="A886" s="9"/>
      <c r="B886" s="9"/>
      <c r="C886" s="6"/>
      <c r="D886" s="6"/>
      <c r="E886" s="9"/>
      <c r="F886" s="6"/>
      <c r="G886" s="6"/>
      <c r="H886" s="6"/>
      <c r="I886" s="6"/>
      <c r="J886" s="138"/>
    </row>
    <row r="887" spans="1:10">
      <c r="A887" s="9"/>
      <c r="B887" s="9"/>
      <c r="C887" s="6"/>
      <c r="D887" s="6"/>
      <c r="E887" s="9"/>
      <c r="F887" s="6"/>
      <c r="G887" s="6"/>
      <c r="H887" s="6"/>
      <c r="I887" s="6"/>
      <c r="J887" s="138"/>
    </row>
    <row r="888" spans="1:10">
      <c r="A888" s="9"/>
      <c r="B888" s="9"/>
      <c r="C888" s="6"/>
      <c r="D888" s="6"/>
      <c r="E888" s="9"/>
      <c r="F888" s="6"/>
      <c r="G888" s="6"/>
      <c r="H888" s="6"/>
      <c r="I888" s="6"/>
      <c r="J888" s="138"/>
    </row>
    <row r="889" spans="1:10">
      <c r="A889" s="9"/>
      <c r="B889" s="9"/>
      <c r="C889" s="6"/>
      <c r="D889" s="6"/>
      <c r="E889" s="9"/>
      <c r="F889" s="6"/>
      <c r="G889" s="6"/>
      <c r="H889" s="6"/>
      <c r="I889" s="6"/>
      <c r="J889" s="138"/>
    </row>
    <row r="890" spans="1:10">
      <c r="A890" s="9"/>
      <c r="B890" s="9"/>
      <c r="C890" s="6"/>
      <c r="D890" s="6"/>
      <c r="E890" s="9"/>
      <c r="F890" s="6"/>
      <c r="G890" s="6"/>
      <c r="H890" s="6"/>
      <c r="I890" s="6"/>
      <c r="J890" s="138"/>
    </row>
    <row r="891" spans="1:10">
      <c r="A891" s="9"/>
      <c r="B891" s="9"/>
      <c r="C891" s="6"/>
      <c r="D891" s="6"/>
      <c r="E891" s="9"/>
      <c r="F891" s="6"/>
      <c r="G891" s="6"/>
      <c r="H891" s="6"/>
      <c r="I891" s="6"/>
      <c r="J891" s="138"/>
    </row>
    <row r="892" spans="1:10">
      <c r="A892" s="9"/>
      <c r="B892" s="9"/>
      <c r="C892" s="6"/>
      <c r="D892" s="6"/>
      <c r="E892" s="9"/>
      <c r="F892" s="6"/>
      <c r="G892" s="6"/>
      <c r="H892" s="6"/>
      <c r="I892" s="6"/>
      <c r="J892" s="138"/>
    </row>
    <row r="893" spans="1:10">
      <c r="A893" s="9"/>
      <c r="B893" s="9"/>
      <c r="C893" s="6"/>
      <c r="D893" s="6"/>
      <c r="E893" s="9"/>
      <c r="F893" s="6"/>
      <c r="G893" s="6"/>
      <c r="H893" s="6"/>
      <c r="I893" s="6"/>
      <c r="J893" s="138"/>
    </row>
    <row r="894" spans="1:10">
      <c r="A894" s="9"/>
      <c r="B894" s="9"/>
      <c r="C894" s="6"/>
      <c r="D894" s="6"/>
      <c r="E894" s="9"/>
      <c r="F894" s="6"/>
      <c r="G894" s="6"/>
      <c r="H894" s="6"/>
      <c r="I894" s="6"/>
      <c r="J894" s="138"/>
    </row>
    <row r="895" spans="1:10">
      <c r="A895" s="9"/>
      <c r="B895" s="9"/>
      <c r="C895" s="6"/>
      <c r="D895" s="6"/>
      <c r="E895" s="9"/>
      <c r="F895" s="6"/>
      <c r="G895" s="6"/>
      <c r="H895" s="6"/>
      <c r="I895" s="6"/>
      <c r="J895" s="138"/>
    </row>
    <row r="896" spans="1:10">
      <c r="A896" s="9"/>
      <c r="B896" s="9"/>
      <c r="C896" s="6"/>
      <c r="D896" s="6"/>
      <c r="E896" s="9"/>
      <c r="F896" s="6"/>
      <c r="G896" s="6"/>
      <c r="H896" s="6"/>
      <c r="I896" s="6"/>
      <c r="J896" s="138"/>
    </row>
    <row r="897" spans="1:10">
      <c r="A897" s="9"/>
      <c r="B897" s="9"/>
      <c r="C897" s="6"/>
      <c r="D897" s="6"/>
      <c r="E897" s="9"/>
      <c r="F897" s="6"/>
      <c r="G897" s="6"/>
      <c r="H897" s="6"/>
      <c r="I897" s="6"/>
      <c r="J897" s="138"/>
    </row>
    <row r="898" spans="1:10">
      <c r="A898" s="9"/>
      <c r="B898" s="9"/>
      <c r="C898" s="6"/>
      <c r="D898" s="6"/>
      <c r="E898" s="9"/>
      <c r="F898" s="6"/>
      <c r="G898" s="6"/>
      <c r="H898" s="6"/>
      <c r="I898" s="6"/>
      <c r="J898" s="138"/>
    </row>
    <row r="899" spans="1:10">
      <c r="A899" s="9"/>
      <c r="B899" s="9"/>
      <c r="C899" s="6"/>
      <c r="D899" s="6"/>
      <c r="E899" s="9"/>
      <c r="F899" s="6"/>
      <c r="G899" s="6"/>
      <c r="H899" s="6"/>
      <c r="I899" s="6"/>
      <c r="J899" s="138"/>
    </row>
    <row r="900" spans="1:10">
      <c r="A900" s="9"/>
      <c r="B900" s="9"/>
      <c r="C900" s="6"/>
      <c r="D900" s="6"/>
      <c r="E900" s="9"/>
      <c r="F900" s="6"/>
      <c r="G900" s="6"/>
      <c r="H900" s="6"/>
      <c r="I900" s="6"/>
      <c r="J900" s="138"/>
    </row>
    <row r="901" spans="1:10">
      <c r="A901" s="9"/>
      <c r="B901" s="9"/>
      <c r="C901" s="6"/>
      <c r="D901" s="6"/>
      <c r="E901" s="9"/>
      <c r="F901" s="6"/>
      <c r="G901" s="6"/>
      <c r="H901" s="6"/>
      <c r="I901" s="6"/>
      <c r="J901" s="138"/>
    </row>
    <row r="902" spans="1:10">
      <c r="A902" s="9"/>
      <c r="B902" s="9"/>
      <c r="C902" s="6"/>
      <c r="D902" s="6"/>
      <c r="E902" s="9"/>
      <c r="F902" s="6"/>
      <c r="G902" s="6"/>
      <c r="H902" s="6"/>
      <c r="I902" s="6"/>
      <c r="J902" s="138"/>
    </row>
    <row r="903" spans="1:10">
      <c r="A903" s="9"/>
      <c r="B903" s="9"/>
      <c r="C903" s="6"/>
      <c r="D903" s="6"/>
      <c r="E903" s="9"/>
      <c r="F903" s="6"/>
      <c r="G903" s="6"/>
      <c r="H903" s="6"/>
      <c r="I903" s="6"/>
      <c r="J903" s="138"/>
    </row>
    <row r="904" spans="1:10">
      <c r="A904" s="9"/>
      <c r="B904" s="9"/>
      <c r="C904" s="6"/>
      <c r="D904" s="6"/>
      <c r="E904" s="9"/>
      <c r="F904" s="6"/>
      <c r="G904" s="6"/>
      <c r="H904" s="6"/>
      <c r="I904" s="6"/>
      <c r="J904" s="138"/>
    </row>
    <row r="905" spans="1:10">
      <c r="A905" s="9"/>
      <c r="B905" s="9"/>
      <c r="C905" s="6"/>
      <c r="D905" s="6"/>
      <c r="E905" s="9"/>
      <c r="F905" s="6"/>
      <c r="G905" s="6"/>
      <c r="H905" s="6"/>
      <c r="I905" s="6"/>
      <c r="J905" s="138"/>
    </row>
    <row r="906" spans="1:10">
      <c r="A906" s="9"/>
      <c r="B906" s="9"/>
      <c r="C906" s="6"/>
      <c r="D906" s="6"/>
      <c r="E906" s="9"/>
      <c r="F906" s="6"/>
      <c r="G906" s="6"/>
      <c r="H906" s="6"/>
      <c r="I906" s="6"/>
      <c r="J906" s="138"/>
    </row>
    <row r="907" spans="1:10">
      <c r="A907" s="9"/>
      <c r="B907" s="9"/>
      <c r="C907" s="6"/>
      <c r="D907" s="6"/>
      <c r="E907" s="9"/>
      <c r="F907" s="6"/>
      <c r="G907" s="6"/>
      <c r="H907" s="6"/>
      <c r="I907" s="6"/>
      <c r="J907" s="138"/>
    </row>
    <row r="908" spans="1:10">
      <c r="A908" s="9"/>
      <c r="B908" s="9"/>
      <c r="C908" s="6"/>
      <c r="D908" s="6"/>
      <c r="E908" s="9"/>
      <c r="F908" s="6"/>
      <c r="G908" s="6"/>
      <c r="H908" s="6"/>
      <c r="I908" s="6"/>
      <c r="J908" s="138"/>
    </row>
    <row r="909" spans="1:10">
      <c r="A909" s="9"/>
      <c r="B909" s="9"/>
      <c r="C909" s="6"/>
      <c r="D909" s="6"/>
      <c r="E909" s="9"/>
      <c r="F909" s="6"/>
      <c r="G909" s="6"/>
      <c r="H909" s="6"/>
      <c r="I909" s="6"/>
      <c r="J909" s="138"/>
    </row>
    <row r="910" spans="1:10">
      <c r="A910" s="9"/>
      <c r="B910" s="9"/>
      <c r="C910" s="6"/>
      <c r="D910" s="6"/>
      <c r="E910" s="9"/>
      <c r="F910" s="6"/>
      <c r="G910" s="6"/>
      <c r="H910" s="6"/>
      <c r="I910" s="6"/>
      <c r="J910" s="138"/>
    </row>
    <row r="911" spans="1:10">
      <c r="A911" s="9"/>
      <c r="B911" s="9"/>
      <c r="C911" s="6"/>
      <c r="D911" s="6"/>
      <c r="E911" s="9"/>
      <c r="F911" s="6"/>
      <c r="G911" s="6"/>
      <c r="H911" s="6"/>
      <c r="I911" s="6"/>
      <c r="J911" s="138"/>
    </row>
    <row r="912" spans="1:10">
      <c r="A912" s="9"/>
      <c r="B912" s="9"/>
      <c r="C912" s="6"/>
      <c r="D912" s="6"/>
      <c r="E912" s="9"/>
      <c r="F912" s="6"/>
      <c r="G912" s="6"/>
      <c r="H912" s="6"/>
      <c r="I912" s="6"/>
      <c r="J912" s="138"/>
    </row>
    <row r="913" spans="1:10">
      <c r="A913" s="9"/>
      <c r="B913" s="9"/>
      <c r="C913" s="6"/>
      <c r="D913" s="6"/>
      <c r="E913" s="9"/>
      <c r="F913" s="6"/>
      <c r="G913" s="6"/>
      <c r="H913" s="6"/>
      <c r="I913" s="6"/>
      <c r="J913" s="138"/>
    </row>
    <row r="914" spans="1:10">
      <c r="A914" s="9"/>
      <c r="B914" s="9"/>
      <c r="C914" s="6"/>
      <c r="D914" s="6"/>
      <c r="E914" s="9"/>
      <c r="F914" s="6"/>
      <c r="G914" s="6"/>
      <c r="H914" s="6"/>
      <c r="I914" s="6"/>
      <c r="J914" s="138"/>
    </row>
    <row r="915" spans="1:10">
      <c r="A915" s="9"/>
      <c r="B915" s="9"/>
      <c r="C915" s="6"/>
      <c r="D915" s="6"/>
      <c r="E915" s="9"/>
      <c r="F915" s="6"/>
      <c r="G915" s="6"/>
      <c r="H915" s="6"/>
      <c r="I915" s="6"/>
      <c r="J915" s="138"/>
    </row>
    <row r="916" spans="1:10">
      <c r="A916" s="9"/>
      <c r="B916" s="9"/>
      <c r="C916" s="6"/>
      <c r="D916" s="6"/>
      <c r="E916" s="9"/>
      <c r="F916" s="6"/>
      <c r="G916" s="6"/>
      <c r="H916" s="6"/>
      <c r="I916" s="6"/>
      <c r="J916" s="138"/>
    </row>
    <row r="917" spans="1:10">
      <c r="A917" s="9"/>
      <c r="B917" s="9"/>
      <c r="C917" s="6"/>
      <c r="D917" s="6"/>
      <c r="E917" s="9"/>
      <c r="F917" s="6"/>
      <c r="G917" s="6"/>
      <c r="H917" s="6"/>
      <c r="I917" s="6"/>
      <c r="J917" s="138"/>
    </row>
    <row r="918" spans="1:10">
      <c r="A918" s="9"/>
      <c r="B918" s="9"/>
      <c r="C918" s="6"/>
      <c r="D918" s="6"/>
      <c r="E918" s="9"/>
      <c r="F918" s="6"/>
      <c r="G918" s="6"/>
      <c r="H918" s="6"/>
      <c r="I918" s="6"/>
      <c r="J918" s="138"/>
    </row>
    <row r="919" spans="1:10">
      <c r="A919" s="9"/>
      <c r="B919" s="9"/>
      <c r="C919" s="6"/>
      <c r="D919" s="6"/>
      <c r="E919" s="9"/>
      <c r="F919" s="6"/>
      <c r="G919" s="6"/>
      <c r="H919" s="6"/>
      <c r="I919" s="6"/>
      <c r="J919" s="138"/>
    </row>
    <row r="920" spans="1:10">
      <c r="A920" s="9"/>
      <c r="B920" s="9"/>
      <c r="C920" s="6"/>
      <c r="D920" s="6"/>
      <c r="E920" s="9"/>
      <c r="F920" s="6"/>
      <c r="G920" s="6"/>
      <c r="H920" s="6"/>
      <c r="I920" s="6"/>
      <c r="J920" s="138"/>
    </row>
    <row r="921" spans="1:10">
      <c r="A921" s="9"/>
      <c r="B921" s="9"/>
      <c r="C921" s="6"/>
      <c r="D921" s="6"/>
      <c r="E921" s="9"/>
      <c r="F921" s="6"/>
      <c r="G921" s="6"/>
      <c r="H921" s="6"/>
      <c r="I921" s="6"/>
      <c r="J921" s="138"/>
    </row>
    <row r="922" spans="1:10">
      <c r="A922" s="9"/>
      <c r="B922" s="9"/>
      <c r="C922" s="6"/>
      <c r="D922" s="6"/>
      <c r="E922" s="9"/>
      <c r="F922" s="6"/>
      <c r="G922" s="6"/>
      <c r="H922" s="6"/>
      <c r="I922" s="6"/>
      <c r="J922" s="138"/>
    </row>
    <row r="923" spans="1:10">
      <c r="A923" s="9"/>
      <c r="B923" s="9"/>
      <c r="C923" s="6"/>
      <c r="D923" s="6"/>
      <c r="E923" s="9"/>
      <c r="F923" s="6"/>
      <c r="G923" s="6"/>
      <c r="H923" s="6"/>
      <c r="I923" s="6"/>
      <c r="J923" s="138"/>
    </row>
    <row r="924" spans="1:10">
      <c r="A924" s="9"/>
      <c r="B924" s="9"/>
      <c r="C924" s="6"/>
      <c r="D924" s="6"/>
      <c r="E924" s="9"/>
      <c r="F924" s="6"/>
      <c r="G924" s="6"/>
      <c r="H924" s="6"/>
      <c r="I924" s="6"/>
      <c r="J924" s="138"/>
    </row>
    <row r="925" spans="1:10">
      <c r="A925" s="9"/>
      <c r="B925" s="9"/>
      <c r="C925" s="6"/>
      <c r="D925" s="6"/>
      <c r="E925" s="9"/>
      <c r="F925" s="6"/>
      <c r="G925" s="6"/>
      <c r="H925" s="6"/>
      <c r="I925" s="6"/>
      <c r="J925" s="138"/>
    </row>
    <row r="926" spans="1:10">
      <c r="A926" s="9"/>
      <c r="B926" s="9"/>
      <c r="C926" s="6"/>
      <c r="D926" s="6"/>
      <c r="E926" s="9"/>
      <c r="F926" s="6"/>
      <c r="G926" s="6"/>
      <c r="H926" s="6"/>
      <c r="I926" s="6"/>
      <c r="J926" s="138"/>
    </row>
    <row r="927" spans="1:10">
      <c r="A927" s="9"/>
      <c r="B927" s="9"/>
      <c r="C927" s="6"/>
      <c r="D927" s="6"/>
      <c r="E927" s="9"/>
      <c r="F927" s="6"/>
      <c r="G927" s="6"/>
      <c r="H927" s="6"/>
      <c r="I927" s="6"/>
      <c r="J927" s="138"/>
    </row>
    <row r="928" spans="1:10">
      <c r="A928" s="9"/>
      <c r="B928" s="9"/>
      <c r="C928" s="6"/>
      <c r="D928" s="6"/>
      <c r="E928" s="9"/>
      <c r="F928" s="6"/>
      <c r="G928" s="6"/>
      <c r="H928" s="6"/>
      <c r="I928" s="6"/>
      <c r="J928" s="138"/>
    </row>
    <row r="929" spans="1:10">
      <c r="A929" s="9"/>
      <c r="B929" s="9"/>
      <c r="C929" s="6"/>
      <c r="D929" s="6"/>
      <c r="E929" s="9"/>
      <c r="F929" s="6"/>
      <c r="G929" s="6"/>
      <c r="H929" s="6"/>
      <c r="I929" s="6"/>
      <c r="J929" s="138"/>
    </row>
    <row r="930" spans="1:10">
      <c r="A930" s="9"/>
      <c r="B930" s="9"/>
      <c r="C930" s="6"/>
      <c r="D930" s="6"/>
      <c r="E930" s="9"/>
      <c r="F930" s="6"/>
      <c r="G930" s="6"/>
      <c r="H930" s="6"/>
      <c r="I930" s="6"/>
      <c r="J930" s="138"/>
    </row>
    <row r="931" spans="1:10">
      <c r="A931" s="9"/>
      <c r="B931" s="9"/>
      <c r="C931" s="6"/>
      <c r="D931" s="6"/>
      <c r="E931" s="9"/>
      <c r="F931" s="6"/>
      <c r="G931" s="6"/>
      <c r="H931" s="6"/>
      <c r="I931" s="6"/>
      <c r="J931" s="138"/>
    </row>
    <row r="932" spans="1:10">
      <c r="A932" s="9"/>
      <c r="B932" s="9"/>
      <c r="C932" s="6"/>
      <c r="D932" s="6"/>
      <c r="E932" s="9"/>
      <c r="F932" s="6"/>
      <c r="G932" s="6"/>
      <c r="H932" s="6"/>
      <c r="I932" s="6"/>
      <c r="J932" s="138"/>
    </row>
    <row r="933" spans="1:10">
      <c r="A933" s="9"/>
      <c r="B933" s="9"/>
      <c r="C933" s="6"/>
      <c r="D933" s="6"/>
      <c r="E933" s="9"/>
      <c r="F933" s="6"/>
      <c r="G933" s="6"/>
      <c r="H933" s="6"/>
      <c r="I933" s="6"/>
      <c r="J933" s="138"/>
    </row>
    <row r="934" spans="1:10">
      <c r="A934" s="9"/>
      <c r="B934" s="9"/>
      <c r="C934" s="6"/>
      <c r="D934" s="6"/>
      <c r="E934" s="9"/>
      <c r="F934" s="6"/>
      <c r="G934" s="6"/>
      <c r="H934" s="6"/>
      <c r="I934" s="6"/>
      <c r="J934" s="138"/>
    </row>
    <row r="935" spans="1:10">
      <c r="A935" s="9"/>
      <c r="B935" s="9"/>
      <c r="C935" s="6"/>
      <c r="D935" s="6"/>
      <c r="E935" s="9"/>
      <c r="F935" s="6"/>
      <c r="G935" s="6"/>
      <c r="H935" s="6"/>
      <c r="I935" s="6"/>
      <c r="J935" s="138"/>
    </row>
    <row r="936" spans="1:10">
      <c r="A936" s="9"/>
      <c r="B936" s="9"/>
      <c r="C936" s="6"/>
      <c r="D936" s="6"/>
      <c r="E936" s="9"/>
      <c r="F936" s="6"/>
      <c r="G936" s="6"/>
      <c r="H936" s="6"/>
      <c r="I936" s="6"/>
      <c r="J936" s="138"/>
    </row>
    <row r="937" spans="1:10">
      <c r="A937" s="9"/>
      <c r="B937" s="9"/>
      <c r="C937" s="6"/>
      <c r="D937" s="6"/>
      <c r="E937" s="9"/>
      <c r="F937" s="6"/>
      <c r="G937" s="6"/>
      <c r="H937" s="6"/>
      <c r="I937" s="6"/>
      <c r="J937" s="138"/>
    </row>
    <row r="938" spans="1:10">
      <c r="A938" s="9"/>
      <c r="B938" s="9"/>
      <c r="C938" s="6"/>
      <c r="D938" s="6"/>
      <c r="E938" s="9"/>
      <c r="F938" s="6"/>
      <c r="G938" s="6"/>
      <c r="H938" s="6"/>
      <c r="I938" s="6"/>
      <c r="J938" s="138"/>
    </row>
    <row r="939" spans="1:10">
      <c r="A939" s="9"/>
      <c r="B939" s="9"/>
      <c r="C939" s="6"/>
      <c r="D939" s="6"/>
      <c r="E939" s="9"/>
      <c r="F939" s="6"/>
      <c r="G939" s="6"/>
      <c r="H939" s="6"/>
      <c r="I939" s="6"/>
      <c r="J939" s="138"/>
    </row>
    <row r="940" spans="1:10">
      <c r="A940" s="9"/>
      <c r="B940" s="9"/>
      <c r="C940" s="6"/>
      <c r="D940" s="6"/>
      <c r="E940" s="9"/>
      <c r="F940" s="6"/>
      <c r="G940" s="6"/>
      <c r="H940" s="6"/>
      <c r="I940" s="6"/>
      <c r="J940" s="138"/>
    </row>
    <row r="941" spans="1:10">
      <c r="A941" s="9"/>
      <c r="B941" s="9"/>
      <c r="C941" s="6"/>
      <c r="D941" s="6"/>
      <c r="E941" s="9"/>
      <c r="F941" s="6"/>
      <c r="G941" s="6"/>
      <c r="H941" s="6"/>
      <c r="I941" s="6"/>
      <c r="J941" s="138"/>
    </row>
    <row r="942" spans="1:10">
      <c r="A942" s="9"/>
      <c r="B942" s="9"/>
      <c r="C942" s="6"/>
      <c r="D942" s="6"/>
      <c r="E942" s="9"/>
      <c r="F942" s="6"/>
      <c r="G942" s="6"/>
      <c r="H942" s="6"/>
      <c r="I942" s="6"/>
      <c r="J942" s="138"/>
    </row>
    <row r="943" spans="1:10">
      <c r="A943" s="9"/>
      <c r="B943" s="9"/>
      <c r="C943" s="6"/>
      <c r="D943" s="6"/>
      <c r="E943" s="9"/>
      <c r="F943" s="6"/>
      <c r="G943" s="6"/>
      <c r="H943" s="6"/>
      <c r="I943" s="6"/>
      <c r="J943" s="138"/>
    </row>
    <row r="944" spans="1:10">
      <c r="A944" s="9"/>
      <c r="B944" s="9"/>
      <c r="C944" s="6"/>
      <c r="D944" s="6"/>
      <c r="E944" s="9"/>
      <c r="F944" s="6"/>
      <c r="G944" s="6"/>
      <c r="H944" s="6"/>
      <c r="I944" s="6"/>
      <c r="J944" s="138"/>
    </row>
    <row r="945" spans="1:10">
      <c r="A945" s="9"/>
      <c r="B945" s="9"/>
      <c r="C945" s="6"/>
      <c r="D945" s="6"/>
      <c r="E945" s="9"/>
      <c r="F945" s="6"/>
      <c r="G945" s="6"/>
      <c r="H945" s="6"/>
      <c r="I945" s="6"/>
      <c r="J945" s="138"/>
    </row>
    <row r="946" spans="1:10">
      <c r="A946" s="9"/>
      <c r="B946" s="9"/>
      <c r="C946" s="6"/>
      <c r="D946" s="6"/>
      <c r="E946" s="9"/>
      <c r="F946" s="6"/>
      <c r="G946" s="6"/>
      <c r="H946" s="6"/>
      <c r="I946" s="6"/>
      <c r="J946" s="138"/>
    </row>
    <row r="947" spans="1:10">
      <c r="A947" s="9"/>
      <c r="B947" s="9"/>
      <c r="C947" s="6"/>
      <c r="D947" s="6"/>
      <c r="E947" s="9"/>
      <c r="F947" s="6"/>
      <c r="G947" s="6"/>
      <c r="H947" s="6"/>
      <c r="I947" s="6"/>
      <c r="J947" s="138"/>
    </row>
    <row r="948" spans="1:10">
      <c r="A948" s="9"/>
      <c r="B948" s="9"/>
      <c r="C948" s="6"/>
      <c r="D948" s="6"/>
      <c r="E948" s="9"/>
      <c r="F948" s="6"/>
      <c r="G948" s="6"/>
      <c r="H948" s="6"/>
      <c r="I948" s="6"/>
      <c r="J948" s="138"/>
    </row>
    <row r="949" spans="1:10">
      <c r="A949" s="9"/>
      <c r="B949" s="9"/>
      <c r="C949" s="6"/>
      <c r="D949" s="6"/>
      <c r="E949" s="9"/>
      <c r="F949" s="6"/>
      <c r="G949" s="6"/>
      <c r="H949" s="6"/>
      <c r="I949" s="6"/>
      <c r="J949" s="138"/>
    </row>
    <row r="950" spans="1:10">
      <c r="A950" s="9"/>
      <c r="B950" s="9"/>
      <c r="C950" s="6"/>
      <c r="D950" s="6"/>
      <c r="E950" s="9"/>
      <c r="F950" s="6"/>
      <c r="G950" s="6"/>
      <c r="H950" s="6"/>
      <c r="I950" s="6"/>
      <c r="J950" s="138"/>
    </row>
    <row r="951" spans="1:10">
      <c r="A951" s="9"/>
      <c r="B951" s="9"/>
      <c r="C951" s="6"/>
      <c r="D951" s="6"/>
      <c r="E951" s="9"/>
      <c r="F951" s="6"/>
      <c r="G951" s="6"/>
      <c r="H951" s="6"/>
      <c r="I951" s="6"/>
      <c r="J951" s="138"/>
    </row>
    <row r="952" spans="1:10">
      <c r="A952" s="9"/>
      <c r="B952" s="9"/>
      <c r="C952" s="6"/>
      <c r="D952" s="6"/>
      <c r="E952" s="9"/>
      <c r="F952" s="6"/>
      <c r="G952" s="6"/>
      <c r="H952" s="6"/>
      <c r="I952" s="6"/>
      <c r="J952" s="138"/>
    </row>
    <row r="953" spans="1:10">
      <c r="A953" s="9"/>
      <c r="B953" s="9"/>
      <c r="C953" s="6"/>
      <c r="D953" s="6"/>
      <c r="E953" s="9"/>
      <c r="F953" s="6"/>
      <c r="G953" s="6"/>
      <c r="H953" s="6"/>
      <c r="I953" s="6"/>
      <c r="J953" s="138"/>
    </row>
    <row r="954" spans="1:10">
      <c r="A954" s="9"/>
      <c r="B954" s="9"/>
      <c r="C954" s="6"/>
      <c r="D954" s="6"/>
      <c r="E954" s="9"/>
      <c r="F954" s="6"/>
      <c r="G954" s="6"/>
      <c r="H954" s="6"/>
      <c r="I954" s="6"/>
      <c r="J954" s="138"/>
    </row>
    <row r="955" spans="1:10">
      <c r="A955" s="9"/>
      <c r="B955" s="9"/>
      <c r="C955" s="6"/>
      <c r="D955" s="6"/>
      <c r="E955" s="9"/>
      <c r="F955" s="6"/>
      <c r="G955" s="6"/>
      <c r="H955" s="6"/>
      <c r="I955" s="6"/>
      <c r="J955" s="138"/>
    </row>
    <row r="956" spans="1:10">
      <c r="A956" s="9"/>
      <c r="B956" s="9"/>
      <c r="C956" s="6"/>
      <c r="D956" s="6"/>
      <c r="E956" s="9"/>
      <c r="F956" s="6"/>
      <c r="G956" s="6"/>
      <c r="H956" s="6"/>
      <c r="I956" s="6"/>
      <c r="J956" s="138"/>
    </row>
    <row r="957" spans="1:10">
      <c r="A957" s="9"/>
      <c r="B957" s="9"/>
      <c r="C957" s="6"/>
      <c r="D957" s="6"/>
      <c r="E957" s="9"/>
      <c r="F957" s="6"/>
      <c r="G957" s="6"/>
      <c r="H957" s="6"/>
      <c r="I957" s="6"/>
      <c r="J957" s="138"/>
    </row>
    <row r="958" spans="1:10">
      <c r="A958" s="9"/>
      <c r="B958" s="9"/>
      <c r="C958" s="6"/>
      <c r="D958" s="6"/>
      <c r="E958" s="9"/>
      <c r="F958" s="6"/>
      <c r="G958" s="6"/>
      <c r="H958" s="6"/>
      <c r="I958" s="6"/>
      <c r="J958" s="138"/>
    </row>
    <row r="959" spans="1:10">
      <c r="A959" s="9"/>
      <c r="B959" s="9"/>
      <c r="C959" s="6"/>
      <c r="D959" s="6"/>
      <c r="E959" s="9"/>
      <c r="F959" s="6"/>
      <c r="G959" s="6"/>
      <c r="H959" s="6"/>
      <c r="I959" s="6"/>
      <c r="J959" s="138"/>
    </row>
    <row r="960" spans="1:10">
      <c r="A960" s="9"/>
      <c r="B960" s="9"/>
      <c r="C960" s="6"/>
      <c r="D960" s="6"/>
      <c r="E960" s="9"/>
      <c r="F960" s="6"/>
      <c r="G960" s="6"/>
      <c r="H960" s="6"/>
      <c r="I960" s="6"/>
      <c r="J960" s="138"/>
    </row>
    <row r="961" spans="1:10">
      <c r="A961" s="9"/>
      <c r="B961" s="9"/>
      <c r="C961" s="6"/>
      <c r="D961" s="6"/>
      <c r="E961" s="9"/>
      <c r="F961" s="6"/>
      <c r="G961" s="6"/>
      <c r="H961" s="6"/>
      <c r="I961" s="6"/>
      <c r="J961" s="138"/>
    </row>
    <row r="962" spans="1:10">
      <c r="A962" s="9"/>
      <c r="B962" s="9"/>
      <c r="C962" s="6"/>
      <c r="D962" s="6"/>
      <c r="E962" s="9"/>
      <c r="F962" s="6"/>
      <c r="G962" s="6"/>
      <c r="H962" s="6"/>
      <c r="I962" s="6"/>
      <c r="J962" s="138"/>
    </row>
    <row r="963" spans="1:10">
      <c r="A963" s="9"/>
      <c r="B963" s="9"/>
      <c r="C963" s="6"/>
      <c r="D963" s="6"/>
      <c r="E963" s="9"/>
      <c r="F963" s="6"/>
      <c r="G963" s="6"/>
      <c r="H963" s="6"/>
      <c r="I963" s="6"/>
      <c r="J963" s="138"/>
    </row>
    <row r="964" spans="1:10">
      <c r="A964" s="9"/>
      <c r="B964" s="9"/>
      <c r="C964" s="6"/>
      <c r="D964" s="6"/>
      <c r="E964" s="9"/>
      <c r="F964" s="6"/>
      <c r="G964" s="6"/>
      <c r="H964" s="6"/>
      <c r="I964" s="6"/>
      <c r="J964" s="138"/>
    </row>
    <row r="965" spans="1:10">
      <c r="A965" s="9"/>
      <c r="B965" s="9"/>
      <c r="C965" s="6"/>
      <c r="D965" s="6"/>
      <c r="E965" s="9"/>
      <c r="F965" s="6"/>
      <c r="G965" s="6"/>
      <c r="H965" s="6"/>
      <c r="I965" s="6"/>
      <c r="J965" s="138"/>
    </row>
    <row r="966" spans="1:10">
      <c r="A966" s="9"/>
      <c r="B966" s="9"/>
      <c r="C966" s="6"/>
      <c r="D966" s="6"/>
      <c r="E966" s="9"/>
      <c r="F966" s="6"/>
      <c r="G966" s="6"/>
      <c r="H966" s="6"/>
      <c r="I966" s="6"/>
      <c r="J966" s="138"/>
    </row>
    <row r="967" spans="1:10">
      <c r="A967" s="9"/>
      <c r="B967" s="9"/>
      <c r="C967" s="6"/>
      <c r="D967" s="6"/>
      <c r="E967" s="9"/>
      <c r="F967" s="6"/>
      <c r="G967" s="6"/>
      <c r="H967" s="6"/>
      <c r="I967" s="6"/>
      <c r="J967" s="138"/>
    </row>
    <row r="968" spans="1:10">
      <c r="A968" s="9"/>
      <c r="B968" s="9"/>
      <c r="C968" s="6"/>
      <c r="D968" s="6"/>
      <c r="E968" s="9"/>
      <c r="F968" s="6"/>
      <c r="G968" s="6"/>
      <c r="H968" s="6"/>
      <c r="I968" s="6"/>
      <c r="J968" s="138"/>
    </row>
    <row r="969" spans="1:10">
      <c r="A969" s="9"/>
      <c r="B969" s="9"/>
      <c r="C969" s="6"/>
      <c r="D969" s="6"/>
      <c r="E969" s="9"/>
      <c r="F969" s="6"/>
      <c r="G969" s="6"/>
      <c r="H969" s="6"/>
      <c r="I969" s="6"/>
      <c r="J969" s="138"/>
    </row>
    <row r="970" spans="1:10">
      <c r="A970" s="9"/>
      <c r="B970" s="9"/>
      <c r="C970" s="6"/>
      <c r="D970" s="6"/>
      <c r="E970" s="9"/>
      <c r="F970" s="6"/>
      <c r="G970" s="6"/>
      <c r="H970" s="6"/>
      <c r="I970" s="6"/>
      <c r="J970" s="138"/>
    </row>
    <row r="971" spans="1:10">
      <c r="A971" s="9"/>
      <c r="B971" s="9"/>
      <c r="C971" s="6"/>
      <c r="D971" s="6"/>
      <c r="E971" s="9"/>
      <c r="F971" s="6"/>
      <c r="G971" s="6"/>
      <c r="H971" s="6"/>
      <c r="I971" s="6"/>
      <c r="J971" s="138"/>
    </row>
    <row r="972" spans="1:10">
      <c r="A972" s="9"/>
      <c r="B972" s="9"/>
      <c r="C972" s="6"/>
      <c r="D972" s="6"/>
      <c r="E972" s="9"/>
      <c r="F972" s="6"/>
      <c r="G972" s="6"/>
      <c r="H972" s="6"/>
      <c r="I972" s="6"/>
      <c r="J972" s="138"/>
    </row>
    <row r="973" spans="1:10">
      <c r="A973" s="9"/>
      <c r="B973" s="9"/>
      <c r="C973" s="6"/>
      <c r="D973" s="6"/>
      <c r="E973" s="9"/>
      <c r="F973" s="6"/>
      <c r="G973" s="6"/>
      <c r="H973" s="6"/>
      <c r="I973" s="6"/>
      <c r="J973" s="138"/>
    </row>
    <row r="974" spans="1:10">
      <c r="A974" s="9"/>
      <c r="B974" s="9"/>
      <c r="C974" s="6"/>
      <c r="D974" s="6"/>
      <c r="E974" s="9"/>
      <c r="F974" s="6"/>
      <c r="G974" s="6"/>
      <c r="H974" s="6"/>
      <c r="I974" s="6"/>
      <c r="J974" s="138"/>
    </row>
    <row r="975" spans="1:10">
      <c r="A975" s="9"/>
      <c r="B975" s="9"/>
      <c r="C975" s="6"/>
      <c r="D975" s="6"/>
      <c r="E975" s="9"/>
      <c r="F975" s="6"/>
      <c r="G975" s="6"/>
      <c r="H975" s="6"/>
      <c r="I975" s="6"/>
      <c r="J975" s="138"/>
    </row>
    <row r="976" spans="1:10">
      <c r="A976" s="9"/>
      <c r="B976" s="9"/>
      <c r="C976" s="6"/>
      <c r="D976" s="6"/>
      <c r="E976" s="9"/>
      <c r="F976" s="6"/>
      <c r="G976" s="6"/>
      <c r="H976" s="6"/>
      <c r="I976" s="6"/>
      <c r="J976" s="138"/>
    </row>
    <row r="977" spans="1:10">
      <c r="A977" s="9"/>
      <c r="B977" s="9"/>
      <c r="C977" s="6"/>
      <c r="D977" s="6"/>
      <c r="E977" s="9"/>
      <c r="F977" s="6"/>
      <c r="G977" s="6"/>
      <c r="H977" s="6"/>
      <c r="I977" s="6"/>
      <c r="J977" s="138"/>
    </row>
    <row r="978" spans="1:10">
      <c r="A978" s="9"/>
      <c r="B978" s="9"/>
      <c r="C978" s="6"/>
      <c r="D978" s="6"/>
      <c r="E978" s="9"/>
      <c r="F978" s="6"/>
      <c r="G978" s="6"/>
      <c r="H978" s="6"/>
      <c r="I978" s="6"/>
      <c r="J978" s="138"/>
    </row>
    <row r="979" spans="1:10">
      <c r="A979" s="9"/>
      <c r="B979" s="9"/>
      <c r="C979" s="6"/>
      <c r="D979" s="6"/>
      <c r="E979" s="9"/>
      <c r="F979" s="6"/>
      <c r="G979" s="6"/>
      <c r="H979" s="6"/>
      <c r="I979" s="6"/>
      <c r="J979" s="138"/>
    </row>
    <row r="980" spans="1:10">
      <c r="A980" s="9"/>
      <c r="B980" s="9"/>
      <c r="C980" s="6"/>
      <c r="D980" s="6"/>
      <c r="E980" s="9"/>
      <c r="F980" s="6"/>
      <c r="G980" s="6"/>
      <c r="H980" s="6"/>
      <c r="I980" s="6"/>
      <c r="J980" s="138"/>
    </row>
    <row r="981" spans="1:10">
      <c r="A981" s="9"/>
      <c r="B981" s="9"/>
      <c r="C981" s="6"/>
      <c r="D981" s="6"/>
      <c r="E981" s="9"/>
      <c r="F981" s="6"/>
      <c r="G981" s="6"/>
      <c r="H981" s="6"/>
      <c r="I981" s="6"/>
      <c r="J981" s="138"/>
    </row>
    <row r="982" spans="1:10">
      <c r="A982" s="9"/>
      <c r="B982" s="9"/>
      <c r="C982" s="6"/>
      <c r="D982" s="6"/>
      <c r="E982" s="9"/>
      <c r="F982" s="6"/>
      <c r="G982" s="6"/>
      <c r="H982" s="6"/>
      <c r="I982" s="6"/>
      <c r="J982" s="138"/>
    </row>
    <row r="983" spans="1:10">
      <c r="A983" s="9"/>
      <c r="B983" s="9"/>
      <c r="C983" s="6"/>
      <c r="D983" s="6"/>
      <c r="E983" s="9"/>
      <c r="F983" s="6"/>
      <c r="G983" s="6"/>
      <c r="H983" s="6"/>
      <c r="I983" s="6"/>
      <c r="J983" s="138"/>
    </row>
    <row r="984" spans="1:10">
      <c r="A984" s="9"/>
      <c r="B984" s="9"/>
      <c r="C984" s="6"/>
      <c r="D984" s="6"/>
      <c r="E984" s="9"/>
      <c r="F984" s="6"/>
      <c r="G984" s="6"/>
      <c r="H984" s="6"/>
      <c r="I984" s="6"/>
      <c r="J984" s="138"/>
    </row>
    <row r="985" spans="1:10">
      <c r="A985" s="9"/>
      <c r="B985" s="9"/>
      <c r="C985" s="6"/>
      <c r="D985" s="6"/>
      <c r="E985" s="9"/>
      <c r="F985" s="6"/>
      <c r="G985" s="6"/>
      <c r="H985" s="6"/>
      <c r="I985" s="6"/>
      <c r="J985" s="138"/>
    </row>
    <row r="986" spans="1:10">
      <c r="A986" s="9"/>
      <c r="B986" s="9"/>
      <c r="C986" s="6"/>
      <c r="D986" s="6"/>
      <c r="E986" s="9"/>
      <c r="F986" s="6"/>
      <c r="G986" s="6"/>
      <c r="H986" s="6"/>
      <c r="I986" s="6"/>
      <c r="J986" s="138"/>
    </row>
    <row r="987" spans="1:10">
      <c r="A987" s="9"/>
      <c r="B987" s="9"/>
      <c r="C987" s="6"/>
      <c r="D987" s="6"/>
      <c r="E987" s="9"/>
      <c r="F987" s="6"/>
      <c r="G987" s="6"/>
      <c r="H987" s="6"/>
      <c r="I987" s="6"/>
      <c r="J987" s="138"/>
    </row>
    <row r="988" spans="1:10">
      <c r="A988" s="9"/>
      <c r="B988" s="9"/>
      <c r="C988" s="6"/>
      <c r="D988" s="6"/>
      <c r="E988" s="9"/>
      <c r="F988" s="6"/>
      <c r="G988" s="6"/>
      <c r="H988" s="6"/>
      <c r="I988" s="6"/>
      <c r="J988" s="138"/>
    </row>
    <row r="989" spans="1:10">
      <c r="A989" s="9"/>
      <c r="B989" s="9"/>
      <c r="C989" s="6"/>
      <c r="D989" s="6"/>
      <c r="E989" s="9"/>
      <c r="F989" s="6"/>
      <c r="G989" s="6"/>
      <c r="H989" s="6"/>
      <c r="I989" s="6"/>
      <c r="J989" s="138"/>
    </row>
    <row r="990" spans="1:10">
      <c r="A990" s="9"/>
      <c r="B990" s="9"/>
      <c r="C990" s="6"/>
      <c r="D990" s="6"/>
      <c r="E990" s="9"/>
      <c r="F990" s="6"/>
      <c r="G990" s="6"/>
      <c r="H990" s="6"/>
      <c r="I990" s="6"/>
      <c r="J990" s="138"/>
    </row>
    <row r="991" spans="1:10">
      <c r="A991" s="9"/>
      <c r="B991" s="9"/>
      <c r="C991" s="6"/>
      <c r="D991" s="6"/>
      <c r="E991" s="9"/>
      <c r="F991" s="6"/>
      <c r="G991" s="6"/>
      <c r="H991" s="6"/>
      <c r="I991" s="6"/>
      <c r="J991" s="138"/>
    </row>
    <row r="992" spans="1:10">
      <c r="A992" s="9"/>
      <c r="B992" s="9"/>
      <c r="C992" s="6"/>
      <c r="D992" s="6"/>
      <c r="E992" s="9"/>
      <c r="F992" s="6"/>
      <c r="G992" s="6"/>
      <c r="H992" s="6"/>
      <c r="I992" s="6"/>
      <c r="J992" s="138"/>
    </row>
    <row r="993" spans="1:10">
      <c r="A993" s="9"/>
      <c r="B993" s="9"/>
      <c r="C993" s="6"/>
      <c r="D993" s="6"/>
      <c r="E993" s="9"/>
      <c r="F993" s="6"/>
      <c r="G993" s="6"/>
      <c r="H993" s="6"/>
      <c r="I993" s="6"/>
      <c r="J993" s="138"/>
    </row>
    <row r="994" spans="1:10">
      <c r="A994" s="9"/>
      <c r="B994" s="9"/>
      <c r="C994" s="6"/>
      <c r="D994" s="6"/>
      <c r="E994" s="9"/>
      <c r="F994" s="6"/>
      <c r="G994" s="6"/>
      <c r="H994" s="6"/>
      <c r="I994" s="6"/>
      <c r="J994" s="138"/>
    </row>
    <row r="995" spans="1:10">
      <c r="A995" s="9"/>
      <c r="B995" s="9"/>
      <c r="C995" s="6"/>
      <c r="D995" s="6"/>
      <c r="E995" s="9"/>
      <c r="F995" s="6"/>
      <c r="G995" s="6"/>
      <c r="H995" s="6"/>
      <c r="I995" s="6"/>
      <c r="J995" s="138"/>
    </row>
    <row r="996" spans="1:10">
      <c r="A996" s="9"/>
      <c r="B996" s="9"/>
      <c r="C996" s="6"/>
      <c r="D996" s="6"/>
      <c r="E996" s="9"/>
      <c r="F996" s="6"/>
      <c r="G996" s="6"/>
      <c r="H996" s="6"/>
      <c r="I996" s="6"/>
      <c r="J996" s="138"/>
    </row>
    <row r="997" spans="1:10">
      <c r="A997" s="9"/>
      <c r="B997" s="9"/>
      <c r="C997" s="6"/>
      <c r="D997" s="6"/>
      <c r="E997" s="9"/>
      <c r="F997" s="6"/>
      <c r="G997" s="6"/>
      <c r="H997" s="6"/>
      <c r="I997" s="6"/>
      <c r="J997" s="138"/>
    </row>
    <row r="998" spans="1:10">
      <c r="A998" s="9"/>
      <c r="B998" s="9"/>
      <c r="C998" s="6"/>
      <c r="D998" s="6"/>
      <c r="E998" s="9"/>
      <c r="F998" s="6"/>
      <c r="G998" s="6"/>
      <c r="H998" s="6"/>
      <c r="I998" s="6"/>
      <c r="J998" s="138"/>
    </row>
    <row r="999" spans="1:10">
      <c r="A999" s="9"/>
      <c r="B999" s="9"/>
      <c r="C999" s="6"/>
      <c r="D999" s="6"/>
      <c r="E999" s="9"/>
      <c r="F999" s="6"/>
      <c r="G999" s="6"/>
      <c r="H999" s="6"/>
      <c r="I999" s="6"/>
      <c r="J999" s="138"/>
    </row>
    <row r="1000" spans="1:10">
      <c r="A1000" s="9"/>
      <c r="B1000" s="9"/>
      <c r="C1000" s="6"/>
      <c r="D1000" s="6"/>
      <c r="E1000" s="9"/>
      <c r="F1000" s="6"/>
      <c r="G1000" s="6"/>
      <c r="H1000" s="6"/>
      <c r="I1000" s="6"/>
      <c r="J1000" s="138"/>
    </row>
    <row r="1001" spans="1:10">
      <c r="A1001" s="9"/>
      <c r="B1001" s="9"/>
      <c r="C1001" s="6"/>
      <c r="D1001" s="6"/>
      <c r="E1001" s="9"/>
      <c r="F1001" s="6"/>
      <c r="G1001" s="6"/>
      <c r="H1001" s="6"/>
      <c r="I1001" s="6"/>
      <c r="J1001" s="138"/>
    </row>
    <row r="1002" spans="1:10">
      <c r="A1002" s="9"/>
      <c r="B1002" s="9"/>
      <c r="C1002" s="6"/>
      <c r="D1002" s="6"/>
      <c r="E1002" s="9"/>
      <c r="F1002" s="6"/>
      <c r="G1002" s="6"/>
      <c r="H1002" s="6"/>
      <c r="I1002" s="6"/>
      <c r="J1002" s="138"/>
    </row>
    <row r="1003" spans="1:10">
      <c r="A1003" s="9"/>
      <c r="B1003" s="9"/>
      <c r="C1003" s="6"/>
      <c r="D1003" s="6"/>
      <c r="E1003" s="9"/>
      <c r="F1003" s="6"/>
      <c r="G1003" s="6"/>
      <c r="H1003" s="6"/>
      <c r="I1003" s="6"/>
      <c r="J1003" s="138"/>
    </row>
    <row r="1004" spans="1:10">
      <c r="A1004" s="9"/>
      <c r="B1004" s="9"/>
      <c r="C1004" s="6"/>
      <c r="D1004" s="6"/>
      <c r="E1004" s="9"/>
      <c r="F1004" s="6"/>
      <c r="G1004" s="6"/>
      <c r="H1004" s="6"/>
      <c r="I1004" s="6"/>
      <c r="J1004" s="138"/>
    </row>
    <row r="1005" spans="1:10">
      <c r="A1005" s="9"/>
      <c r="B1005" s="9"/>
      <c r="C1005" s="6"/>
      <c r="D1005" s="6"/>
      <c r="E1005" s="9"/>
      <c r="F1005" s="6"/>
      <c r="G1005" s="6"/>
      <c r="H1005" s="6"/>
      <c r="I1005" s="6"/>
      <c r="J1005" s="138"/>
    </row>
    <row r="1006" spans="1:10">
      <c r="A1006" s="9"/>
      <c r="B1006" s="9"/>
      <c r="C1006" s="6"/>
      <c r="D1006" s="6"/>
      <c r="E1006" s="9"/>
      <c r="F1006" s="6"/>
      <c r="G1006" s="6"/>
      <c r="H1006" s="6"/>
      <c r="I1006" s="6"/>
      <c r="J1006" s="138"/>
    </row>
    <row r="1007" spans="1:10">
      <c r="A1007" s="9"/>
      <c r="B1007" s="9"/>
      <c r="C1007" s="6"/>
      <c r="D1007" s="6"/>
      <c r="E1007" s="9"/>
      <c r="F1007" s="6"/>
      <c r="G1007" s="6"/>
      <c r="H1007" s="6"/>
      <c r="I1007" s="6"/>
      <c r="J1007" s="138"/>
    </row>
    <row r="1008" spans="1:10">
      <c r="A1008" s="9"/>
      <c r="B1008" s="9"/>
      <c r="C1008" s="6"/>
      <c r="D1008" s="6"/>
      <c r="E1008" s="9"/>
      <c r="F1008" s="6"/>
      <c r="G1008" s="6"/>
      <c r="H1008" s="6"/>
      <c r="I1008" s="6"/>
      <c r="J1008" s="138"/>
    </row>
    <row r="1009" spans="1:10">
      <c r="A1009" s="9"/>
      <c r="B1009" s="9"/>
      <c r="C1009" s="6"/>
      <c r="D1009" s="6"/>
      <c r="E1009" s="9"/>
      <c r="F1009" s="6"/>
      <c r="G1009" s="6"/>
      <c r="H1009" s="6"/>
      <c r="I1009" s="6"/>
      <c r="J1009" s="138"/>
    </row>
    <row r="1010" spans="1:10">
      <c r="A1010" s="9" t="e">
        <f>VLOOKUP($C1010,SKU!$A:$I,3,FALSE)</f>
        <v>#N/A</v>
      </c>
      <c r="B1010" s="9" t="e">
        <f>VLOOKUP($C1010,SKU!$A:$I,2,FALSE)</f>
        <v>#N/A</v>
      </c>
    </row>
    <row r="1011" spans="1:10">
      <c r="A1011" s="9"/>
      <c r="B1011" s="9"/>
      <c r="C1011" s="10"/>
      <c r="D1011" s="6"/>
      <c r="E1011" s="9"/>
      <c r="F1011" s="6"/>
      <c r="G1011" s="10"/>
      <c r="H1011" s="10"/>
      <c r="I1011" s="10"/>
      <c r="J1011" s="138"/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$A1:$XFD43" name="Range1"/>
    <protectedRange sqref="$A44:$XFD44" name="Range2"/>
    <protectedRange sqref="$A50:$XFD50" name="Range3"/>
    <protectedRange sqref="$A48:$XFD48" name="Range4"/>
    <protectedRange sqref="$A45:$XFD55" name="Range5"/>
    <protectedRange sqref="$A56:$XFD57" name="Range6"/>
    <protectedRange sqref="$A58:$XFD84" name="Range7"/>
    <protectedRange sqref="$A85:$XFD104" name="Range8"/>
    <protectedRange sqref="$A105:$XFD110" name="Range9"/>
    <protectedRange sqref="$A111:$XFD116" name="Range10"/>
    <protectedRange sqref="$A117:$XFD172" name="Range11"/>
    <protectedRange sqref="$A173:$XFD181" name="Range12"/>
    <protectedRange sqref="$A182:$XFD224" name="Range13"/>
    <protectedRange sqref="$A225:$XFD234" name="Range14"/>
    <protectedRange sqref="$A235:$XFD249" name="Range15"/>
    <protectedRange sqref="$A250:$XFD270" name="Range16"/>
    <protectedRange sqref="$A271:$XFD273" name="Range17"/>
    <protectedRange sqref="$A274:$XFD285" name="Range18"/>
  </protectedRanges>
  <autoFilter xmlns:etc="http://www.wps.cn/officeDocument/2017/etCustomData" ref="A1:J1011" etc:filterBottomFollowUsedRange="1">
    <extLst/>
  </autoFilter>
  <dataValidations count="3">
    <dataValidation type="list" allowBlank="1" showInputMessage="1" showErrorMessage="1" sqref="C2:C285 C287:C1009">
      <formula1>英文_越文名_Tên_SP</formula1>
    </dataValidation>
    <dataValidation type="list" allowBlank="1" showInputMessage="1" showErrorMessage="1" sqref="G2:G285 G287:G1048576">
      <formula1>主播</formula1>
    </dataValidation>
    <dataValidation type="list" allowBlank="1" showInputMessage="1" showErrorMessage="1" sqref="H2:H1048576">
      <formula1>运营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0"/>
  <sheetViews>
    <sheetView tabSelected="1" workbookViewId="0">
      <pane xSplit="1" ySplit="1" topLeftCell="I339" activePane="bottomRight" state="frozen"/>
      <selection/>
      <selection pane="topRight"/>
      <selection pane="bottomLeft"/>
      <selection pane="bottomRight" activeCell="K25" sqref="K25"/>
    </sheetView>
  </sheetViews>
  <sheetFormatPr defaultColWidth="9" defaultRowHeight="15"/>
  <cols>
    <col min="1" max="1" width="9" style="1"/>
    <col min="2" max="2" width="45.75" style="1" customWidth="1"/>
    <col min="3" max="3" width="43.375" style="1" customWidth="1"/>
    <col min="4" max="4" width="7.125" style="1" customWidth="1"/>
    <col min="5" max="5" width="17.375" style="1" customWidth="1"/>
    <col min="6" max="6" width="8.625" style="1" customWidth="1"/>
    <col min="7" max="9" width="15.375" style="1" customWidth="1"/>
    <col min="10" max="10" width="9.625" style="1" customWidth="1"/>
    <col min="11" max="11" width="12.25" style="1" customWidth="1"/>
    <col min="12" max="16384" width="9" style="1"/>
  </cols>
  <sheetData>
    <row r="1" s="1" customFormat="1" ht="30" customHeight="1" spans="1:11">
      <c r="A1" s="125" t="s">
        <v>386</v>
      </c>
      <c r="B1" s="125" t="s">
        <v>387</v>
      </c>
      <c r="C1" s="125" t="s">
        <v>413</v>
      </c>
      <c r="D1" s="126" t="s">
        <v>541</v>
      </c>
      <c r="E1" s="126" t="s">
        <v>523</v>
      </c>
      <c r="F1" s="125" t="s">
        <v>416</v>
      </c>
      <c r="G1" s="127" t="s">
        <v>542</v>
      </c>
      <c r="H1" s="126" t="s">
        <v>543</v>
      </c>
      <c r="I1" s="126" t="s">
        <v>544</v>
      </c>
      <c r="J1" s="127" t="s">
        <v>545</v>
      </c>
      <c r="K1" s="127" t="s">
        <v>546</v>
      </c>
    </row>
    <row r="2" spans="1:11">
      <c r="A2" s="128">
        <f>VLOOKUP($C2,SKU!$A:$I,3,FALSE)</f>
        <v>10003</v>
      </c>
      <c r="B2" s="128" t="str">
        <f>VLOOKUP($C2,SKU!$A:$I,2,FALSE)</f>
        <v>DUO米全新出品鬼灭之刃-柱合会议篇第二弹</v>
      </c>
      <c r="C2" s="129" t="s">
        <v>24</v>
      </c>
      <c r="D2" s="130">
        <v>0</v>
      </c>
      <c r="E2" s="128">
        <f>D2*VLOOKUP(A2,Nhập入库!A:N,8,FALSE)</f>
        <v>0</v>
      </c>
      <c r="F2" s="130">
        <v>27</v>
      </c>
      <c r="G2" s="29" t="s">
        <v>425</v>
      </c>
      <c r="H2" s="29" t="s">
        <v>426</v>
      </c>
      <c r="I2" s="130"/>
      <c r="J2" s="131"/>
      <c r="K2" s="132"/>
    </row>
    <row r="3" spans="1:11">
      <c r="A3" s="31">
        <f>VLOOKUP($C3,SKU!$A:$I,3,FALSE)</f>
        <v>10039</v>
      </c>
      <c r="B3" s="31" t="str">
        <f>VLOOKUP($C3,SKU!$A:$I,2,FALSE)</f>
        <v>非凡航海王第五弹</v>
      </c>
      <c r="C3" s="29" t="s">
        <v>184</v>
      </c>
      <c r="D3" s="29">
        <v>0</v>
      </c>
      <c r="E3" s="31">
        <f>D3*VLOOKUP(A3,Nhập入库!A:N,8,FALSE)</f>
        <v>0</v>
      </c>
      <c r="F3" s="29">
        <v>80</v>
      </c>
      <c r="G3" s="29" t="s">
        <v>138</v>
      </c>
      <c r="H3" s="29" t="s">
        <v>142</v>
      </c>
      <c r="I3" s="29" t="s">
        <v>431</v>
      </c>
      <c r="J3" s="10" t="s">
        <v>492</v>
      </c>
      <c r="K3" s="133">
        <v>0.738194444444444</v>
      </c>
    </row>
    <row r="4" spans="1:11">
      <c r="A4" s="31">
        <f>VLOOKUP($C4,SKU!$A:$I,3,FALSE)</f>
        <v>10057</v>
      </c>
      <c r="B4" s="31" t="str">
        <f>VLOOKUP($C4,SKU!$A:$I,2,FALSE)</f>
        <v>三丽鸥家族暖冬</v>
      </c>
      <c r="C4" s="29" t="s">
        <v>241</v>
      </c>
      <c r="D4" s="29">
        <v>0</v>
      </c>
      <c r="E4" s="31">
        <f>D4*VLOOKUP(A4,Nhập入库!A:N,8,FALSE)</f>
        <v>0</v>
      </c>
      <c r="F4" s="29">
        <v>8</v>
      </c>
      <c r="G4" s="29" t="s">
        <v>477</v>
      </c>
      <c r="H4" s="29" t="s">
        <v>146</v>
      </c>
      <c r="I4" s="29" t="s">
        <v>428</v>
      </c>
      <c r="J4" s="10" t="s">
        <v>492</v>
      </c>
      <c r="K4" s="133">
        <v>0.885416666666667</v>
      </c>
    </row>
    <row r="5" spans="1:11">
      <c r="A5" s="31">
        <f>VLOOKUP($C5,SKU!$A:$I,3,FALSE)</f>
        <v>10039</v>
      </c>
      <c r="B5" s="31" t="str">
        <f>VLOOKUP($C5,SKU!$A:$I,2,FALSE)</f>
        <v>非凡航海王第五弹</v>
      </c>
      <c r="C5" s="29" t="s">
        <v>184</v>
      </c>
      <c r="D5" s="29">
        <v>0</v>
      </c>
      <c r="E5" s="31">
        <f>D5*VLOOKUP(A5,Nhập入库!A:N,8,FALSE)</f>
        <v>0</v>
      </c>
      <c r="F5" s="29">
        <v>22</v>
      </c>
      <c r="G5" s="29" t="s">
        <v>142</v>
      </c>
      <c r="H5" s="34" t="s">
        <v>118</v>
      </c>
      <c r="I5" s="29" t="s">
        <v>431</v>
      </c>
      <c r="J5" s="10" t="s">
        <v>492</v>
      </c>
      <c r="K5" s="133">
        <v>0.738194444444444</v>
      </c>
    </row>
    <row r="6" spans="1:11">
      <c r="A6" s="31">
        <f>VLOOKUP($C6,SKU!$A:$I,3,FALSE)</f>
        <v>10039</v>
      </c>
      <c r="B6" s="31" t="str">
        <f>VLOOKUP($C6,SKU!$A:$I,2,FALSE)</f>
        <v>非凡航海王第五弹</v>
      </c>
      <c r="C6" s="29" t="s">
        <v>184</v>
      </c>
      <c r="D6" s="29">
        <v>1</v>
      </c>
      <c r="E6" s="31">
        <f>D6*VLOOKUP(A6,Nhập入库!A:N,8,FALSE)</f>
        <v>20</v>
      </c>
      <c r="F6" s="29"/>
      <c r="G6" s="34" t="s">
        <v>142</v>
      </c>
      <c r="H6" s="29" t="s">
        <v>162</v>
      </c>
      <c r="I6" s="29" t="s">
        <v>65</v>
      </c>
      <c r="J6" s="34" t="s">
        <v>494</v>
      </c>
      <c r="K6" s="133">
        <v>0.381944444444444</v>
      </c>
    </row>
    <row r="7" spans="1:11">
      <c r="A7" s="31">
        <f>VLOOKUP($C7,SKU!$A:$I,3,FALSE)</f>
        <v>10057</v>
      </c>
      <c r="B7" s="31" t="str">
        <f>VLOOKUP($C7,SKU!$A:$I,2,FALSE)</f>
        <v>三丽鸥家族暖冬</v>
      </c>
      <c r="C7" s="34" t="s">
        <v>241</v>
      </c>
      <c r="D7" s="29">
        <v>1</v>
      </c>
      <c r="E7" s="31">
        <f>D7*VLOOKUP(A7,Nhập入库!A:N,8,FALSE)</f>
        <v>10</v>
      </c>
      <c r="F7" s="29"/>
      <c r="G7" s="29" t="s">
        <v>477</v>
      </c>
      <c r="H7" s="29" t="s">
        <v>422</v>
      </c>
      <c r="I7" s="29" t="s">
        <v>65</v>
      </c>
      <c r="J7" s="34" t="s">
        <v>494</v>
      </c>
      <c r="K7" s="133">
        <v>0.397916666666667</v>
      </c>
    </row>
    <row r="8" spans="1:11">
      <c r="A8" s="31">
        <f>VLOOKUP($C8,SKU!$A:$I,3,FALSE)</f>
        <v>10072</v>
      </c>
      <c r="B8" s="31" t="str">
        <f>VLOOKUP($C8,SKU!$A:$I,2,FALSE)</f>
        <v>伴飞小鸟</v>
      </c>
      <c r="C8" s="29" t="s">
        <v>282</v>
      </c>
      <c r="D8" s="29">
        <v>2</v>
      </c>
      <c r="E8" s="31">
        <f>D8*VLOOKUP(A8,Nhập入库!A:N,8,FALSE)</f>
        <v>2</v>
      </c>
      <c r="F8" s="29"/>
      <c r="G8" s="29" t="s">
        <v>422</v>
      </c>
      <c r="H8" s="29" t="s">
        <v>432</v>
      </c>
      <c r="I8" s="29" t="s">
        <v>65</v>
      </c>
      <c r="J8" s="34" t="s">
        <v>494</v>
      </c>
      <c r="K8" s="133">
        <v>0.505555555555556</v>
      </c>
    </row>
    <row r="9" spans="1:11">
      <c r="A9" s="31">
        <f>VLOOKUP($C9,SKU!$A:$I,3,FALSE)</f>
        <v>10046</v>
      </c>
      <c r="B9" s="31" t="str">
        <f>VLOOKUP($C9,SKU!$A:$I,2,FALSE)</f>
        <v>夜灯</v>
      </c>
      <c r="C9" s="29" t="s">
        <v>207</v>
      </c>
      <c r="D9" s="29">
        <v>3</v>
      </c>
      <c r="E9" s="31">
        <f>D9*VLOOKUP(A9,Nhập入库!A:N,8,FALSE)</f>
        <v>3</v>
      </c>
      <c r="F9" s="29"/>
      <c r="G9" s="29" t="s">
        <v>422</v>
      </c>
      <c r="H9" s="29" t="s">
        <v>432</v>
      </c>
      <c r="I9" s="29" t="s">
        <v>65</v>
      </c>
      <c r="J9" s="34" t="s">
        <v>494</v>
      </c>
      <c r="K9" s="133">
        <v>0.505555555555556</v>
      </c>
    </row>
    <row r="10" spans="1:11">
      <c r="A10" s="31">
        <f>VLOOKUP($C10,SKU!$A:$I,3,FALSE)</f>
        <v>10039</v>
      </c>
      <c r="B10" s="31" t="str">
        <f>VLOOKUP($C10,SKU!$A:$I,2,FALSE)</f>
        <v>非凡航海王第五弹</v>
      </c>
      <c r="C10" s="29" t="s">
        <v>184</v>
      </c>
      <c r="D10" s="29">
        <v>1</v>
      </c>
      <c r="E10" s="31">
        <f>D10*VLOOKUP(A10,Nhập入库!A:N,8,FALSE)</f>
        <v>20</v>
      </c>
      <c r="F10" s="29"/>
      <c r="G10" s="29" t="s">
        <v>122</v>
      </c>
      <c r="H10" s="29" t="s">
        <v>134</v>
      </c>
      <c r="I10" s="29" t="s">
        <v>408</v>
      </c>
      <c r="J10" s="34" t="s">
        <v>494</v>
      </c>
      <c r="K10" s="133">
        <v>0.541666666666667</v>
      </c>
    </row>
    <row r="11" spans="1:11">
      <c r="A11" s="31">
        <f>VLOOKUP($C11,SKU!$A:$I,3,FALSE)</f>
        <v>10039</v>
      </c>
      <c r="B11" s="31" t="str">
        <f>VLOOKUP($C11,SKU!$A:$I,2,FALSE)</f>
        <v>非凡航海王第五弹</v>
      </c>
      <c r="C11" s="34" t="s">
        <v>184</v>
      </c>
      <c r="D11" s="29">
        <v>1</v>
      </c>
      <c r="E11" s="31">
        <f>D11*VLOOKUP(A11,Nhập入库!A:N,8,FALSE)</f>
        <v>20</v>
      </c>
      <c r="F11" s="29"/>
      <c r="G11" s="29" t="s">
        <v>74</v>
      </c>
      <c r="H11" s="29" t="s">
        <v>432</v>
      </c>
      <c r="I11" s="29" t="s">
        <v>65</v>
      </c>
      <c r="J11" s="34" t="s">
        <v>495</v>
      </c>
      <c r="K11" s="133">
        <v>0.667361111111111</v>
      </c>
    </row>
    <row r="12" spans="1:11">
      <c r="A12" s="31">
        <f>VLOOKUP($C12,SKU!$A:$I,3,FALSE)</f>
        <v>10038</v>
      </c>
      <c r="B12" s="31" t="str">
        <f>VLOOKUP($C12,SKU!$A:$I,2,FALSE)</f>
        <v>浮光工作室❤第三弹【夏风吻过你的睫毛】</v>
      </c>
      <c r="C12" s="29" t="s">
        <v>179</v>
      </c>
      <c r="D12" s="29">
        <v>0</v>
      </c>
      <c r="E12" s="31">
        <f>D12*VLOOKUP(A12,Nhập入库!A:N,8,FALSE)</f>
        <v>0</v>
      </c>
      <c r="F12" s="29">
        <v>16</v>
      </c>
      <c r="G12" s="29" t="s">
        <v>433</v>
      </c>
      <c r="H12" s="29" t="s">
        <v>154</v>
      </c>
      <c r="I12" s="29" t="s">
        <v>431</v>
      </c>
      <c r="J12" s="34" t="s">
        <v>495</v>
      </c>
      <c r="K12" s="133">
        <v>0.875</v>
      </c>
    </row>
    <row r="13" spans="1:11">
      <c r="A13" s="31">
        <f>VLOOKUP($C13,SKU!$A:$I,3,FALSE)</f>
        <v>10039</v>
      </c>
      <c r="B13" s="31" t="str">
        <f>VLOOKUP($C13,SKU!$A:$I,2,FALSE)</f>
        <v>非凡航海王第五弹</v>
      </c>
      <c r="C13" s="29" t="s">
        <v>184</v>
      </c>
      <c r="D13" s="29">
        <v>0</v>
      </c>
      <c r="E13" s="31">
        <f>D13*VLOOKUP(A13,Nhập入库!A:N,8,FALSE)</f>
        <v>0</v>
      </c>
      <c r="F13" s="29">
        <v>322</v>
      </c>
      <c r="G13" s="29" t="s">
        <v>477</v>
      </c>
      <c r="H13" s="29" t="s">
        <v>150</v>
      </c>
      <c r="I13" s="29" t="s">
        <v>428</v>
      </c>
      <c r="J13" s="34" t="s">
        <v>495</v>
      </c>
      <c r="K13" s="133">
        <v>0.958333333333333</v>
      </c>
    </row>
    <row r="14" spans="1:11">
      <c r="A14" s="31">
        <f>VLOOKUP($C14,SKU!$A:$I,3,FALSE)</f>
        <v>10039</v>
      </c>
      <c r="B14" s="31" t="str">
        <f>VLOOKUP($C14,SKU!$A:$I,2,FALSE)</f>
        <v>非凡航海王第五弹</v>
      </c>
      <c r="C14" s="29" t="s">
        <v>184</v>
      </c>
      <c r="D14" s="29">
        <v>0</v>
      </c>
      <c r="E14" s="31">
        <f>D14*VLOOKUP(A14,Nhập入库!A:N,8,FALSE)</f>
        <v>0</v>
      </c>
      <c r="F14" s="29">
        <v>111</v>
      </c>
      <c r="G14" s="29" t="s">
        <v>425</v>
      </c>
      <c r="H14" s="29" t="s">
        <v>429</v>
      </c>
      <c r="I14" s="29" t="s">
        <v>428</v>
      </c>
      <c r="J14" s="34" t="s">
        <v>495</v>
      </c>
      <c r="K14" s="133">
        <v>0.992361111111111</v>
      </c>
    </row>
    <row r="15" spans="1:11">
      <c r="A15" s="31">
        <f>VLOOKUP($C15,SKU!$A:$I,3,FALSE)</f>
        <v>10002</v>
      </c>
      <c r="B15" s="31" t="str">
        <f>VLOOKUP($C15,SKU!$A:$I,2,FALSE)</f>
        <v>MoonCard月卡《美少女战士》第三弹</v>
      </c>
      <c r="C15" s="29" t="s">
        <v>18</v>
      </c>
      <c r="D15" s="29">
        <v>0</v>
      </c>
      <c r="E15" s="31">
        <f>D15*VLOOKUP(A15,Nhập入库!A:N,8,FALSE)</f>
        <v>0</v>
      </c>
      <c r="F15" s="29">
        <v>49</v>
      </c>
      <c r="G15" s="29" t="s">
        <v>90</v>
      </c>
      <c r="H15" s="29" t="s">
        <v>158</v>
      </c>
      <c r="I15" s="29" t="s">
        <v>59</v>
      </c>
      <c r="J15" s="34" t="s">
        <v>496</v>
      </c>
      <c r="K15" s="133">
        <v>0.175</v>
      </c>
    </row>
    <row r="16" spans="1:11">
      <c r="A16" s="31">
        <f>VLOOKUP($C16,SKU!$A:$I,3,FALSE)</f>
        <v>10057</v>
      </c>
      <c r="B16" s="31" t="str">
        <f>VLOOKUP($C16,SKU!$A:$I,2,FALSE)</f>
        <v>三丽鸥家族暖冬</v>
      </c>
      <c r="C16" s="34" t="s">
        <v>241</v>
      </c>
      <c r="D16" s="29">
        <v>0</v>
      </c>
      <c r="E16" s="31">
        <f>D16*VLOOKUP(A16,Nhập入库!A:N,8,FALSE)</f>
        <v>0</v>
      </c>
      <c r="F16" s="29">
        <v>6</v>
      </c>
      <c r="G16" s="29" t="s">
        <v>146</v>
      </c>
      <c r="H16" s="29" t="s">
        <v>422</v>
      </c>
      <c r="I16" s="29" t="s">
        <v>65</v>
      </c>
      <c r="J16" s="34" t="s">
        <v>496</v>
      </c>
      <c r="K16" s="133">
        <v>0.386805555555556</v>
      </c>
    </row>
    <row r="17" spans="1:11">
      <c r="A17" s="31">
        <f>VLOOKUP($C17,SKU!$A:$I,3,FALSE)</f>
        <v>10062</v>
      </c>
      <c r="B17" s="31" t="str">
        <f>VLOOKUP($C17,SKU!$A:$I,2,FALSE)</f>
        <v>Mobile Legends: Bang Bang-Collectible Cards-Hand of Destiny-001A-SEA</v>
      </c>
      <c r="C17" s="29" t="s">
        <v>255</v>
      </c>
      <c r="D17" s="29">
        <v>1</v>
      </c>
      <c r="E17" s="31">
        <f>D17*VLOOKUP(A17,Nhập入库!A:N,8,FALSE)</f>
        <v>20</v>
      </c>
      <c r="F17" s="29"/>
      <c r="G17" s="29" t="s">
        <v>426</v>
      </c>
      <c r="H17" s="29" t="s">
        <v>162</v>
      </c>
      <c r="I17" s="29" t="s">
        <v>65</v>
      </c>
      <c r="J17" s="34" t="s">
        <v>496</v>
      </c>
      <c r="K17" s="133">
        <v>0.526388888888889</v>
      </c>
    </row>
    <row r="18" spans="1:11">
      <c r="A18" s="31">
        <f>VLOOKUP($C18,SKU!$A:$I,3,FALSE)</f>
        <v>10002</v>
      </c>
      <c r="B18" s="31" t="str">
        <f>VLOOKUP($C18,SKU!$A:$I,2,FALSE)</f>
        <v>MoonCard月卡《美少女战士》第三弹</v>
      </c>
      <c r="C18" s="34" t="s">
        <v>18</v>
      </c>
      <c r="D18" s="29">
        <v>0</v>
      </c>
      <c r="E18" s="31">
        <f>D18*VLOOKUP(A18,Nhập入库!A:N,8,FALSE)</f>
        <v>0</v>
      </c>
      <c r="F18" s="29">
        <v>40</v>
      </c>
      <c r="G18" s="29" t="s">
        <v>422</v>
      </c>
      <c r="H18" s="29" t="s">
        <v>130</v>
      </c>
      <c r="I18" s="29" t="s">
        <v>499</v>
      </c>
      <c r="J18" s="34" t="s">
        <v>496</v>
      </c>
      <c r="K18" s="133">
        <v>0.625</v>
      </c>
    </row>
    <row r="19" spans="1:11">
      <c r="A19" s="31">
        <f>VLOOKUP($C19,SKU!$A:$I,3,FALSE)</f>
        <v>10072</v>
      </c>
      <c r="B19" s="31" t="str">
        <f>VLOOKUP($C19,SKU!$A:$I,2,FALSE)</f>
        <v>伴飞小鸟</v>
      </c>
      <c r="C19" s="34" t="s">
        <v>282</v>
      </c>
      <c r="D19" s="29">
        <v>3</v>
      </c>
      <c r="E19" s="31">
        <f>D19*VLOOKUP(A19,Nhập入库!A:N,8,FALSE)</f>
        <v>3</v>
      </c>
      <c r="F19" s="29"/>
      <c r="G19" s="29" t="s">
        <v>422</v>
      </c>
      <c r="H19" s="29" t="s">
        <v>432</v>
      </c>
      <c r="I19" s="29" t="s">
        <v>65</v>
      </c>
      <c r="J19" s="34" t="s">
        <v>496</v>
      </c>
      <c r="K19" s="133">
        <v>0.583333333333333</v>
      </c>
    </row>
    <row r="20" spans="1:11">
      <c r="A20" s="31">
        <f>VLOOKUP($C20,SKU!$A:$I,3,FALSE)</f>
        <v>10057</v>
      </c>
      <c r="B20" s="31" t="str">
        <f>VLOOKUP($C20,SKU!$A:$I,2,FALSE)</f>
        <v>三丽鸥家族暖冬</v>
      </c>
      <c r="C20" s="34" t="s">
        <v>241</v>
      </c>
      <c r="D20" s="29">
        <v>0</v>
      </c>
      <c r="E20" s="31">
        <v>0</v>
      </c>
      <c r="F20" s="29">
        <v>15</v>
      </c>
      <c r="G20" s="29" t="s">
        <v>426</v>
      </c>
      <c r="H20" s="29" t="s">
        <v>422</v>
      </c>
      <c r="I20" s="29" t="s">
        <v>65</v>
      </c>
      <c r="J20" s="34" t="s">
        <v>496</v>
      </c>
      <c r="K20" s="133">
        <v>0.604166666666667</v>
      </c>
    </row>
    <row r="21" spans="1:11">
      <c r="A21" s="31">
        <f>VLOOKUP($C21,SKU!$A:$I,3,FALSE)</f>
        <v>10060</v>
      </c>
      <c r="B21" s="31" t="str">
        <f>VLOOKUP($C21,SKU!$A:$I,2,FALSE)</f>
        <v>漫の森《宫崎骏第三弹·奇幻之旅》</v>
      </c>
      <c r="C21" s="34" t="s">
        <v>249</v>
      </c>
      <c r="D21" s="29">
        <v>0</v>
      </c>
      <c r="E21" s="31">
        <v>0</v>
      </c>
      <c r="F21" s="29">
        <v>10</v>
      </c>
      <c r="G21" s="29" t="s">
        <v>90</v>
      </c>
      <c r="H21" s="29" t="s">
        <v>174</v>
      </c>
      <c r="I21" s="29" t="s">
        <v>65</v>
      </c>
      <c r="J21" s="34" t="s">
        <v>496</v>
      </c>
      <c r="K21" s="133">
        <v>0.607638888888889</v>
      </c>
    </row>
    <row r="22" spans="1:11">
      <c r="A22" s="31">
        <f>VLOOKUP($C22,SKU!$A:$I,3,FALSE)</f>
        <v>10039</v>
      </c>
      <c r="B22" s="31" t="str">
        <f>VLOOKUP($C22,SKU!$A:$I,2,FALSE)</f>
        <v>非凡航海王第五弹</v>
      </c>
      <c r="C22" s="34" t="s">
        <v>184</v>
      </c>
      <c r="D22" s="29">
        <v>2</v>
      </c>
      <c r="E22" s="31">
        <v>40</v>
      </c>
      <c r="F22" s="29"/>
      <c r="G22" s="29" t="s">
        <v>162</v>
      </c>
      <c r="H22" s="29" t="s">
        <v>174</v>
      </c>
      <c r="I22" s="29" t="s">
        <v>65</v>
      </c>
      <c r="J22" s="34" t="s">
        <v>496</v>
      </c>
      <c r="K22" s="133">
        <v>0.609722222222222</v>
      </c>
    </row>
    <row r="23" spans="1:11">
      <c r="A23" s="31">
        <f>VLOOKUP($C23,SKU!$A:$I,3,FALSE)</f>
        <v>10075</v>
      </c>
      <c r="B23" s="31" t="str">
        <f>VLOOKUP($C23,SKU!$A:$I,2,FALSE)</f>
        <v>《万卡卡文创》鬼灭之刃日轮破晓第一弹</v>
      </c>
      <c r="C23" s="34" t="s">
        <v>290</v>
      </c>
      <c r="D23" s="29">
        <v>2</v>
      </c>
      <c r="E23" s="31">
        <f>D23*VLOOKUP(A23,Nhập入库!A:N,8,FALSE)</f>
        <v>20</v>
      </c>
      <c r="F23" s="29"/>
      <c r="G23" s="29" t="s">
        <v>130</v>
      </c>
      <c r="H23" s="29" t="s">
        <v>430</v>
      </c>
      <c r="I23" s="29" t="s">
        <v>431</v>
      </c>
      <c r="J23" s="34" t="s">
        <v>497</v>
      </c>
      <c r="K23" s="133">
        <v>0.929166666666667</v>
      </c>
    </row>
    <row r="24" spans="1:11">
      <c r="A24" s="31">
        <f>VLOOKUP($C24,SKU!$A:$I,3,FALSE)</f>
        <v>10075</v>
      </c>
      <c r="B24" s="31" t="str">
        <f>VLOOKUP($C24,SKU!$A:$I,2,FALSE)</f>
        <v>《万卡卡文创》鬼灭之刃日轮破晓第一弹</v>
      </c>
      <c r="C24" s="34" t="s">
        <v>290</v>
      </c>
      <c r="D24" s="29">
        <v>3</v>
      </c>
      <c r="E24" s="31">
        <f>D24*VLOOKUP(A24,Nhập入库!A:N,8,FALSE)</f>
        <v>30</v>
      </c>
      <c r="F24" s="29"/>
      <c r="G24" s="29" t="s">
        <v>33</v>
      </c>
      <c r="H24" s="29" t="s">
        <v>430</v>
      </c>
      <c r="I24" s="29" t="s">
        <v>431</v>
      </c>
      <c r="J24" s="34" t="s">
        <v>497</v>
      </c>
      <c r="K24" s="133">
        <v>0.982638888888889</v>
      </c>
    </row>
    <row r="25" spans="1:11">
      <c r="A25" s="31">
        <f>VLOOKUP($C25,SKU!$A:$I,3,FALSE)</f>
        <v>10008</v>
      </c>
      <c r="B25" s="31" t="str">
        <f>VLOOKUP($C25,SKU!$A:$I,2,FALSE)</f>
        <v>XWork美少女战士-璀璨之梦</v>
      </c>
      <c r="C25" s="34" t="s">
        <v>55</v>
      </c>
      <c r="D25" s="29"/>
      <c r="E25" s="31">
        <f>D25*VLOOKUP(A25,Nhập入库!A:N,8,FALSE)</f>
        <v>0</v>
      </c>
      <c r="F25" s="29">
        <v>36</v>
      </c>
      <c r="G25" s="29" t="s">
        <v>118</v>
      </c>
      <c r="H25" s="29" t="s">
        <v>146</v>
      </c>
      <c r="I25" s="29" t="s">
        <v>428</v>
      </c>
      <c r="J25" s="34" t="s">
        <v>496</v>
      </c>
      <c r="K25" s="133">
        <v>0.833333333333333</v>
      </c>
    </row>
    <row r="26" spans="1:11">
      <c r="A26" s="31">
        <f>VLOOKUP($C26,SKU!$A:$I,3,FALSE)</f>
        <v>10037</v>
      </c>
      <c r="B26" s="31" t="str">
        <f>VLOOKUP($C26,SKU!$A:$I,2,FALSE)</f>
        <v>磁吸邮票《咪咕咪咕&amp;魔卡少女樱》</v>
      </c>
      <c r="C26" s="34" t="s">
        <v>175</v>
      </c>
      <c r="D26" s="29"/>
      <c r="E26" s="31">
        <f>D26*VLOOKUP(A26,Nhập入库!A:N,8,FALSE)</f>
        <v>0</v>
      </c>
      <c r="F26" s="29">
        <v>3</v>
      </c>
      <c r="G26" s="29" t="s">
        <v>98</v>
      </c>
      <c r="H26" s="29" t="s">
        <v>158</v>
      </c>
      <c r="I26" s="29" t="s">
        <v>59</v>
      </c>
      <c r="J26" s="34" t="s">
        <v>498</v>
      </c>
      <c r="K26" s="133">
        <v>0.208333333333333</v>
      </c>
    </row>
    <row r="27" spans="1:11">
      <c r="A27" s="31">
        <f>VLOOKUP($C27,SKU!$A:$I,3,FALSE)</f>
        <v>10039</v>
      </c>
      <c r="B27" s="31" t="str">
        <f>VLOOKUP($C27,SKU!$A:$I,2,FALSE)</f>
        <v>非凡航海王第五弹</v>
      </c>
      <c r="C27" s="34" t="s">
        <v>184</v>
      </c>
      <c r="D27" s="29">
        <v>5</v>
      </c>
      <c r="E27" s="31">
        <f>D27*VLOOKUP(A27,Nhập入库!A:N,8,FALSE)</f>
        <v>100</v>
      </c>
      <c r="F27" s="29"/>
      <c r="G27" s="29" t="s">
        <v>118</v>
      </c>
      <c r="H27" s="29" t="s">
        <v>90</v>
      </c>
      <c r="I27" s="29" t="s">
        <v>59</v>
      </c>
      <c r="J27" s="34" t="s">
        <v>498</v>
      </c>
      <c r="K27" s="133">
        <v>0.209027777777778</v>
      </c>
    </row>
    <row r="28" spans="1:11">
      <c r="A28" s="31">
        <f>VLOOKUP($C28,SKU!$A:$I,3,FALSE)</f>
        <v>10007</v>
      </c>
      <c r="B28" s="31" t="str">
        <f>VLOOKUP($C28,SKU!$A:$I,2,FALSE)</f>
        <v>kawaii宫崎骏梦幻之国</v>
      </c>
      <c r="C28" s="29" t="s">
        <v>49</v>
      </c>
      <c r="D28" s="29">
        <v>0</v>
      </c>
      <c r="E28" s="31">
        <f>D28*VLOOKUP(A28,Nhập入库!A:N,8,FALSE)</f>
        <v>0</v>
      </c>
      <c r="F28" s="29">
        <v>31</v>
      </c>
      <c r="G28" s="29" t="s">
        <v>33</v>
      </c>
      <c r="H28" s="29" t="s">
        <v>170</v>
      </c>
      <c r="I28" s="29" t="s">
        <v>408</v>
      </c>
      <c r="J28" s="34" t="s">
        <v>497</v>
      </c>
      <c r="K28" s="133">
        <v>0.481944444444444</v>
      </c>
    </row>
    <row r="29" spans="1:11">
      <c r="A29" s="31">
        <f>VLOOKUP($C29,SKU!$A:$I,3,FALSE)</f>
        <v>10007</v>
      </c>
      <c r="B29" s="31" t="str">
        <f>VLOOKUP($C29,SKU!$A:$I,2,FALSE)</f>
        <v>kawaii宫崎骏梦幻之国</v>
      </c>
      <c r="C29" s="29" t="s">
        <v>49</v>
      </c>
      <c r="D29" s="29">
        <v>0</v>
      </c>
      <c r="E29" s="31">
        <f>D29*VLOOKUP(A29,Nhập入库!A:N,8,FALSE)</f>
        <v>0</v>
      </c>
      <c r="F29" s="29">
        <v>2</v>
      </c>
      <c r="G29" s="34" t="s">
        <v>429</v>
      </c>
      <c r="H29" s="29" t="s">
        <v>170</v>
      </c>
      <c r="I29" s="29" t="s">
        <v>408</v>
      </c>
      <c r="J29" s="34" t="s">
        <v>497</v>
      </c>
      <c r="K29" s="133">
        <v>0.481944444444444</v>
      </c>
    </row>
    <row r="30" spans="1:11">
      <c r="A30" s="31">
        <f>VLOOKUP($C30,SKU!$A:$I,3,FALSE)</f>
        <v>10035</v>
      </c>
      <c r="B30" s="31" t="str">
        <f>VLOOKUP($C30,SKU!$A:$I,2,FALSE)</f>
        <v>KK CARD × 新海诚系列第一弹</v>
      </c>
      <c r="C30" s="10" t="s">
        <v>167</v>
      </c>
      <c r="D30" s="29">
        <v>0</v>
      </c>
      <c r="E30" s="31">
        <f>D30*VLOOKUP(A30,Nhập入库!A:N,8,FALSE)</f>
        <v>0</v>
      </c>
      <c r="F30" s="6">
        <v>14</v>
      </c>
      <c r="G30" s="29" t="s">
        <v>134</v>
      </c>
      <c r="H30" s="29" t="s">
        <v>170</v>
      </c>
      <c r="I30" s="34" t="s">
        <v>499</v>
      </c>
      <c r="J30" s="34" t="s">
        <v>498</v>
      </c>
      <c r="K30" s="133">
        <v>0.375</v>
      </c>
    </row>
    <row r="31" spans="1:11">
      <c r="A31" s="31">
        <f>VLOOKUP($C31,SKU!$A:$I,3,FALSE)</f>
        <v>10018</v>
      </c>
      <c r="B31" s="31" t="str">
        <f>VLOOKUP($C31,SKU!$A:$I,2,FALSE)</f>
        <v>圣月美少女战士星尘协奏曲长卡</v>
      </c>
      <c r="C31" s="6" t="s">
        <v>99</v>
      </c>
      <c r="D31" s="29">
        <v>0</v>
      </c>
      <c r="E31" s="31">
        <f>D31*VLOOKUP(A31,Nhập入库!A:N,8,FALSE)</f>
        <v>0</v>
      </c>
      <c r="F31" s="6">
        <v>26</v>
      </c>
      <c r="G31" s="29" t="s">
        <v>134</v>
      </c>
      <c r="H31" s="29" t="s">
        <v>170</v>
      </c>
      <c r="I31" s="34" t="s">
        <v>499</v>
      </c>
      <c r="J31" s="34" t="s">
        <v>498</v>
      </c>
      <c r="K31" s="133">
        <v>0.375</v>
      </c>
    </row>
    <row r="32" spans="1:11">
      <c r="A32" s="31">
        <f>VLOOKUP($C32,SKU!$A:$I,3,FALSE)</f>
        <v>10008</v>
      </c>
      <c r="B32" s="31" t="str">
        <f>VLOOKUP($C32,SKU!$A:$I,2,FALSE)</f>
        <v>XWork美少女战士-璀璨之梦</v>
      </c>
      <c r="C32" s="6" t="s">
        <v>55</v>
      </c>
      <c r="D32" s="29">
        <v>0</v>
      </c>
      <c r="E32" s="31">
        <f>D32*VLOOKUP(A32,Nhập入库!A:N,8,FALSE)</f>
        <v>0</v>
      </c>
      <c r="F32" s="6">
        <v>10</v>
      </c>
      <c r="G32" s="29" t="s">
        <v>134</v>
      </c>
      <c r="H32" s="29" t="s">
        <v>170</v>
      </c>
      <c r="I32" s="34" t="s">
        <v>499</v>
      </c>
      <c r="J32" s="34" t="s">
        <v>498</v>
      </c>
      <c r="K32" s="133">
        <v>0.375</v>
      </c>
    </row>
    <row r="33" spans="1:11">
      <c r="A33" s="31">
        <f>VLOOKUP($C33,SKU!$A:$I,3,FALSE)</f>
        <v>10046</v>
      </c>
      <c r="B33" s="31" t="str">
        <f>VLOOKUP($C33,SKU!$A:$I,2,FALSE)</f>
        <v>夜灯</v>
      </c>
      <c r="C33" s="6" t="s">
        <v>207</v>
      </c>
      <c r="D33" s="29">
        <v>0</v>
      </c>
      <c r="E33" s="31">
        <f>D33*VLOOKUP(A33,Nhập入库!A:N,8,FALSE)</f>
        <v>0</v>
      </c>
      <c r="F33" s="6">
        <v>3</v>
      </c>
      <c r="G33" s="29" t="s">
        <v>134</v>
      </c>
      <c r="H33" s="29" t="s">
        <v>170</v>
      </c>
      <c r="I33" s="34" t="s">
        <v>499</v>
      </c>
      <c r="J33" s="34" t="s">
        <v>498</v>
      </c>
      <c r="K33" s="133">
        <v>0.375</v>
      </c>
    </row>
    <row r="34" spans="1:11">
      <c r="A34" s="31">
        <f>VLOOKUP($C34,SKU!$A:$I,3,FALSE)</f>
        <v>10029</v>
      </c>
      <c r="B34" s="31" t="str">
        <f>VLOOKUP($C34,SKU!$A:$I,2,FALSE)</f>
        <v>樱花屋魔卡少女樱</v>
      </c>
      <c r="C34" s="6" t="s">
        <v>143</v>
      </c>
      <c r="D34" s="29">
        <v>0</v>
      </c>
      <c r="E34" s="31">
        <f>D34*VLOOKUP(A34,Nhập入库!A:N,8,FALSE)</f>
        <v>0</v>
      </c>
      <c r="F34" s="6">
        <v>12</v>
      </c>
      <c r="G34" s="29" t="s">
        <v>134</v>
      </c>
      <c r="H34" s="29" t="s">
        <v>170</v>
      </c>
      <c r="I34" s="34" t="s">
        <v>499</v>
      </c>
      <c r="J34" s="34" t="s">
        <v>498</v>
      </c>
      <c r="K34" s="133">
        <v>0.375</v>
      </c>
    </row>
    <row r="35" spans="1:11">
      <c r="A35" s="31">
        <f>VLOOKUP($C35,SKU!$A:$I,3,FALSE)</f>
        <v>10016</v>
      </c>
      <c r="B35" s="31" t="str">
        <f>VLOOKUP($C35,SKU!$A:$I,2,FALSE)</f>
        <v>思梨普文创《hey!国王陛下》集换式艺术家典藏卡</v>
      </c>
      <c r="C35" s="29" t="s">
        <v>91</v>
      </c>
      <c r="D35" s="29">
        <v>0</v>
      </c>
      <c r="E35" s="31">
        <f>D35*VLOOKUP(A35,Nhập入库!A:N,8,FALSE)</f>
        <v>0</v>
      </c>
      <c r="F35" s="29">
        <v>8</v>
      </c>
      <c r="G35" s="29" t="s">
        <v>134</v>
      </c>
      <c r="H35" s="29" t="s">
        <v>170</v>
      </c>
      <c r="I35" s="34" t="s">
        <v>499</v>
      </c>
      <c r="J35" s="34" t="s">
        <v>498</v>
      </c>
      <c r="K35" s="133">
        <v>0.375</v>
      </c>
    </row>
    <row r="36" spans="1:11">
      <c r="A36" s="31">
        <f>VLOOKUP($C36,SKU!$A:$I,3,FALSE)</f>
        <v>10043</v>
      </c>
      <c r="B36" s="31" t="str">
        <f>VLOOKUP($C36,SKU!$A:$I,2,FALSE)</f>
        <v>光恋XR-披荆斩棘-美少女战士</v>
      </c>
      <c r="C36" s="29" t="s">
        <v>199</v>
      </c>
      <c r="D36" s="29">
        <v>0</v>
      </c>
      <c r="E36" s="31">
        <f>D36*VLOOKUP(A36,Nhập入库!A:N,8,FALSE)</f>
        <v>0</v>
      </c>
      <c r="F36" s="29">
        <v>29</v>
      </c>
      <c r="G36" s="29" t="s">
        <v>134</v>
      </c>
      <c r="H36" s="29" t="s">
        <v>170</v>
      </c>
      <c r="I36" s="34" t="s">
        <v>499</v>
      </c>
      <c r="J36" s="34" t="s">
        <v>498</v>
      </c>
      <c r="K36" s="133">
        <v>0.375</v>
      </c>
    </row>
    <row r="37" spans="1:11">
      <c r="A37" s="31">
        <f>VLOOKUP($C37,SKU!$A:$I,3,FALSE)</f>
        <v>10039</v>
      </c>
      <c r="B37" s="31" t="str">
        <f>VLOOKUP($C37,SKU!$A:$I,2,FALSE)</f>
        <v>非凡航海王第五弹</v>
      </c>
      <c r="C37" s="29" t="s">
        <v>184</v>
      </c>
      <c r="E37" s="31">
        <f>D37*VLOOKUP(A37,Nhập入库!A:N,8,FALSE)</f>
        <v>0</v>
      </c>
      <c r="F37" s="1">
        <v>7</v>
      </c>
      <c r="G37" s="29" t="s">
        <v>134</v>
      </c>
      <c r="H37" s="29" t="s">
        <v>170</v>
      </c>
      <c r="I37" s="34" t="s">
        <v>499</v>
      </c>
      <c r="J37" s="34" t="s">
        <v>498</v>
      </c>
      <c r="K37" s="133">
        <v>0.375</v>
      </c>
    </row>
    <row r="38" spans="1:11">
      <c r="A38" s="31">
        <f>VLOOKUP($C38,SKU!$A:$I,3,FALSE)</f>
        <v>10048</v>
      </c>
      <c r="B38" s="31" t="str">
        <f>VLOOKUP($C38,SKU!$A:$I,2,FALSE)</f>
        <v>奈良社《极昼漫游》美少女战士撕撕乐+异形小卡</v>
      </c>
      <c r="C38" s="29" t="s">
        <v>212</v>
      </c>
      <c r="D38" s="29">
        <v>0</v>
      </c>
      <c r="E38" s="31">
        <f>D38*VLOOKUP(A38,Nhập入库!A:N,8,FALSE)</f>
        <v>0</v>
      </c>
      <c r="F38" s="29">
        <v>20</v>
      </c>
      <c r="G38" s="29" t="s">
        <v>430</v>
      </c>
      <c r="H38" s="29" t="s">
        <v>130</v>
      </c>
      <c r="I38" s="29" t="s">
        <v>424</v>
      </c>
      <c r="J38" s="34" t="s">
        <v>498</v>
      </c>
      <c r="K38" s="133">
        <v>0.591666666666667</v>
      </c>
    </row>
    <row r="39" spans="1:11">
      <c r="A39" s="31">
        <f>VLOOKUP($C39,SKU!$A:$I,3,FALSE)</f>
        <v>10039</v>
      </c>
      <c r="B39" s="31" t="str">
        <f>VLOOKUP($C39,SKU!$A:$I,2,FALSE)</f>
        <v>非凡航海王第五弹</v>
      </c>
      <c r="C39" s="29" t="s">
        <v>184</v>
      </c>
      <c r="D39" s="29">
        <v>10</v>
      </c>
      <c r="E39" s="31">
        <f>D39*VLOOKUP(A39,Nhập入库!A:N,8,FALSE)</f>
        <v>200</v>
      </c>
      <c r="F39" s="29"/>
      <c r="G39" s="29" t="s">
        <v>33</v>
      </c>
      <c r="H39" s="29" t="s">
        <v>429</v>
      </c>
      <c r="I39" s="29" t="s">
        <v>428</v>
      </c>
      <c r="J39" s="34" t="s">
        <v>498</v>
      </c>
      <c r="K39" s="133">
        <v>0.8</v>
      </c>
    </row>
    <row r="40" spans="1:11">
      <c r="A40" s="31">
        <f>VLOOKUP($C40,SKU!$A:$I,3,FALSE)</f>
        <v>10075</v>
      </c>
      <c r="B40" s="31" t="str">
        <f>VLOOKUP($C40,SKU!$A:$I,2,FALSE)</f>
        <v>《万卡卡文创》鬼灭之刃日轮破晓第一弹</v>
      </c>
      <c r="C40" s="29" t="s">
        <v>290</v>
      </c>
      <c r="D40" s="29">
        <v>2</v>
      </c>
      <c r="E40" s="31">
        <f>D40*VLOOKUP(A40,Nhập入库!A:N,8,FALSE)</f>
        <v>20</v>
      </c>
      <c r="F40" s="29"/>
      <c r="G40" s="29" t="s">
        <v>130</v>
      </c>
      <c r="H40" s="29" t="s">
        <v>430</v>
      </c>
      <c r="I40" s="29" t="s">
        <v>431</v>
      </c>
      <c r="J40" s="34" t="s">
        <v>498</v>
      </c>
      <c r="K40" s="133">
        <v>0.895138888888889</v>
      </c>
    </row>
    <row r="41" spans="1:11">
      <c r="A41" s="31">
        <f>VLOOKUP($C41,SKU!$A:$I,3,FALSE)</f>
        <v>10064</v>
      </c>
      <c r="B41" s="31" t="str">
        <f>VLOOKUP($C41,SKU!$A:$I,2,FALSE)</f>
        <v>源宇宙崩铁色纸</v>
      </c>
      <c r="C41" s="29" t="s">
        <v>260</v>
      </c>
      <c r="D41" s="29"/>
      <c r="E41" s="31">
        <f>D41*VLOOKUP(A41,Nhập入库!A:N,8,FALSE)</f>
        <v>0</v>
      </c>
      <c r="F41" s="29">
        <v>17</v>
      </c>
      <c r="G41" s="29" t="s">
        <v>90</v>
      </c>
      <c r="H41" s="29" t="s">
        <v>429</v>
      </c>
      <c r="I41" s="29" t="s">
        <v>428</v>
      </c>
      <c r="J41" s="34" t="s">
        <v>498</v>
      </c>
      <c r="K41" s="133">
        <v>0.925</v>
      </c>
    </row>
    <row r="42" spans="1:11">
      <c r="A42" s="31">
        <f>VLOOKUP($C42,SKU!$A:$I,3,FALSE)</f>
        <v>10064</v>
      </c>
      <c r="B42" s="31" t="str">
        <f>VLOOKUP($C42,SKU!$A:$I,2,FALSE)</f>
        <v>源宇宙崩铁色纸</v>
      </c>
      <c r="C42" s="29" t="s">
        <v>260</v>
      </c>
      <c r="D42" s="29"/>
      <c r="E42" s="31">
        <f>D42*VLOOKUP(A42,Nhập入库!A:N,8,FALSE)</f>
        <v>0</v>
      </c>
      <c r="F42" s="29">
        <v>8</v>
      </c>
      <c r="G42" s="29" t="s">
        <v>78</v>
      </c>
      <c r="H42" s="29" t="s">
        <v>90</v>
      </c>
      <c r="I42" s="29" t="s">
        <v>59</v>
      </c>
      <c r="J42" s="34" t="s">
        <v>500</v>
      </c>
      <c r="K42" s="133">
        <v>0.133333333333333</v>
      </c>
    </row>
    <row r="43" spans="1:11">
      <c r="A43" s="31">
        <f>VLOOKUP($C43,SKU!$A:$I,3,FALSE)</f>
        <v>10075</v>
      </c>
      <c r="B43" s="31" t="str">
        <f>VLOOKUP($C43,SKU!$A:$I,2,FALSE)</f>
        <v>《万卡卡文创》鬼灭之刃日轮破晓第一弹</v>
      </c>
      <c r="C43" s="29" t="s">
        <v>290</v>
      </c>
      <c r="D43" s="29">
        <v>1</v>
      </c>
      <c r="E43" s="31">
        <f>D43*VLOOKUP(A43,Nhập入库!A:N,8,FALSE)</f>
        <v>10</v>
      </c>
      <c r="F43" s="29"/>
      <c r="G43" s="29" t="s">
        <v>432</v>
      </c>
      <c r="H43" s="29" t="s">
        <v>162</v>
      </c>
      <c r="I43" s="29" t="s">
        <v>65</v>
      </c>
      <c r="J43" s="34" t="s">
        <v>500</v>
      </c>
      <c r="K43" s="133">
        <v>0.461805555555556</v>
      </c>
    </row>
    <row r="44" spans="1:11">
      <c r="A44" s="31">
        <f>VLOOKUP($C44,SKU!$A:$I,3,FALSE)</f>
        <v>10077</v>
      </c>
      <c r="B44" s="31" t="str">
        <f>VLOOKUP($C44,SKU!$A:$I,2,FALSE)</f>
        <v>多多文创原神第二弹卡砖—神眸再现</v>
      </c>
      <c r="C44" s="29" t="s">
        <v>296</v>
      </c>
      <c r="D44" s="29">
        <v>0</v>
      </c>
      <c r="E44" s="31">
        <f>D44*VLOOKUP(A44,Nhập入库!A:N,8,FALSE)</f>
        <v>0</v>
      </c>
      <c r="F44" s="29">
        <v>10</v>
      </c>
      <c r="G44" s="29" t="s">
        <v>78</v>
      </c>
      <c r="H44" s="29" t="s">
        <v>426</v>
      </c>
      <c r="I44" s="29" t="s">
        <v>65</v>
      </c>
      <c r="J44" s="34" t="s">
        <v>500</v>
      </c>
      <c r="K44" s="133">
        <v>0.479166666666667</v>
      </c>
    </row>
    <row r="45" spans="1:11">
      <c r="A45" s="31">
        <f>VLOOKUP($C45,SKU!$A:$I,3,FALSE)</f>
        <v>10077</v>
      </c>
      <c r="B45" s="31" t="str">
        <f>VLOOKUP($C45,SKU!$A:$I,2,FALSE)</f>
        <v>多多文创原神第二弹卡砖—神眸再现</v>
      </c>
      <c r="C45" s="29" t="s">
        <v>296</v>
      </c>
      <c r="D45" s="29">
        <v>0</v>
      </c>
      <c r="E45" s="31">
        <f>D45*VLOOKUP(A45,Nhập入库!A:N,8,FALSE)</f>
        <v>0</v>
      </c>
      <c r="F45" s="29">
        <v>5</v>
      </c>
      <c r="G45" s="29" t="s">
        <v>426</v>
      </c>
      <c r="H45" s="29" t="s">
        <v>174</v>
      </c>
      <c r="I45" s="29" t="s">
        <v>499</v>
      </c>
      <c r="J45" s="34" t="s">
        <v>500</v>
      </c>
      <c r="K45" s="133">
        <v>0.547222222222222</v>
      </c>
    </row>
    <row r="46" spans="1:11">
      <c r="A46" s="31">
        <f>VLOOKUP($C46,SKU!$A:$I,3,FALSE)</f>
        <v>10039</v>
      </c>
      <c r="B46" s="31" t="str">
        <f>VLOOKUP($C46,SKU!$A:$I,2,FALSE)</f>
        <v>非凡航海王第五弹</v>
      </c>
      <c r="C46" s="54" t="s">
        <v>184</v>
      </c>
      <c r="D46" s="29">
        <v>0</v>
      </c>
      <c r="E46" s="31">
        <f>D46*VLOOKUP(A46,Nhập入库!A:N,8,FALSE)</f>
        <v>0</v>
      </c>
      <c r="F46" s="29">
        <v>588</v>
      </c>
      <c r="G46" s="29" t="s">
        <v>122</v>
      </c>
      <c r="H46" s="29" t="s">
        <v>174</v>
      </c>
      <c r="I46" s="29" t="s">
        <v>499</v>
      </c>
      <c r="J46" s="34" t="s">
        <v>500</v>
      </c>
      <c r="K46" s="133">
        <v>0.375</v>
      </c>
    </row>
    <row r="47" spans="1:11">
      <c r="A47" s="31">
        <f>VLOOKUP($C47,SKU!$A:$I,3,FALSE)</f>
        <v>10023</v>
      </c>
      <c r="B47" s="31" t="str">
        <f>VLOOKUP($C47,SKU!$A:$I,2,FALSE)</f>
        <v>风信文创尘世相逢之约星光来信原神邮票第一弹</v>
      </c>
      <c r="C47" s="54" t="s">
        <v>119</v>
      </c>
      <c r="D47" s="29">
        <v>0</v>
      </c>
      <c r="E47" s="31">
        <f>D47*VLOOKUP(A47,Nhập入库!A:N,8,FALSE)</f>
        <v>0</v>
      </c>
      <c r="F47" s="29">
        <v>7</v>
      </c>
      <c r="G47" s="29" t="s">
        <v>122</v>
      </c>
      <c r="H47" s="29" t="s">
        <v>174</v>
      </c>
      <c r="I47" s="29" t="s">
        <v>499</v>
      </c>
      <c r="J47" s="34" t="s">
        <v>500</v>
      </c>
      <c r="K47" s="133">
        <v>0.375</v>
      </c>
    </row>
    <row r="48" spans="1:11">
      <c r="A48" s="31">
        <f>VLOOKUP($C48,SKU!$A:$I,3,FALSE)</f>
        <v>10012</v>
      </c>
      <c r="B48" s="31" t="str">
        <f>VLOOKUP($C48,SKU!$A:$I,2,FALSE)</f>
        <v>卡文化进击的巨人</v>
      </c>
      <c r="C48" s="23" t="s">
        <v>75</v>
      </c>
      <c r="D48" s="29">
        <v>3</v>
      </c>
      <c r="E48" s="31">
        <f>D48*VLOOKUP(A48,Nhập入库!A:N,8,FALSE)</f>
        <v>90</v>
      </c>
      <c r="F48" s="29"/>
      <c r="G48" s="29" t="s">
        <v>122</v>
      </c>
      <c r="H48" s="29" t="s">
        <v>174</v>
      </c>
      <c r="I48" s="29" t="s">
        <v>499</v>
      </c>
      <c r="J48" s="34" t="s">
        <v>500</v>
      </c>
      <c r="K48" s="133">
        <v>0.375</v>
      </c>
    </row>
    <row r="49" spans="1:11">
      <c r="A49" s="31">
        <f>VLOOKUP($C49,SKU!$A:$I,3,FALSE)</f>
        <v>10014</v>
      </c>
      <c r="B49" s="31" t="str">
        <f>VLOOKUP($C49,SKU!$A:$I,2,FALSE)</f>
        <v>星梦文创-Studio Ghibli宫崎骏撕撕乐系列 </v>
      </c>
      <c r="C49" s="23" t="s">
        <v>83</v>
      </c>
      <c r="D49" s="29">
        <v>12</v>
      </c>
      <c r="E49" s="31">
        <f>D49*VLOOKUP(A49,Nhập入库!A:N,8,FALSE)</f>
        <v>36</v>
      </c>
      <c r="F49" s="29">
        <v>24</v>
      </c>
      <c r="G49" s="29" t="s">
        <v>122</v>
      </c>
      <c r="H49" s="29" t="s">
        <v>174</v>
      </c>
      <c r="I49" s="29" t="s">
        <v>499</v>
      </c>
      <c r="J49" s="34" t="s">
        <v>500</v>
      </c>
      <c r="K49" s="133">
        <v>0.375</v>
      </c>
    </row>
    <row r="50" spans="1:11">
      <c r="A50" s="31">
        <f>VLOOKUP($C50,SKU!$A:$I,3,FALSE)</f>
        <v>10042</v>
      </c>
      <c r="B50" s="31" t="str">
        <f>VLOOKUP($C50,SKU!$A:$I,2,FALSE)</f>
        <v>黄油小熊系列收藏卡第二弹 小熊的观察日记</v>
      </c>
      <c r="C50" s="23" t="s">
        <v>196</v>
      </c>
      <c r="D50" s="29">
        <v>1</v>
      </c>
      <c r="E50" s="31">
        <f>D50*VLOOKUP(A50,Nhập入库!A:N,8,FALSE)</f>
        <v>16</v>
      </c>
      <c r="F50" s="29">
        <v>15</v>
      </c>
      <c r="G50" s="29" t="s">
        <v>122</v>
      </c>
      <c r="H50" s="29" t="s">
        <v>174</v>
      </c>
      <c r="I50" s="29" t="s">
        <v>499</v>
      </c>
      <c r="J50" s="34" t="s">
        <v>500</v>
      </c>
      <c r="K50" s="133">
        <v>0.375</v>
      </c>
    </row>
    <row r="51" spans="1:11">
      <c r="A51" s="31">
        <f>VLOOKUP($C51,SKU!$A:$I,3,FALSE)</f>
        <v>10057</v>
      </c>
      <c r="B51" s="31" t="str">
        <f>VLOOKUP($C51,SKU!$A:$I,2,FALSE)</f>
        <v>三丽鸥家族暖冬</v>
      </c>
      <c r="C51" s="23" t="s">
        <v>241</v>
      </c>
      <c r="D51" s="29">
        <v>1</v>
      </c>
      <c r="E51" s="31">
        <f>D51*VLOOKUP(A51,Nhập入库!A:N,8,FALSE)</f>
        <v>10</v>
      </c>
      <c r="F51" s="29"/>
      <c r="G51" s="29" t="s">
        <v>477</v>
      </c>
      <c r="H51" s="29" t="s">
        <v>98</v>
      </c>
      <c r="I51" s="29" t="s">
        <v>424</v>
      </c>
      <c r="J51" s="34" t="s">
        <v>500</v>
      </c>
      <c r="K51" s="133">
        <v>0.553472222222222</v>
      </c>
    </row>
    <row r="52" spans="1:11">
      <c r="A52" s="31">
        <f>VLOOKUP($C52,SKU!$A:$I,3,FALSE)</f>
        <v>10089</v>
      </c>
      <c r="B52" s="31" t="str">
        <f>VLOOKUP($C52,SKU!$A:$I,2,FALSE)</f>
        <v>星火线条小狗</v>
      </c>
      <c r="C52" s="23" t="s">
        <v>327</v>
      </c>
      <c r="D52" s="29">
        <v>4</v>
      </c>
      <c r="E52" s="31">
        <f>D52*VLOOKUP(A52,Nhập入库!A:N,8,FALSE)</f>
        <v>56</v>
      </c>
      <c r="F52" s="29"/>
      <c r="G52" s="29" t="s">
        <v>158</v>
      </c>
      <c r="H52" s="29" t="s">
        <v>33</v>
      </c>
      <c r="I52" s="29" t="s">
        <v>424</v>
      </c>
      <c r="J52" s="34" t="s">
        <v>500</v>
      </c>
      <c r="K52" s="133">
        <v>0.625</v>
      </c>
    </row>
    <row r="53" spans="1:11">
      <c r="A53" s="31">
        <f>VLOOKUP($C53,SKU!$A:$I,3,FALSE)</f>
        <v>10039</v>
      </c>
      <c r="B53" s="31" t="str">
        <f>VLOOKUP($C53,SKU!$A:$I,2,FALSE)</f>
        <v>非凡航海王第五弹</v>
      </c>
      <c r="C53" s="29" t="s">
        <v>184</v>
      </c>
      <c r="D53" s="29">
        <v>2</v>
      </c>
      <c r="E53" s="31">
        <f>D53*VLOOKUP(A53,Nhập入库!A:N,8,FALSE)</f>
        <v>40</v>
      </c>
      <c r="F53" s="29"/>
      <c r="G53" s="29" t="s">
        <v>90</v>
      </c>
      <c r="H53" s="29" t="s">
        <v>98</v>
      </c>
      <c r="I53" s="29" t="s">
        <v>424</v>
      </c>
      <c r="J53" s="34" t="s">
        <v>500</v>
      </c>
      <c r="K53" s="133">
        <v>0.625</v>
      </c>
    </row>
    <row r="54" spans="1:11">
      <c r="A54" s="31">
        <f>VLOOKUP($C54,SKU!$A:$I,3,FALSE)</f>
        <v>10085</v>
      </c>
      <c r="B54" s="31" t="str">
        <f>VLOOKUP($C54,SKU!$A:$I,2,FALSE)</f>
        <v>火影忍者·手绘复刻撕撕乐</v>
      </c>
      <c r="C54" s="29" t="s">
        <v>317</v>
      </c>
      <c r="D54" s="29">
        <v>0</v>
      </c>
      <c r="E54" s="31">
        <f>D54*VLOOKUP(A54,Nhập入库!A:N,8,FALSE)</f>
        <v>0</v>
      </c>
      <c r="F54" s="29">
        <v>40</v>
      </c>
      <c r="G54" s="29" t="s">
        <v>90</v>
      </c>
      <c r="H54" s="29" t="s">
        <v>166</v>
      </c>
      <c r="I54" s="29" t="s">
        <v>424</v>
      </c>
      <c r="J54" s="34" t="s">
        <v>500</v>
      </c>
      <c r="K54" s="133">
        <v>0.588194444444444</v>
      </c>
    </row>
    <row r="55" spans="1:11">
      <c r="A55" s="31">
        <f>VLOOKUP($C55,SKU!$A:$I,3,FALSE)</f>
        <v>10016</v>
      </c>
      <c r="B55" s="31" t="str">
        <f>VLOOKUP($C55,SKU!$A:$I,2,FALSE)</f>
        <v>思梨普文创《hey!国王陛下》集换式艺术家典藏卡</v>
      </c>
      <c r="C55" s="29" t="s">
        <v>91</v>
      </c>
      <c r="D55" s="29">
        <v>2</v>
      </c>
      <c r="E55" s="31">
        <f>D55*VLOOKUP(A55,Nhập入库!A:N,8,FALSE)</f>
        <v>20</v>
      </c>
      <c r="F55" s="29"/>
      <c r="G55" s="29" t="s">
        <v>98</v>
      </c>
      <c r="H55" s="29" t="s">
        <v>166</v>
      </c>
      <c r="I55" s="29" t="s">
        <v>424</v>
      </c>
      <c r="J55" s="34" t="s">
        <v>500</v>
      </c>
      <c r="K55" s="133">
        <v>0.602083333333333</v>
      </c>
    </row>
    <row r="56" spans="1:11">
      <c r="A56" s="31">
        <f>VLOOKUP($C56,SKU!$A:$I,3,FALSE)</f>
        <v>10064</v>
      </c>
      <c r="B56" s="31" t="str">
        <f>VLOOKUP($C56,SKU!$A:$I,2,FALSE)</f>
        <v>源宇宙崩铁色纸</v>
      </c>
      <c r="C56" s="29" t="s">
        <v>260</v>
      </c>
      <c r="D56" s="29">
        <v>0</v>
      </c>
      <c r="E56" s="31">
        <f>D56*VLOOKUP(A56,Nhập入库!A:N,8,FALSE)</f>
        <v>0</v>
      </c>
      <c r="F56" s="29">
        <v>3</v>
      </c>
      <c r="G56" s="29" t="s">
        <v>90</v>
      </c>
      <c r="H56" s="29" t="s">
        <v>78</v>
      </c>
      <c r="I56" s="29" t="s">
        <v>428</v>
      </c>
      <c r="J56" s="34" t="s">
        <v>500</v>
      </c>
      <c r="K56" s="133">
        <v>0.739583333333333</v>
      </c>
    </row>
    <row r="57" spans="1:11">
      <c r="A57" s="31">
        <f>VLOOKUP($C57,SKU!$A:$I,3,FALSE)</f>
        <v>10039</v>
      </c>
      <c r="B57" s="31" t="str">
        <f>VLOOKUP($C57,SKU!$A:$I,2,FALSE)</f>
        <v>非凡航海王第五弹</v>
      </c>
      <c r="C57" s="29" t="s">
        <v>184</v>
      </c>
      <c r="D57" s="29">
        <v>0</v>
      </c>
      <c r="E57" s="31">
        <f>D57*VLOOKUP(A57,Nhập入库!A:N,8,FALSE)</f>
        <v>0</v>
      </c>
      <c r="F57" s="29">
        <v>289</v>
      </c>
      <c r="G57" s="29" t="s">
        <v>150</v>
      </c>
      <c r="H57" s="29" t="s">
        <v>166</v>
      </c>
      <c r="I57" s="29" t="s">
        <v>424</v>
      </c>
      <c r="J57" s="34" t="s">
        <v>500</v>
      </c>
      <c r="K57" s="133">
        <v>0.740972222222222</v>
      </c>
    </row>
    <row r="58" spans="1:11">
      <c r="A58" s="31">
        <f>VLOOKUP($C58,SKU!$A:$I,3,FALSE)</f>
        <v>10064</v>
      </c>
      <c r="B58" s="31" t="str">
        <f>VLOOKUP($C58,SKU!$A:$I,2,FALSE)</f>
        <v>源宇宙崩铁色纸</v>
      </c>
      <c r="C58" s="29" t="s">
        <v>260</v>
      </c>
      <c r="D58" s="29">
        <v>0</v>
      </c>
      <c r="E58" s="31">
        <f>D58*VLOOKUP(A58,Nhập入库!A:N,8,FALSE)</f>
        <v>0</v>
      </c>
      <c r="F58" s="29">
        <v>4</v>
      </c>
      <c r="G58" s="29" t="s">
        <v>429</v>
      </c>
      <c r="H58" s="29" t="s">
        <v>78</v>
      </c>
      <c r="I58" s="29" t="s">
        <v>428</v>
      </c>
      <c r="J58" s="34" t="s">
        <v>500</v>
      </c>
      <c r="K58" s="133">
        <v>0.740972222222222</v>
      </c>
    </row>
    <row r="59" spans="1:11">
      <c r="A59" s="31">
        <f>VLOOKUP($C59,SKU!$A:$I,3,FALSE)</f>
        <v>10075</v>
      </c>
      <c r="B59" s="31" t="str">
        <f>VLOOKUP($C59,SKU!$A:$I,2,FALSE)</f>
        <v>《万卡卡文创》鬼灭之刃日轮破晓第一弹</v>
      </c>
      <c r="C59" s="29" t="s">
        <v>290</v>
      </c>
      <c r="D59" s="29">
        <v>0</v>
      </c>
      <c r="E59" s="31">
        <f>D59*VLOOKUP(A59,Nhập入库!A:N,8,FALSE)</f>
        <v>0</v>
      </c>
      <c r="F59" s="29">
        <v>10</v>
      </c>
      <c r="G59" s="29" t="s">
        <v>33</v>
      </c>
      <c r="H59" s="29" t="s">
        <v>429</v>
      </c>
      <c r="I59" s="29" t="s">
        <v>428</v>
      </c>
      <c r="J59" s="34" t="s">
        <v>500</v>
      </c>
      <c r="K59" s="133">
        <v>0.740972222222222</v>
      </c>
    </row>
    <row r="60" spans="1:11">
      <c r="A60" s="31">
        <f>VLOOKUP($C60,SKU!$A:$I,3,FALSE)</f>
        <v>10075</v>
      </c>
      <c r="B60" s="31" t="str">
        <f>VLOOKUP($C60,SKU!$A:$I,2,FALSE)</f>
        <v>《万卡卡文创》鬼灭之刃日轮破晓第一弹</v>
      </c>
      <c r="C60" s="29" t="s">
        <v>290</v>
      </c>
      <c r="D60" s="29">
        <v>1</v>
      </c>
      <c r="E60" s="31">
        <f>D60*VLOOKUP(A60,Nhập入库!A:N,8,FALSE)</f>
        <v>10</v>
      </c>
      <c r="F60" s="29"/>
      <c r="G60" s="29" t="s">
        <v>142</v>
      </c>
      <c r="H60" s="29" t="s">
        <v>154</v>
      </c>
      <c r="I60" s="29" t="s">
        <v>431</v>
      </c>
      <c r="J60" s="34" t="s">
        <v>500</v>
      </c>
      <c r="K60" s="133">
        <v>0.740972222222222</v>
      </c>
    </row>
    <row r="61" spans="1:11">
      <c r="A61" s="31">
        <f>VLOOKUP($C61,SKU!$A:$I,3,FALSE)</f>
        <v>10026</v>
      </c>
      <c r="B61" s="31" t="str">
        <f>VLOOKUP($C61,SKU!$A:$I,2,FALSE)</f>
        <v>星恋文创·恋与深空《晦明交错之间》亚克力相框卡</v>
      </c>
      <c r="C61" s="29" t="s">
        <v>131</v>
      </c>
      <c r="D61" s="29">
        <v>10</v>
      </c>
      <c r="E61" s="31">
        <f>D61*VLOOKUP(A61,Nhập入库!A:N,8,FALSE)</f>
        <v>10</v>
      </c>
      <c r="F61" s="29"/>
      <c r="G61" s="29" t="s">
        <v>432</v>
      </c>
      <c r="H61" s="29" t="s">
        <v>154</v>
      </c>
      <c r="I61" s="29" t="s">
        <v>431</v>
      </c>
      <c r="J61" s="34" t="s">
        <v>500</v>
      </c>
      <c r="K61" s="133">
        <v>0.834722222222222</v>
      </c>
    </row>
    <row r="62" spans="1:11">
      <c r="A62" s="31">
        <f>VLOOKUP($C62,SKU!$A:$I,3,FALSE)</f>
        <v>10064</v>
      </c>
      <c r="B62" s="31" t="str">
        <f>VLOOKUP($C62,SKU!$A:$I,2,FALSE)</f>
        <v>源宇宙崩铁色纸</v>
      </c>
      <c r="C62" s="29" t="s">
        <v>260</v>
      </c>
      <c r="D62" s="29">
        <v>3</v>
      </c>
      <c r="E62" s="31">
        <f>D62*VLOOKUP(A62,Nhập入库!A:N,8,FALSE)</f>
        <v>18</v>
      </c>
      <c r="F62" s="29"/>
      <c r="G62" s="29" t="s">
        <v>426</v>
      </c>
      <c r="H62" s="29" t="s">
        <v>429</v>
      </c>
      <c r="I62" s="29" t="s">
        <v>428</v>
      </c>
      <c r="J62" s="34" t="s">
        <v>500</v>
      </c>
      <c r="K62" s="133">
        <v>0.918055555555556</v>
      </c>
    </row>
    <row r="63" spans="1:11">
      <c r="A63" s="31">
        <f>VLOOKUP($C63,SKU!$A:$I,3,FALSE)</f>
        <v>10064</v>
      </c>
      <c r="B63" s="31" t="str">
        <f>VLOOKUP($C63,SKU!$A:$I,2,FALSE)</f>
        <v>源宇宙崩铁色纸</v>
      </c>
      <c r="C63" s="29" t="s">
        <v>260</v>
      </c>
      <c r="D63" s="29">
        <v>2</v>
      </c>
      <c r="E63" s="31">
        <f>D63*VLOOKUP(A63,Nhập入库!A:N,8,FALSE)</f>
        <v>12</v>
      </c>
      <c r="F63" s="29"/>
      <c r="G63" s="29" t="s">
        <v>426</v>
      </c>
      <c r="H63" s="29" t="s">
        <v>78</v>
      </c>
      <c r="I63" s="29" t="s">
        <v>428</v>
      </c>
      <c r="J63" s="34" t="s">
        <v>500</v>
      </c>
      <c r="K63" s="133">
        <v>0.918055555555556</v>
      </c>
    </row>
    <row r="64" spans="1:11">
      <c r="A64" s="31">
        <f>VLOOKUP($C64,SKU!$A:$I,3,FALSE)</f>
        <v>10016</v>
      </c>
      <c r="B64" s="31" t="str">
        <f>VLOOKUP($C64,SKU!$A:$I,2,FALSE)</f>
        <v>思梨普文创《hey!国王陛下》集换式艺术家典藏卡</v>
      </c>
      <c r="C64" s="29" t="s">
        <v>91</v>
      </c>
      <c r="D64" s="29"/>
      <c r="E64" s="31">
        <f>D64*VLOOKUP(A64,Nhập入库!A:N,8,FALSE)</f>
        <v>0</v>
      </c>
      <c r="F64" s="29">
        <v>18</v>
      </c>
      <c r="G64" s="29" t="s">
        <v>433</v>
      </c>
      <c r="H64" s="29" t="s">
        <v>430</v>
      </c>
      <c r="I64" s="29" t="s">
        <v>431</v>
      </c>
      <c r="J64" s="34" t="s">
        <v>496</v>
      </c>
      <c r="K64" s="133">
        <v>0.84375</v>
      </c>
    </row>
    <row r="65" spans="1:11">
      <c r="A65" s="31">
        <f>VLOOKUP($C65,SKU!$A:$I,3,FALSE)</f>
        <v>10001</v>
      </c>
      <c r="B65" s="31" t="str">
        <f>VLOOKUP($C65,SKU!$A:$I,2,FALSE)</f>
        <v>《东株社》宝可梦水晶砖</v>
      </c>
      <c r="C65" s="29" t="s">
        <v>12</v>
      </c>
      <c r="D65" s="29"/>
      <c r="E65" s="31">
        <f>D65*VLOOKUP(A65,Nhập入库!A:N,8,FALSE)</f>
        <v>0</v>
      </c>
      <c r="F65" s="29">
        <v>2</v>
      </c>
      <c r="G65" s="29" t="s">
        <v>33</v>
      </c>
      <c r="H65" s="29" t="s">
        <v>78</v>
      </c>
      <c r="I65" s="29" t="s">
        <v>428</v>
      </c>
      <c r="J65" s="34" t="s">
        <v>496</v>
      </c>
      <c r="K65" s="133">
        <v>0.96875</v>
      </c>
    </row>
    <row r="66" spans="1:11">
      <c r="A66" s="31">
        <f>VLOOKUP($C66,SKU!$A:$I,3,FALSE)</f>
        <v>10075</v>
      </c>
      <c r="B66" s="31" t="str">
        <f>VLOOKUP($C66,SKU!$A:$I,2,FALSE)</f>
        <v>《万卡卡文创》鬼灭之刃日轮破晓第一弹</v>
      </c>
      <c r="C66" s="29" t="s">
        <v>290</v>
      </c>
      <c r="D66" s="29"/>
      <c r="E66" s="31">
        <f>D66*VLOOKUP(A66,Nhập入库!A:N,8,FALSE)</f>
        <v>0</v>
      </c>
      <c r="F66" s="29">
        <v>1</v>
      </c>
      <c r="G66" s="29" t="s">
        <v>33</v>
      </c>
      <c r="H66" s="29" t="s">
        <v>78</v>
      </c>
      <c r="I66" s="29" t="s">
        <v>428</v>
      </c>
      <c r="J66" s="34" t="s">
        <v>496</v>
      </c>
      <c r="K66" s="133">
        <v>0.96875</v>
      </c>
    </row>
    <row r="67" spans="1:11">
      <c r="A67" s="31">
        <f>VLOOKUP($C67,SKU!$A:$I,3,FALSE)</f>
        <v>10066</v>
      </c>
      <c r="B67" s="31" t="str">
        <f>VLOOKUP($C67,SKU!$A:$I,2,FALSE)</f>
        <v>卡游柯南揭秘包第2弹</v>
      </c>
      <c r="C67" s="29" t="s">
        <v>266</v>
      </c>
      <c r="D67" s="29">
        <v>2</v>
      </c>
      <c r="E67" s="31">
        <f>D67*VLOOKUP(A67,Nhập入库!A:N,8,FALSE)</f>
        <v>72</v>
      </c>
      <c r="F67" s="29"/>
      <c r="G67" s="29" t="s">
        <v>90</v>
      </c>
      <c r="H67" s="29" t="s">
        <v>158</v>
      </c>
      <c r="I67" s="29" t="s">
        <v>59</v>
      </c>
      <c r="J67" s="34" t="s">
        <v>501</v>
      </c>
      <c r="K67" s="133">
        <v>0.09375</v>
      </c>
    </row>
    <row r="68" spans="1:11">
      <c r="A68" s="31">
        <f>VLOOKUP($C68,SKU!$A:$I,3,FALSE)</f>
        <v>10075</v>
      </c>
      <c r="B68" s="31" t="str">
        <f>VLOOKUP($C68,SKU!$A:$I,2,FALSE)</f>
        <v>《万卡卡文创》鬼灭之刃日轮破晓第一弹</v>
      </c>
      <c r="C68" s="29" t="s">
        <v>290</v>
      </c>
      <c r="D68" s="29"/>
      <c r="E68" s="31">
        <f>D68*VLOOKUP(A68,Nhập入库!A:N,8,FALSE)</f>
        <v>0</v>
      </c>
      <c r="F68" s="29">
        <v>16</v>
      </c>
      <c r="G68" s="29" t="s">
        <v>98</v>
      </c>
      <c r="H68" s="29" t="s">
        <v>90</v>
      </c>
      <c r="I68" s="29" t="s">
        <v>59</v>
      </c>
      <c r="J68" s="34" t="s">
        <v>501</v>
      </c>
      <c r="K68" s="133">
        <v>0.0958333333333333</v>
      </c>
    </row>
    <row r="69" spans="1:11">
      <c r="A69" s="31">
        <f>VLOOKUP($C69,SKU!$A:$I,3,FALSE)</f>
        <v>10077</v>
      </c>
      <c r="B69" s="31" t="str">
        <f>VLOOKUP($C69,SKU!$A:$I,2,FALSE)</f>
        <v>多多文创原神第二弹卡砖—神眸再现</v>
      </c>
      <c r="C69" s="29" t="s">
        <v>296</v>
      </c>
      <c r="D69" s="29"/>
      <c r="E69" s="31">
        <f>D69*VLOOKUP(A69,Nhập入库!A:N,8,FALSE)</f>
        <v>0</v>
      </c>
      <c r="F69" s="29">
        <v>20</v>
      </c>
      <c r="G69" s="29" t="s">
        <v>78</v>
      </c>
      <c r="H69" s="29" t="s">
        <v>426</v>
      </c>
      <c r="I69" s="29" t="s">
        <v>65</v>
      </c>
      <c r="J69" s="34" t="s">
        <v>502</v>
      </c>
      <c r="K69" s="133">
        <v>0.395833333333333</v>
      </c>
    </row>
    <row r="70" spans="1:11">
      <c r="A70" s="31">
        <f>VLOOKUP($C70,SKU!$A:$I,3,FALSE)</f>
        <v>10007</v>
      </c>
      <c r="B70" s="31" t="str">
        <f>VLOOKUP($C70,SKU!$A:$I,2,FALSE)</f>
        <v>kawaii宫崎骏梦幻之国</v>
      </c>
      <c r="C70" s="29" t="s">
        <v>49</v>
      </c>
      <c r="D70" s="29"/>
      <c r="E70" s="31">
        <f>D70*VLOOKUP(A70,Nhập入库!A:N,8,FALSE)</f>
        <v>0</v>
      </c>
      <c r="F70" s="29">
        <v>8</v>
      </c>
      <c r="G70" s="29" t="s">
        <v>90</v>
      </c>
      <c r="H70" s="29" t="s">
        <v>430</v>
      </c>
      <c r="I70" s="29"/>
      <c r="J70" s="34"/>
      <c r="K70" s="133"/>
    </row>
    <row r="71" spans="1:11">
      <c r="A71" s="31">
        <f>VLOOKUP($C71,SKU!$A:$I,3,FALSE)</f>
        <v>10089</v>
      </c>
      <c r="B71" s="31" t="str">
        <f>VLOOKUP($C71,SKU!$A:$I,2,FALSE)</f>
        <v>星火线条小狗</v>
      </c>
      <c r="C71" s="29" t="s">
        <v>327</v>
      </c>
      <c r="D71" s="29">
        <v>5</v>
      </c>
      <c r="E71" s="31">
        <f>D71*VLOOKUP(A71,Nhập入库!A:N,8,FALSE)</f>
        <v>70</v>
      </c>
      <c r="F71" s="29"/>
      <c r="G71" s="29" t="s">
        <v>158</v>
      </c>
      <c r="H71" s="29" t="s">
        <v>130</v>
      </c>
      <c r="I71" s="29" t="s">
        <v>424</v>
      </c>
      <c r="J71" s="34" t="s">
        <v>502</v>
      </c>
      <c r="K71" s="133">
        <v>0.409027777777778</v>
      </c>
    </row>
    <row r="72" spans="1:11">
      <c r="A72" s="31">
        <f>VLOOKUP($C72,SKU!$A:$I,3,FALSE)</f>
        <v>10033</v>
      </c>
      <c r="B72" s="31" t="str">
        <f>VLOOKUP($C72,SKU!$A:$I,2,FALSE)</f>
        <v>慕光文创「一千次心动」系列撕撕乐</v>
      </c>
      <c r="C72" s="29" t="s">
        <v>159</v>
      </c>
      <c r="D72" s="29"/>
      <c r="E72" s="31">
        <f>D72*VLOOKUP(A72,Nhập入库!A:N,8,FALSE)</f>
        <v>0</v>
      </c>
      <c r="F72" s="29">
        <v>9</v>
      </c>
      <c r="G72" s="29" t="s">
        <v>130</v>
      </c>
      <c r="H72" s="29" t="s">
        <v>166</v>
      </c>
      <c r="I72" s="29" t="s">
        <v>424</v>
      </c>
      <c r="J72" s="34" t="s">
        <v>502</v>
      </c>
      <c r="K72" s="133">
        <v>0.409027777777778</v>
      </c>
    </row>
    <row r="73" spans="1:11">
      <c r="A73" s="31">
        <f>VLOOKUP($C73,SKU!$A:$I,3,FALSE)</f>
        <v>10066</v>
      </c>
      <c r="B73" s="31" t="str">
        <f>VLOOKUP($C73,SKU!$A:$I,2,FALSE)</f>
        <v>卡游柯南揭秘包第2弹</v>
      </c>
      <c r="C73" s="29" t="s">
        <v>266</v>
      </c>
      <c r="D73" s="29">
        <v>1</v>
      </c>
      <c r="E73" s="31">
        <f>D73*VLOOKUP(A73,Nhập入库!A:N,8,FALSE)</f>
        <v>36</v>
      </c>
      <c r="F73" s="29">
        <v>40</v>
      </c>
      <c r="G73" s="29" t="s">
        <v>98</v>
      </c>
      <c r="H73" s="29" t="s">
        <v>130</v>
      </c>
      <c r="I73" s="29" t="s">
        <v>424</v>
      </c>
      <c r="J73" s="34" t="s">
        <v>502</v>
      </c>
      <c r="K73" s="133">
        <v>0.558333333333333</v>
      </c>
    </row>
    <row r="74" spans="1:11">
      <c r="A74" s="31">
        <f>VLOOKUP($C74,SKU!$A:$I,3,FALSE)</f>
        <v>10016</v>
      </c>
      <c r="B74" s="31" t="str">
        <f>VLOOKUP($C74,SKU!$A:$I,2,FALSE)</f>
        <v>思梨普文创《hey!国王陛下》集换式艺术家典藏卡</v>
      </c>
      <c r="C74" s="29" t="s">
        <v>91</v>
      </c>
      <c r="D74" s="29">
        <v>1</v>
      </c>
      <c r="E74" s="31">
        <f>D74*VLOOKUP(A74,Nhập入库!A:N,8,FALSE)</f>
        <v>10</v>
      </c>
      <c r="F74" s="29"/>
      <c r="G74" s="29" t="s">
        <v>142</v>
      </c>
      <c r="H74" s="29" t="s">
        <v>154</v>
      </c>
      <c r="I74" s="29" t="s">
        <v>431</v>
      </c>
      <c r="J74" s="34" t="s">
        <v>500</v>
      </c>
      <c r="K74" s="133">
        <v>0.732638888888889</v>
      </c>
    </row>
    <row r="75" spans="1:11">
      <c r="A75" s="31">
        <f>VLOOKUP($C75,SKU!$A:$I,3,FALSE)</f>
        <v>10089</v>
      </c>
      <c r="B75" s="31" t="str">
        <f>VLOOKUP($C75,SKU!$A:$I,2,FALSE)</f>
        <v>星火线条小狗</v>
      </c>
      <c r="C75" s="29" t="s">
        <v>327</v>
      </c>
      <c r="D75" s="29"/>
      <c r="E75" s="31">
        <f>D75*VLOOKUP(A75,Nhập入库!A:N,8,FALSE)</f>
        <v>0</v>
      </c>
      <c r="F75" s="29">
        <v>1</v>
      </c>
      <c r="G75" s="29" t="s">
        <v>33</v>
      </c>
      <c r="H75" s="29" t="s">
        <v>130</v>
      </c>
      <c r="I75" s="29" t="s">
        <v>424</v>
      </c>
      <c r="J75" s="34" t="s">
        <v>502</v>
      </c>
      <c r="K75" s="133">
        <v>0.694444444444444</v>
      </c>
    </row>
    <row r="76" spans="1:11">
      <c r="A76" s="31">
        <f>VLOOKUP($C76,SKU!$A:$I,3,FALSE)</f>
        <v>10075</v>
      </c>
      <c r="B76" s="31" t="str">
        <f>VLOOKUP($C76,SKU!$A:$I,2,FALSE)</f>
        <v>《万卡卡文创》鬼灭之刃日轮破晓第一弹</v>
      </c>
      <c r="C76" s="29" t="s">
        <v>290</v>
      </c>
      <c r="D76" s="29">
        <v>1</v>
      </c>
      <c r="E76" s="31">
        <f>D76*VLOOKUP(A76,Nhập入库!A:N,8,FALSE)</f>
        <v>10</v>
      </c>
      <c r="F76" s="29"/>
      <c r="G76" s="29" t="s">
        <v>432</v>
      </c>
      <c r="H76" s="29" t="s">
        <v>430</v>
      </c>
      <c r="I76" s="29" t="s">
        <v>431</v>
      </c>
      <c r="J76" s="34" t="s">
        <v>502</v>
      </c>
      <c r="K76" s="133">
        <v>0.75</v>
      </c>
    </row>
    <row r="77" spans="1:11">
      <c r="A77" s="31">
        <f>VLOOKUP($C77,SKU!$A:$I,3,FALSE)</f>
        <v>10068</v>
      </c>
      <c r="B77" s="31" t="str">
        <f>VLOOKUP($C77,SKU!$A:$I,2,FALSE)</f>
        <v>《竹影摇笺》耽美撕撕乐系列</v>
      </c>
      <c r="C77" s="29" t="s">
        <v>271</v>
      </c>
      <c r="D77" s="29"/>
      <c r="E77" s="31">
        <f>D77*VLOOKUP(A77,Nhập入库!A:N,8,FALSE)</f>
        <v>0</v>
      </c>
      <c r="F77" s="29">
        <v>50</v>
      </c>
      <c r="G77" s="29" t="s">
        <v>154</v>
      </c>
      <c r="H77" s="29" t="s">
        <v>433</v>
      </c>
      <c r="I77" s="29" t="s">
        <v>431</v>
      </c>
      <c r="J77" s="34" t="s">
        <v>502</v>
      </c>
      <c r="K77" s="133">
        <v>0.813194444444444</v>
      </c>
    </row>
    <row r="78" spans="1:11">
      <c r="A78" s="31">
        <f>VLOOKUP($C78,SKU!$A:$I,3,FALSE)</f>
        <v>10039</v>
      </c>
      <c r="B78" s="31" t="str">
        <f>VLOOKUP($C78,SKU!$A:$I,2,FALSE)</f>
        <v>非凡航海王第五弹</v>
      </c>
      <c r="C78" s="29" t="s">
        <v>184</v>
      </c>
      <c r="D78" s="29"/>
      <c r="E78" s="31">
        <f>D78*VLOOKUP(A78,Nhập入库!A:N,8,FALSE)</f>
        <v>0</v>
      </c>
      <c r="F78" s="29">
        <v>13</v>
      </c>
      <c r="G78" s="29" t="s">
        <v>170</v>
      </c>
      <c r="H78" s="34" t="s">
        <v>118</v>
      </c>
      <c r="I78" s="29" t="s">
        <v>428</v>
      </c>
      <c r="J78" s="34" t="s">
        <v>502</v>
      </c>
      <c r="K78" s="133">
        <v>0.854861111111111</v>
      </c>
    </row>
    <row r="79" spans="1:11">
      <c r="A79" s="31">
        <f>VLOOKUP($C79,SKU!$A:$I,3,FALSE)</f>
        <v>10064</v>
      </c>
      <c r="B79" s="31" t="str">
        <f>VLOOKUP($C79,SKU!$A:$I,2,FALSE)</f>
        <v>源宇宙崩铁色纸</v>
      </c>
      <c r="C79" s="29" t="s">
        <v>260</v>
      </c>
      <c r="D79" s="29"/>
      <c r="E79" s="31">
        <f>D79*VLOOKUP(A79,Nhập入库!A:N,8,FALSE)</f>
        <v>0</v>
      </c>
      <c r="F79" s="29">
        <v>17</v>
      </c>
      <c r="G79" s="29" t="s">
        <v>429</v>
      </c>
      <c r="H79" s="29" t="s">
        <v>78</v>
      </c>
      <c r="I79" s="29" t="s">
        <v>428</v>
      </c>
      <c r="J79" s="34" t="s">
        <v>502</v>
      </c>
      <c r="K79" s="133">
        <v>0.896527777777778</v>
      </c>
    </row>
    <row r="80" spans="1:11">
      <c r="A80" s="31">
        <f>VLOOKUP($C80,SKU!$A:$I,3,FALSE)</f>
        <v>10001</v>
      </c>
      <c r="B80" s="31" t="str">
        <f>VLOOKUP($C80,SKU!$A:$I,2,FALSE)</f>
        <v>《东株社》宝可梦水晶砖</v>
      </c>
      <c r="C80" s="29" t="s">
        <v>12</v>
      </c>
      <c r="D80" s="29"/>
      <c r="E80" s="31">
        <f>D80*VLOOKUP(A80,Nhập入库!A:N,8,FALSE)</f>
        <v>0</v>
      </c>
      <c r="F80" s="29">
        <v>2</v>
      </c>
      <c r="G80" s="29" t="s">
        <v>33</v>
      </c>
      <c r="H80" s="29" t="s">
        <v>78</v>
      </c>
      <c r="I80" s="29" t="s">
        <v>428</v>
      </c>
      <c r="J80" s="34" t="s">
        <v>502</v>
      </c>
      <c r="K80" s="133">
        <v>0.979861111111111</v>
      </c>
    </row>
    <row r="81" spans="1:11">
      <c r="A81" s="31">
        <f>VLOOKUP($C81,SKU!$A:$I,3,FALSE)</f>
        <v>10089</v>
      </c>
      <c r="B81" s="31" t="str">
        <f>VLOOKUP($C81,SKU!$A:$I,2,FALSE)</f>
        <v>星火线条小狗</v>
      </c>
      <c r="C81" s="29" t="s">
        <v>327</v>
      </c>
      <c r="D81" s="29">
        <v>8</v>
      </c>
      <c r="E81" s="31">
        <f>D81*VLOOKUP(A81,Nhập入库!A:N,8,FALSE)</f>
        <v>112</v>
      </c>
      <c r="F81" s="29"/>
      <c r="G81" s="29" t="s">
        <v>158</v>
      </c>
      <c r="H81" s="29" t="s">
        <v>90</v>
      </c>
      <c r="I81" s="29" t="s">
        <v>59</v>
      </c>
      <c r="J81" s="34" t="s">
        <v>503</v>
      </c>
      <c r="K81" s="133">
        <v>0.200694444444444</v>
      </c>
    </row>
    <row r="82" spans="1:11">
      <c r="A82" s="31">
        <f>VLOOKUP($C82,SKU!$A:$I,3,FALSE)</f>
        <v>10057</v>
      </c>
      <c r="B82" s="31" t="str">
        <f>VLOOKUP($C82,SKU!$A:$I,2,FALSE)</f>
        <v>三丽鸥家族暖冬</v>
      </c>
      <c r="C82" s="34" t="s">
        <v>241</v>
      </c>
      <c r="D82" s="29"/>
      <c r="E82" s="31">
        <f>D82*VLOOKUP(A82,Nhập入库!A:N,8,FALSE)</f>
        <v>0</v>
      </c>
      <c r="F82" s="29">
        <v>9</v>
      </c>
      <c r="G82" s="29" t="s">
        <v>98</v>
      </c>
      <c r="H82" s="29" t="s">
        <v>422</v>
      </c>
      <c r="I82" s="29" t="s">
        <v>65</v>
      </c>
      <c r="J82" s="34" t="s">
        <v>503</v>
      </c>
      <c r="K82" s="133">
        <v>0.402083333333333</v>
      </c>
    </row>
    <row r="83" spans="1:11">
      <c r="A83" s="31">
        <f>VLOOKUP($C83,SKU!$A:$I,3,FALSE)</f>
        <v>10077</v>
      </c>
      <c r="B83" s="31" t="str">
        <f>VLOOKUP($C83,SKU!$A:$I,2,FALSE)</f>
        <v>多多文创原神第二弹卡砖—神眸再现</v>
      </c>
      <c r="C83" s="29" t="s">
        <v>296</v>
      </c>
      <c r="D83" s="29"/>
      <c r="E83" s="31">
        <f>D83*VLOOKUP(A83,Nhập入库!A:N,8,FALSE)</f>
        <v>0</v>
      </c>
      <c r="F83" s="29">
        <v>14</v>
      </c>
      <c r="G83" s="29" t="s">
        <v>429</v>
      </c>
      <c r="H83" s="29" t="s">
        <v>426</v>
      </c>
      <c r="I83" s="29" t="s">
        <v>65</v>
      </c>
      <c r="J83" s="34" t="s">
        <v>503</v>
      </c>
      <c r="K83" s="133">
        <v>0.429166666666667</v>
      </c>
    </row>
    <row r="84" spans="1:11">
      <c r="A84" s="31">
        <f>VLOOKUP($C84,SKU!$A:$I,3,FALSE)</f>
        <v>10060</v>
      </c>
      <c r="B84" s="31" t="str">
        <f>VLOOKUP($C84,SKU!$A:$I,2,FALSE)</f>
        <v>漫の森《宫崎骏第三弹·奇幻之旅》</v>
      </c>
      <c r="C84" s="29" t="s">
        <v>249</v>
      </c>
      <c r="D84" s="29">
        <v>1</v>
      </c>
      <c r="E84" s="31">
        <f>D84*VLOOKUP(A84,Nhập入库!A:N,8,FALSE)</f>
        <v>13</v>
      </c>
      <c r="F84" s="29"/>
      <c r="G84" s="29" t="s">
        <v>432</v>
      </c>
      <c r="H84" s="29" t="s">
        <v>162</v>
      </c>
      <c r="I84" s="29" t="s">
        <v>65</v>
      </c>
      <c r="J84" s="34" t="s">
        <v>503</v>
      </c>
      <c r="K84" s="133">
        <v>0.470138888888889</v>
      </c>
    </row>
    <row r="85" spans="1:11">
      <c r="A85" s="31">
        <f>VLOOKUP($C85,SKU!$A:$I,3,FALSE)</f>
        <v>10075</v>
      </c>
      <c r="B85" s="31" t="str">
        <f>VLOOKUP($C85,SKU!$A:$I,2,FALSE)</f>
        <v>《万卡卡文创》鬼灭之刃日轮破晓第一弹</v>
      </c>
      <c r="C85" s="29" t="s">
        <v>290</v>
      </c>
      <c r="D85" s="29"/>
      <c r="E85" s="31">
        <f>D85*VLOOKUP(A85,Nhập入库!A:N,8,FALSE)</f>
        <v>0</v>
      </c>
      <c r="F85" s="29">
        <v>1</v>
      </c>
      <c r="G85" s="29" t="s">
        <v>33</v>
      </c>
      <c r="H85" s="29" t="s">
        <v>98</v>
      </c>
      <c r="I85" s="29" t="s">
        <v>424</v>
      </c>
      <c r="J85" s="34" t="s">
        <v>503</v>
      </c>
      <c r="K85" s="133">
        <v>0.509722222222222</v>
      </c>
    </row>
    <row r="86" spans="1:11">
      <c r="A86" s="31">
        <f>VLOOKUP($C86,SKU!$A:$I,3,FALSE)</f>
        <v>10074</v>
      </c>
      <c r="B86" s="31" t="str">
        <f>VLOOKUP($C86,SKU!$A:$I,2,FALSE)</f>
        <v>火萤文创【帷幕将倾】俊男唯美撕撕乐</v>
      </c>
      <c r="C86" s="29" t="s">
        <v>287</v>
      </c>
      <c r="D86" s="29"/>
      <c r="E86" s="31">
        <f>D86*VLOOKUP(A86,Nhập入库!A:N,8,FALSE)</f>
        <v>0</v>
      </c>
      <c r="F86" s="29">
        <v>20</v>
      </c>
      <c r="G86" s="29" t="s">
        <v>433</v>
      </c>
      <c r="H86" s="29" t="s">
        <v>166</v>
      </c>
      <c r="I86" s="29" t="s">
        <v>424</v>
      </c>
      <c r="J86" s="34" t="s">
        <v>503</v>
      </c>
      <c r="K86" s="133">
        <v>0.440972222222222</v>
      </c>
    </row>
    <row r="87" spans="1:11">
      <c r="A87" s="31">
        <f>VLOOKUP($C87,SKU!$A:$I,3,FALSE)</f>
        <v>10039</v>
      </c>
      <c r="B87" s="31" t="str">
        <f>VLOOKUP($C87,SKU!$A:$I,2,FALSE)</f>
        <v>非凡航海王第五弹</v>
      </c>
      <c r="C87" s="29" t="s">
        <v>184</v>
      </c>
      <c r="D87" s="29"/>
      <c r="E87" s="31">
        <f>D87*VLOOKUP(A87,Nhập入库!A:N,8,FALSE)</f>
        <v>0</v>
      </c>
      <c r="F87" s="29">
        <v>1</v>
      </c>
      <c r="G87" s="29" t="s">
        <v>90</v>
      </c>
      <c r="H87" s="29" t="s">
        <v>98</v>
      </c>
      <c r="I87" s="29" t="s">
        <v>424</v>
      </c>
      <c r="J87" s="34" t="s">
        <v>503</v>
      </c>
      <c r="K87" s="133">
        <v>0.440972222222222</v>
      </c>
    </row>
    <row r="88" spans="1:11">
      <c r="A88" s="31">
        <f>VLOOKUP($C88,SKU!$A:$I,3,FALSE)</f>
        <v>10089</v>
      </c>
      <c r="B88" s="31" t="str">
        <f>VLOOKUP($C88,SKU!$A:$I,2,FALSE)</f>
        <v>星火线条小狗</v>
      </c>
      <c r="C88" s="29" t="s">
        <v>327</v>
      </c>
      <c r="D88" s="29">
        <v>1</v>
      </c>
      <c r="E88" s="31">
        <f>D88*VLOOKUP(A88,Nhập入库!A:N,8,FALSE)</f>
        <v>14</v>
      </c>
      <c r="F88" s="29">
        <v>24</v>
      </c>
      <c r="G88" s="29" t="s">
        <v>146</v>
      </c>
      <c r="H88" s="29" t="s">
        <v>98</v>
      </c>
      <c r="I88" s="29" t="s">
        <v>424</v>
      </c>
      <c r="J88" s="34" t="s">
        <v>503</v>
      </c>
      <c r="K88" s="133">
        <v>0.510416666666667</v>
      </c>
    </row>
    <row r="89" spans="1:11">
      <c r="A89" s="31">
        <f>VLOOKUP($C89,SKU!$A:$I,3,FALSE)</f>
        <v>10074</v>
      </c>
      <c r="B89" s="31" t="str">
        <f>VLOOKUP($C89,SKU!$A:$I,2,FALSE)</f>
        <v>火萤文创【帷幕将倾】俊男唯美撕撕乐</v>
      </c>
      <c r="C89" s="29" t="s">
        <v>287</v>
      </c>
      <c r="D89" s="29"/>
      <c r="E89" s="31">
        <f>D89*VLOOKUP(A89,Nhập入库!A:N,8,FALSE)</f>
        <v>0</v>
      </c>
      <c r="F89" s="29">
        <v>15</v>
      </c>
      <c r="G89" s="29" t="s">
        <v>166</v>
      </c>
      <c r="H89" s="29" t="s">
        <v>130</v>
      </c>
      <c r="I89" s="29" t="s">
        <v>424</v>
      </c>
      <c r="J89" s="34" t="s">
        <v>503</v>
      </c>
      <c r="K89" s="133">
        <v>0.541666666666667</v>
      </c>
    </row>
    <row r="90" spans="1:11">
      <c r="A90" s="31">
        <f>VLOOKUP($C90,SKU!$A:$I,3,FALSE)</f>
        <v>10035</v>
      </c>
      <c r="B90" s="31" t="str">
        <f>VLOOKUP($C90,SKU!$A:$I,2,FALSE)</f>
        <v>KK CARD × 新海诚系列第一弹</v>
      </c>
      <c r="C90" s="29" t="s">
        <v>167</v>
      </c>
      <c r="D90" s="29">
        <v>1</v>
      </c>
      <c r="E90" s="31">
        <f>D90*VLOOKUP(A90,Nhập入库!A:N,8,FALSE)</f>
        <v>14</v>
      </c>
      <c r="F90" s="29">
        <v>3</v>
      </c>
      <c r="G90" s="29" t="s">
        <v>429</v>
      </c>
      <c r="H90" s="29" t="s">
        <v>98</v>
      </c>
      <c r="I90" s="29" t="s">
        <v>424</v>
      </c>
      <c r="J90" s="34" t="s">
        <v>503</v>
      </c>
      <c r="K90" s="133">
        <v>0.69375</v>
      </c>
    </row>
    <row r="91" spans="1:11">
      <c r="A91" s="31">
        <f>VLOOKUP($C91,SKU!$A:$I,3,FALSE)</f>
        <v>10039</v>
      </c>
      <c r="B91" s="31" t="str">
        <f>VLOOKUP($C91,SKU!$A:$I,2,FALSE)</f>
        <v>非凡航海王第五弹</v>
      </c>
      <c r="C91" s="29" t="s">
        <v>184</v>
      </c>
      <c r="D91" s="29">
        <v>10</v>
      </c>
      <c r="E91" s="31">
        <f>D91*VLOOKUP(A91,Nhập入库!A:N,8,FALSE)</f>
        <v>200</v>
      </c>
      <c r="F91" s="29"/>
      <c r="G91" s="29" t="s">
        <v>98</v>
      </c>
      <c r="H91" s="29" t="s">
        <v>429</v>
      </c>
      <c r="I91" s="29" t="s">
        <v>428</v>
      </c>
      <c r="J91" s="34" t="s">
        <v>503</v>
      </c>
      <c r="K91" s="133">
        <v>0.803472222222222</v>
      </c>
    </row>
    <row r="92" spans="1:11">
      <c r="A92" s="31">
        <f>VLOOKUP($C92,SKU!$A:$I,3,FALSE)</f>
        <v>10089</v>
      </c>
      <c r="B92" s="31" t="str">
        <f>VLOOKUP($C92,SKU!$A:$I,2,FALSE)</f>
        <v>星火线条小狗</v>
      </c>
      <c r="C92" s="29" t="s">
        <v>327</v>
      </c>
      <c r="D92" s="29">
        <v>1</v>
      </c>
      <c r="E92" s="31">
        <f>D92*VLOOKUP(A92,Nhập入库!A:N,8,FALSE)</f>
        <v>14</v>
      </c>
      <c r="F92" s="29"/>
      <c r="G92" s="29" t="s">
        <v>178</v>
      </c>
      <c r="H92" s="29" t="s">
        <v>429</v>
      </c>
      <c r="I92" s="29" t="s">
        <v>428</v>
      </c>
      <c r="J92" s="34" t="s">
        <v>503</v>
      </c>
      <c r="K92" s="133">
        <v>0.845138888888889</v>
      </c>
    </row>
    <row r="93" spans="1:11">
      <c r="A93" s="31">
        <f>VLOOKUP($C93,SKU!$A:$I,3,FALSE)</f>
        <v>10066</v>
      </c>
      <c r="B93" s="31" t="str">
        <f>VLOOKUP($C93,SKU!$A:$I,2,FALSE)</f>
        <v>卡游柯南揭秘包第2弹</v>
      </c>
      <c r="C93" s="29" t="s">
        <v>266</v>
      </c>
      <c r="D93" s="29">
        <v>5</v>
      </c>
      <c r="E93" s="31">
        <f>D93*VLOOKUP(A93,Nhập入库!A:N,8,FALSE)</f>
        <v>180</v>
      </c>
      <c r="F93" s="29"/>
      <c r="G93" s="29" t="s">
        <v>78</v>
      </c>
      <c r="H93" s="29" t="s">
        <v>146</v>
      </c>
      <c r="I93" s="29" t="s">
        <v>428</v>
      </c>
      <c r="J93" s="34" t="s">
        <v>503</v>
      </c>
      <c r="K93" s="133">
        <v>0.886805555555556</v>
      </c>
    </row>
    <row r="94" spans="1:11">
      <c r="A94" s="31">
        <f>VLOOKUP($C94,SKU!$A:$I,3,FALSE)</f>
        <v>10001</v>
      </c>
      <c r="B94" s="31" t="str">
        <f>VLOOKUP($C94,SKU!$A:$I,2,FALSE)</f>
        <v>《东株社》宝可梦水晶砖</v>
      </c>
      <c r="C94" s="29" t="s">
        <v>12</v>
      </c>
      <c r="D94" s="29"/>
      <c r="E94" s="31">
        <f>D94*VLOOKUP(A94,Nhập入库!A:N,8,FALSE)</f>
        <v>0</v>
      </c>
      <c r="F94" s="29">
        <v>2</v>
      </c>
      <c r="G94" s="29" t="s">
        <v>33</v>
      </c>
      <c r="H94" s="29" t="s">
        <v>78</v>
      </c>
      <c r="I94" s="29" t="s">
        <v>428</v>
      </c>
      <c r="J94" s="34" t="s">
        <v>503</v>
      </c>
      <c r="K94" s="133">
        <v>0.968055555555556</v>
      </c>
    </row>
    <row r="95" spans="1:11">
      <c r="A95" s="31">
        <f>VLOOKUP($C95,SKU!$A:$I,3,FALSE)</f>
        <v>10089</v>
      </c>
      <c r="B95" s="31" t="str">
        <f>VLOOKUP($C95,SKU!$A:$I,2,FALSE)</f>
        <v>星火线条小狗</v>
      </c>
      <c r="C95" s="29" t="s">
        <v>327</v>
      </c>
      <c r="D95" s="29"/>
      <c r="E95" s="31">
        <f>D95*VLOOKUP(A95,Nhập入库!A:N,8,FALSE)</f>
        <v>0</v>
      </c>
      <c r="F95" s="29">
        <v>56</v>
      </c>
      <c r="G95" s="29" t="s">
        <v>158</v>
      </c>
      <c r="H95" s="34" t="s">
        <v>146</v>
      </c>
      <c r="I95" s="29" t="s">
        <v>428</v>
      </c>
      <c r="J95" s="34" t="s">
        <v>503</v>
      </c>
      <c r="K95" s="133">
        <v>0.968055555555556</v>
      </c>
    </row>
    <row r="96" spans="1:11">
      <c r="A96" s="31">
        <f>VLOOKUP($C96,SKU!$A:$I,3,FALSE)</f>
        <v>10066</v>
      </c>
      <c r="B96" s="31" t="str">
        <f>VLOOKUP($C96,SKU!$A:$I,2,FALSE)</f>
        <v>卡游柯南揭秘包第2弹</v>
      </c>
      <c r="C96" s="29" t="s">
        <v>266</v>
      </c>
      <c r="D96" s="29">
        <v>1</v>
      </c>
      <c r="E96" s="31">
        <f>D96*VLOOKUP(A96,Nhập入库!A:N,8,FALSE)</f>
        <v>36</v>
      </c>
      <c r="F96" s="29"/>
      <c r="G96" s="29" t="s">
        <v>90</v>
      </c>
      <c r="H96" s="34" t="s">
        <v>158</v>
      </c>
      <c r="I96" s="29" t="s">
        <v>59</v>
      </c>
      <c r="J96" s="34" t="s">
        <v>504</v>
      </c>
      <c r="K96" s="133">
        <v>0.218055555555556</v>
      </c>
    </row>
    <row r="97" spans="1:11">
      <c r="A97" s="31">
        <f>VLOOKUP($C97,SKU!$A:$I,3,FALSE)</f>
        <v>10089</v>
      </c>
      <c r="B97" s="31" t="str">
        <f>VLOOKUP($C97,SKU!$A:$I,2,FALSE)</f>
        <v>星火线条小狗</v>
      </c>
      <c r="C97" s="29" t="s">
        <v>327</v>
      </c>
      <c r="D97" s="29">
        <v>2</v>
      </c>
      <c r="E97" s="31">
        <f>D97*VLOOKUP(A97,Nhập入库!A:N,8,FALSE)</f>
        <v>28</v>
      </c>
      <c r="F97" s="29"/>
      <c r="G97" s="29" t="s">
        <v>130</v>
      </c>
      <c r="H97" s="34" t="s">
        <v>90</v>
      </c>
      <c r="I97" s="29" t="s">
        <v>59</v>
      </c>
      <c r="J97" s="34" t="s">
        <v>504</v>
      </c>
      <c r="K97" s="133">
        <v>0.2375</v>
      </c>
    </row>
    <row r="98" spans="1:11">
      <c r="A98" s="31">
        <f>VLOOKUP($C98,SKU!$A:$I,3,FALSE)</f>
        <v>10089</v>
      </c>
      <c r="B98" s="31" t="str">
        <f>VLOOKUP($C98,SKU!$A:$I,2,FALSE)</f>
        <v>星火线条小狗</v>
      </c>
      <c r="C98" s="29" t="s">
        <v>327</v>
      </c>
      <c r="D98" s="29">
        <v>2</v>
      </c>
      <c r="E98" s="31">
        <f>D98*VLOOKUP(A98,Nhập入库!A:N,8,FALSE)</f>
        <v>28</v>
      </c>
      <c r="F98" s="29"/>
      <c r="G98" s="29" t="s">
        <v>178</v>
      </c>
      <c r="H98" s="34" t="s">
        <v>90</v>
      </c>
      <c r="I98" s="29" t="s">
        <v>59</v>
      </c>
      <c r="J98" s="34" t="s">
        <v>504</v>
      </c>
      <c r="K98" s="133">
        <v>0.2375</v>
      </c>
    </row>
    <row r="99" spans="1:11">
      <c r="A99" s="31">
        <f>VLOOKUP($C99,SKU!$A:$I,3,FALSE)</f>
        <v>10039</v>
      </c>
      <c r="B99" s="31" t="str">
        <f>VLOOKUP($C99,SKU!$A:$I,2,FALSE)</f>
        <v>非凡航海王第五弹</v>
      </c>
      <c r="C99" s="29" t="s">
        <v>184</v>
      </c>
      <c r="D99" s="29">
        <v>2</v>
      </c>
      <c r="E99" s="31">
        <f>D99*VLOOKUP(A99,Nhập入库!A:N,8,FALSE)</f>
        <v>40</v>
      </c>
      <c r="F99" s="29"/>
      <c r="G99" s="29" t="s">
        <v>98</v>
      </c>
      <c r="H99" s="29" t="s">
        <v>90</v>
      </c>
      <c r="I99" s="29" t="s">
        <v>59</v>
      </c>
      <c r="J99" s="34" t="s">
        <v>504</v>
      </c>
      <c r="K99" s="133">
        <v>0.2375</v>
      </c>
    </row>
    <row r="100" spans="1:11">
      <c r="A100" s="31">
        <f>VLOOKUP($C100,SKU!$A:$I,3,FALSE)</f>
        <v>10075</v>
      </c>
      <c r="B100" s="31" t="str">
        <f>VLOOKUP($C100,SKU!$A:$I,2,FALSE)</f>
        <v>《万卡卡文创》鬼灭之刃日轮破晓第一弹</v>
      </c>
      <c r="C100" s="29" t="s">
        <v>290</v>
      </c>
      <c r="D100" s="29">
        <v>1</v>
      </c>
      <c r="E100" s="31">
        <f>D100*VLOOKUP(A100,Nhập入库!A:N,8,FALSE)</f>
        <v>10</v>
      </c>
      <c r="F100" s="29"/>
      <c r="G100" s="29" t="s">
        <v>432</v>
      </c>
      <c r="H100" s="29" t="s">
        <v>162</v>
      </c>
      <c r="I100" s="29" t="s">
        <v>65</v>
      </c>
      <c r="J100" s="34" t="s">
        <v>504</v>
      </c>
      <c r="K100" s="133">
        <v>0.416666666666667</v>
      </c>
    </row>
    <row r="101" spans="1:11">
      <c r="A101" s="31">
        <f>VLOOKUP($C101,SKU!$A:$I,3,FALSE)</f>
        <v>10089</v>
      </c>
      <c r="B101" s="31" t="str">
        <f>VLOOKUP($C101,SKU!$A:$I,2,FALSE)</f>
        <v>星火线条小狗</v>
      </c>
      <c r="C101" s="29" t="s">
        <v>327</v>
      </c>
      <c r="D101" s="29"/>
      <c r="E101" s="31">
        <f>D101*VLOOKUP(A101,Nhập入库!A:N,8,FALSE)</f>
        <v>0</v>
      </c>
      <c r="F101" s="29">
        <v>20</v>
      </c>
      <c r="G101" s="29" t="s">
        <v>98</v>
      </c>
      <c r="H101" s="29" t="s">
        <v>170</v>
      </c>
      <c r="I101" s="34" t="s">
        <v>499</v>
      </c>
      <c r="J101" s="34" t="s">
        <v>504</v>
      </c>
      <c r="K101" s="133">
        <v>0.515277777777778</v>
      </c>
    </row>
    <row r="102" spans="1:11">
      <c r="A102" s="31">
        <f>VLOOKUP($C102,SKU!$A:$I,3,FALSE)</f>
        <v>10089</v>
      </c>
      <c r="B102" s="31" t="str">
        <f>VLOOKUP($C102,SKU!$A:$I,2,FALSE)</f>
        <v>星火线条小狗</v>
      </c>
      <c r="C102" s="29" t="s">
        <v>327</v>
      </c>
      <c r="D102" s="29"/>
      <c r="E102" s="31">
        <f>D102*VLOOKUP(A102,Nhập入库!A:N,8,FALSE)</f>
        <v>0</v>
      </c>
      <c r="F102" s="29">
        <v>17</v>
      </c>
      <c r="G102" s="29" t="s">
        <v>146</v>
      </c>
      <c r="H102" s="34" t="s">
        <v>170</v>
      </c>
      <c r="I102" s="34" t="s">
        <v>499</v>
      </c>
      <c r="J102" s="34" t="s">
        <v>504</v>
      </c>
      <c r="K102" s="133">
        <v>0.515277777777778</v>
      </c>
    </row>
    <row r="103" spans="1:11">
      <c r="A103" s="31">
        <f>VLOOKUP($C103,SKU!$A:$I,3,FALSE)</f>
        <v>10063</v>
      </c>
      <c r="B103" s="31" t="str">
        <f>VLOOKUP($C103,SKU!$A:$I,2,FALSE)</f>
        <v>浮梦集 「童境绮梦」艺术家联名收藏卡牌</v>
      </c>
      <c r="C103" s="29" t="s">
        <v>257</v>
      </c>
      <c r="D103" s="29">
        <v>4</v>
      </c>
      <c r="E103" s="31">
        <f>D103*VLOOKUP(A103,Nhập入库!A:N,8,FALSE)</f>
        <v>52</v>
      </c>
      <c r="F103" s="29"/>
      <c r="G103" s="29" t="s">
        <v>98</v>
      </c>
      <c r="H103" s="29" t="s">
        <v>422</v>
      </c>
      <c r="I103" s="29" t="s">
        <v>65</v>
      </c>
      <c r="J103" s="34" t="s">
        <v>504</v>
      </c>
      <c r="K103" s="133">
        <v>0.520833333333333</v>
      </c>
    </row>
    <row r="104" spans="1:11">
      <c r="A104" s="31">
        <f>VLOOKUP($C104,SKU!$A:$I,3,FALSE)</f>
        <v>10066</v>
      </c>
      <c r="B104" s="31" t="str">
        <f>VLOOKUP($C104,SKU!$A:$I,2,FALSE)</f>
        <v>卡游柯南揭秘包第2弹</v>
      </c>
      <c r="C104" s="29" t="s">
        <v>266</v>
      </c>
      <c r="D104" s="29"/>
      <c r="E104" s="31">
        <f>D104*VLOOKUP(A104,Nhập入库!A:N,8,FALSE)</f>
        <v>0</v>
      </c>
      <c r="F104" s="29">
        <v>61</v>
      </c>
      <c r="G104" s="29" t="s">
        <v>146</v>
      </c>
      <c r="H104" s="29" t="s">
        <v>166</v>
      </c>
      <c r="I104" s="29" t="s">
        <v>424</v>
      </c>
      <c r="J104" s="34" t="s">
        <v>504</v>
      </c>
      <c r="K104" s="133">
        <v>0.413194444444444</v>
      </c>
    </row>
    <row r="105" spans="1:11">
      <c r="A105" s="31">
        <f>VLOOKUP($C105,SKU!$A:$I,3,FALSE)</f>
        <v>10076</v>
      </c>
      <c r="B105" s="31" t="str">
        <f>VLOOKUP($C105,SKU!$A:$I,2,FALSE)</f>
        <v>【Aikaho】鬼灭之刃第四弹 集结 【DS-04 Muster】</v>
      </c>
      <c r="C105" s="29" t="s">
        <v>293</v>
      </c>
      <c r="D105" s="29">
        <v>2</v>
      </c>
      <c r="E105" s="31">
        <f>D105*VLOOKUP(A105,Nhập入库!A:N,8,FALSE)</f>
        <v>20</v>
      </c>
      <c r="F105" s="29"/>
      <c r="G105" s="29" t="s">
        <v>429</v>
      </c>
      <c r="H105" s="29" t="s">
        <v>33</v>
      </c>
      <c r="I105" s="29" t="s">
        <v>424</v>
      </c>
      <c r="J105" s="34" t="s">
        <v>504</v>
      </c>
      <c r="K105" s="133">
        <v>0.502083333333333</v>
      </c>
    </row>
    <row r="106" spans="1:11">
      <c r="A106" s="31">
        <f>VLOOKUP($C106,SKU!$A:$I,3,FALSE)</f>
        <v>10089</v>
      </c>
      <c r="B106" s="31" t="str">
        <f>VLOOKUP($C106,SKU!$A:$I,2,FALSE)</f>
        <v>星火线条小狗</v>
      </c>
      <c r="C106" s="29" t="s">
        <v>327</v>
      </c>
      <c r="D106" s="29"/>
      <c r="E106" s="31">
        <f>D106*VLOOKUP(A106,Nhập入库!A:N,8,FALSE)</f>
        <v>0</v>
      </c>
      <c r="F106" s="29">
        <v>11</v>
      </c>
      <c r="G106" s="29" t="s">
        <v>33</v>
      </c>
      <c r="H106" s="29" t="s">
        <v>130</v>
      </c>
      <c r="I106" s="29" t="s">
        <v>424</v>
      </c>
      <c r="J106" s="34" t="s">
        <v>504</v>
      </c>
      <c r="K106" s="133">
        <v>0.564583333333333</v>
      </c>
    </row>
    <row r="107" spans="1:11">
      <c r="A107" s="31">
        <f>VLOOKUP($C107,SKU!$A:$I,3,FALSE)</f>
        <v>10089</v>
      </c>
      <c r="B107" s="31" t="str">
        <f>VLOOKUP($C107,SKU!$A:$I,2,FALSE)</f>
        <v>星火线条小狗</v>
      </c>
      <c r="C107" s="29" t="s">
        <v>327</v>
      </c>
      <c r="D107" s="29"/>
      <c r="E107" s="31">
        <f>D107*VLOOKUP(A107,Nhập入库!A:N,8,FALSE)</f>
        <v>0</v>
      </c>
      <c r="F107" s="29">
        <v>7</v>
      </c>
      <c r="G107" s="29" t="s">
        <v>170</v>
      </c>
      <c r="H107" s="29" t="s">
        <v>130</v>
      </c>
      <c r="I107" s="29" t="s">
        <v>424</v>
      </c>
      <c r="J107" s="34" t="s">
        <v>504</v>
      </c>
      <c r="K107" s="133">
        <v>0.564583333333333</v>
      </c>
    </row>
    <row r="108" spans="1:11">
      <c r="A108" s="31">
        <f>VLOOKUP($C108,SKU!$A:$I,3,FALSE)</f>
        <v>10029</v>
      </c>
      <c r="B108" s="31" t="str">
        <f>VLOOKUP($C108,SKU!$A:$I,2,FALSE)</f>
        <v>樱花屋魔卡少女樱</v>
      </c>
      <c r="C108" s="29" t="s">
        <v>143</v>
      </c>
      <c r="D108" s="29">
        <v>4</v>
      </c>
      <c r="E108" s="31">
        <f>D108*VLOOKUP(A108,Nhập入库!A:N,8,FALSE)</f>
        <v>48</v>
      </c>
      <c r="F108" s="29"/>
      <c r="G108" s="29" t="s">
        <v>130</v>
      </c>
      <c r="H108" s="29" t="s">
        <v>98</v>
      </c>
      <c r="I108" s="29" t="s">
        <v>424</v>
      </c>
      <c r="J108" s="34" t="s">
        <v>504</v>
      </c>
      <c r="K108" s="133">
        <v>0.555555555555556</v>
      </c>
    </row>
    <row r="109" spans="1:11">
      <c r="A109" s="31">
        <f>VLOOKUP($C109,SKU!$A:$I,3,FALSE)</f>
        <v>10014</v>
      </c>
      <c r="B109" s="31" t="str">
        <f>VLOOKUP($C109,SKU!$A:$I,2,FALSE)</f>
        <v>星梦文创-Studio Ghibli宫崎骏撕撕乐系列 </v>
      </c>
      <c r="C109" s="29" t="s">
        <v>83</v>
      </c>
      <c r="D109" s="29"/>
      <c r="E109" s="31">
        <f>D109*VLOOKUP(A109,Nhập入库!A:N,8,FALSE)</f>
        <v>0</v>
      </c>
      <c r="F109" s="29">
        <v>2</v>
      </c>
      <c r="G109" s="29" t="s">
        <v>33</v>
      </c>
      <c r="H109" s="29" t="s">
        <v>98</v>
      </c>
      <c r="I109" s="29" t="s">
        <v>424</v>
      </c>
      <c r="J109" s="34" t="s">
        <v>504</v>
      </c>
      <c r="K109" s="133">
        <v>0.589583333333333</v>
      </c>
    </row>
    <row r="110" spans="1:11">
      <c r="A110" s="31">
        <f>VLOOKUP($C110,SKU!$A:$I,3,FALSE)</f>
        <v>10016</v>
      </c>
      <c r="B110" s="31" t="str">
        <f>VLOOKUP($C110,SKU!$A:$I,2,FALSE)</f>
        <v>思梨普文创《hey!国王陛下》集换式艺术家典藏卡</v>
      </c>
      <c r="C110" s="29" t="s">
        <v>91</v>
      </c>
      <c r="D110" s="29">
        <v>1</v>
      </c>
      <c r="E110" s="31">
        <f>D110*VLOOKUP(A110,Nhập入库!A:N,8,FALSE)</f>
        <v>10</v>
      </c>
      <c r="F110" s="29"/>
      <c r="G110" s="29" t="s">
        <v>33</v>
      </c>
      <c r="H110" s="29" t="s">
        <v>98</v>
      </c>
      <c r="I110" s="29" t="s">
        <v>424</v>
      </c>
      <c r="J110" s="34" t="s">
        <v>504</v>
      </c>
      <c r="K110" s="133">
        <v>0.589583333333333</v>
      </c>
    </row>
    <row r="111" spans="1:11">
      <c r="A111" s="31">
        <f>VLOOKUP($C111,SKU!$A:$I,3,FALSE)</f>
        <v>10039</v>
      </c>
      <c r="B111" s="31" t="str">
        <f>VLOOKUP($C111,SKU!$A:$I,2,FALSE)</f>
        <v>非凡航海王第五弹</v>
      </c>
      <c r="C111" s="29" t="s">
        <v>184</v>
      </c>
      <c r="D111" s="29"/>
      <c r="E111" s="31">
        <f>D111*VLOOKUP(A111,Nhập入库!A:N,8,FALSE)</f>
        <v>0</v>
      </c>
      <c r="F111" s="29">
        <v>20</v>
      </c>
      <c r="G111" s="29" t="s">
        <v>174</v>
      </c>
      <c r="H111" s="29" t="s">
        <v>94</v>
      </c>
      <c r="I111" s="29" t="s">
        <v>423</v>
      </c>
      <c r="J111" s="34" t="s">
        <v>504</v>
      </c>
      <c r="K111" s="133">
        <v>0.564583333333333</v>
      </c>
    </row>
    <row r="112" spans="1:11">
      <c r="A112" s="31">
        <f>VLOOKUP($C112,SKU!$A:$I,3,FALSE)</f>
        <v>10066</v>
      </c>
      <c r="B112" s="31" t="str">
        <f>VLOOKUP($C112,SKU!$A:$I,2,FALSE)</f>
        <v>卡游柯南揭秘包第2弹</v>
      </c>
      <c r="C112" s="29" t="s">
        <v>266</v>
      </c>
      <c r="D112" s="29"/>
      <c r="E112" s="31">
        <f>D112*VLOOKUP(A112,Nhập入库!A:N,8,FALSE)</f>
        <v>0</v>
      </c>
      <c r="F112" s="29">
        <v>137</v>
      </c>
      <c r="G112" s="29" t="s">
        <v>432</v>
      </c>
      <c r="H112" s="29" t="s">
        <v>146</v>
      </c>
      <c r="I112" s="29" t="s">
        <v>428</v>
      </c>
      <c r="J112" s="34" t="s">
        <v>504</v>
      </c>
      <c r="K112" s="133">
        <v>0.772916666666667</v>
      </c>
    </row>
    <row r="113" spans="1:11">
      <c r="A113" s="31">
        <f>VLOOKUP($C113,SKU!$A:$I,3,FALSE)</f>
        <v>10066</v>
      </c>
      <c r="B113" s="31" t="str">
        <f>VLOOKUP($C113,SKU!$A:$I,2,FALSE)</f>
        <v>卡游柯南揭秘包第2弹</v>
      </c>
      <c r="C113" s="29" t="s">
        <v>266</v>
      </c>
      <c r="D113" s="29"/>
      <c r="E113" s="31">
        <f>D113*VLOOKUP(A113,Nhập入库!A:N,8,FALSE)</f>
        <v>0</v>
      </c>
      <c r="F113" s="29">
        <v>96</v>
      </c>
      <c r="G113" s="29" t="s">
        <v>78</v>
      </c>
      <c r="H113" s="29" t="s">
        <v>146</v>
      </c>
      <c r="I113" s="29" t="s">
        <v>428</v>
      </c>
      <c r="J113" s="34" t="s">
        <v>504</v>
      </c>
      <c r="K113" s="133">
        <v>0.772916666666667</v>
      </c>
    </row>
    <row r="114" spans="1:11">
      <c r="A114" s="31">
        <f>VLOOKUP($C114,SKU!$A:$I,3,FALSE)</f>
        <v>10016</v>
      </c>
      <c r="B114" s="31" t="str">
        <f>VLOOKUP($C114,SKU!$A:$I,2,FALSE)</f>
        <v>思梨普文创《hey!国王陛下》集换式艺术家典藏卡</v>
      </c>
      <c r="C114" s="29" t="s">
        <v>91</v>
      </c>
      <c r="D114" s="29"/>
      <c r="E114" s="31">
        <f>D114*VLOOKUP(A114,Nhập入库!A:N,8,FALSE)</f>
        <v>0</v>
      </c>
      <c r="F114" s="29">
        <v>40</v>
      </c>
      <c r="G114" s="29" t="s">
        <v>429</v>
      </c>
      <c r="H114" s="29" t="s">
        <v>146</v>
      </c>
      <c r="I114" s="29" t="s">
        <v>428</v>
      </c>
      <c r="J114" s="34" t="s">
        <v>504</v>
      </c>
      <c r="K114" s="133">
        <v>0.814583333333333</v>
      </c>
    </row>
    <row r="115" spans="1:11">
      <c r="A115" s="31">
        <f>VLOOKUP($C115,SKU!$A:$I,3,FALSE)</f>
        <v>10016</v>
      </c>
      <c r="B115" s="31" t="str">
        <f>VLOOKUP($C115,SKU!$A:$I,2,FALSE)</f>
        <v>思梨普文创《hey!国王陛下》集换式艺术家典藏卡</v>
      </c>
      <c r="C115" s="29" t="s">
        <v>91</v>
      </c>
      <c r="D115" s="29"/>
      <c r="E115" s="31">
        <f>D115*VLOOKUP(A115,Nhập入库!A:N,8,FALSE)</f>
        <v>0</v>
      </c>
      <c r="F115" s="29">
        <v>28</v>
      </c>
      <c r="G115" s="29" t="s">
        <v>33</v>
      </c>
      <c r="H115" s="29" t="s">
        <v>146</v>
      </c>
      <c r="I115" s="29" t="s">
        <v>428</v>
      </c>
      <c r="J115" s="34" t="s">
        <v>504</v>
      </c>
      <c r="K115" s="133">
        <v>0.814583333333333</v>
      </c>
    </row>
    <row r="116" spans="1:11">
      <c r="A116" s="31">
        <f>VLOOKUP($C116,SKU!$A:$I,3,FALSE)</f>
        <v>10016</v>
      </c>
      <c r="B116" s="31" t="str">
        <f>VLOOKUP($C116,SKU!$A:$I,2,FALSE)</f>
        <v>思梨普文创《hey!国王陛下》集换式艺术家典藏卡</v>
      </c>
      <c r="C116" s="29" t="s">
        <v>91</v>
      </c>
      <c r="D116" s="29"/>
      <c r="E116" s="31">
        <f>D116*VLOOKUP(A116,Nhập入库!A:N,8,FALSE)</f>
        <v>0</v>
      </c>
      <c r="F116" s="29">
        <v>76</v>
      </c>
      <c r="G116" s="29" t="s">
        <v>426</v>
      </c>
      <c r="H116" s="29" t="s">
        <v>146</v>
      </c>
      <c r="I116" s="29" t="s">
        <v>428</v>
      </c>
      <c r="J116" s="34" t="s">
        <v>504</v>
      </c>
      <c r="K116" s="133">
        <v>0.85625</v>
      </c>
    </row>
    <row r="117" spans="1:11">
      <c r="A117" s="31">
        <f>VLOOKUP($C117,SKU!$A:$I,3,FALSE)</f>
        <v>10016</v>
      </c>
      <c r="B117" s="31" t="str">
        <f>VLOOKUP($C117,SKU!$A:$I,2,FALSE)</f>
        <v>思梨普文创《hey!国王陛下》集换式艺术家典藏卡</v>
      </c>
      <c r="C117" s="29" t="s">
        <v>91</v>
      </c>
      <c r="D117" s="29">
        <v>1</v>
      </c>
      <c r="E117" s="31">
        <f>D117*VLOOKUP(A117,Nhập入库!A:N,8,FALSE)</f>
        <v>10</v>
      </c>
      <c r="F117" s="29"/>
      <c r="G117" s="29" t="s">
        <v>130</v>
      </c>
      <c r="H117" s="29" t="s">
        <v>429</v>
      </c>
      <c r="I117" s="29" t="s">
        <v>428</v>
      </c>
      <c r="J117" s="34" t="s">
        <v>504</v>
      </c>
      <c r="K117" s="133">
        <v>0.85625</v>
      </c>
    </row>
    <row r="118" spans="1:11">
      <c r="A118" s="31">
        <f>VLOOKUP($C118,SKU!$A:$I,3,FALSE)</f>
        <v>10001</v>
      </c>
      <c r="B118" s="31" t="str">
        <f>VLOOKUP($C118,SKU!$A:$I,2,FALSE)</f>
        <v>《东株社》宝可梦水晶砖</v>
      </c>
      <c r="C118" s="29" t="s">
        <v>12</v>
      </c>
      <c r="D118" s="29">
        <v>1</v>
      </c>
      <c r="E118" s="31">
        <f>D118*VLOOKUP(A118,Nhập入库!A:N,8,FALSE)</f>
        <v>1</v>
      </c>
      <c r="F118" s="29"/>
      <c r="G118" s="29" t="s">
        <v>33</v>
      </c>
      <c r="H118" s="29" t="s">
        <v>78</v>
      </c>
      <c r="I118" s="29" t="s">
        <v>428</v>
      </c>
      <c r="J118" s="34" t="s">
        <v>504</v>
      </c>
      <c r="K118" s="133">
        <v>0.98125</v>
      </c>
    </row>
    <row r="119" spans="1:11">
      <c r="A119" s="31">
        <f>VLOOKUP($C119,SKU!$A:$I,3,FALSE)</f>
        <v>10035</v>
      </c>
      <c r="B119" s="31" t="str">
        <f>VLOOKUP($C119,SKU!$A:$I,2,FALSE)</f>
        <v>KK CARD × 新海诚系列第一弹</v>
      </c>
      <c r="C119" s="29" t="s">
        <v>167</v>
      </c>
      <c r="D119" s="29">
        <v>1</v>
      </c>
      <c r="E119" s="31">
        <f>D119*VLOOKUP(A119,Nhập入库!A:N,8,FALSE)</f>
        <v>14</v>
      </c>
      <c r="F119" s="29"/>
      <c r="G119" s="29" t="s">
        <v>33</v>
      </c>
      <c r="H119" s="29" t="s">
        <v>78</v>
      </c>
      <c r="I119" s="29" t="s">
        <v>428</v>
      </c>
      <c r="J119" s="34" t="s">
        <v>504</v>
      </c>
      <c r="K119" s="133">
        <v>0.98125</v>
      </c>
    </row>
    <row r="120" spans="1:11">
      <c r="A120" s="31">
        <f>VLOOKUP($C120,SKU!$A:$I,3,FALSE)</f>
        <v>10064</v>
      </c>
      <c r="B120" s="31" t="str">
        <f>VLOOKUP($C120,SKU!$A:$I,2,FALSE)</f>
        <v>源宇宙崩铁色纸</v>
      </c>
      <c r="C120" s="29" t="s">
        <v>260</v>
      </c>
      <c r="D120" s="29"/>
      <c r="E120" s="31">
        <f>D120*VLOOKUP(A120,Nhập入库!A:N,8,FALSE)</f>
        <v>0</v>
      </c>
      <c r="F120" s="29">
        <v>17</v>
      </c>
      <c r="G120" s="29" t="s">
        <v>78</v>
      </c>
      <c r="H120" s="29" t="s">
        <v>90</v>
      </c>
      <c r="I120" s="29" t="s">
        <v>59</v>
      </c>
      <c r="J120" s="34" t="s">
        <v>505</v>
      </c>
      <c r="K120" s="133">
        <v>0.0229166666666667</v>
      </c>
    </row>
    <row r="121" spans="1:11">
      <c r="A121" s="31">
        <f>VLOOKUP($C121,SKU!$A:$I,3,FALSE)</f>
        <v>10078</v>
      </c>
      <c r="B121" s="31" t="str">
        <f>VLOOKUP($C121,SKU!$A:$I,2,FALSE)</f>
        <v>摩斯社×名侦探柯南-摩斯密码系列评级邮票</v>
      </c>
      <c r="C121" s="29" t="s">
        <v>299</v>
      </c>
      <c r="D121" s="29"/>
      <c r="E121" s="31">
        <f>D121*VLOOKUP(A121,Nhập入库!A:N,8,FALSE)</f>
        <v>0</v>
      </c>
      <c r="F121" s="29">
        <v>5</v>
      </c>
      <c r="G121" s="29" t="s">
        <v>146</v>
      </c>
      <c r="H121" s="29" t="s">
        <v>90</v>
      </c>
      <c r="I121" s="29" t="s">
        <v>59</v>
      </c>
      <c r="J121" s="34" t="s">
        <v>505</v>
      </c>
      <c r="K121" s="133">
        <v>0.189583333333333</v>
      </c>
    </row>
    <row r="122" spans="1:11">
      <c r="A122" s="31">
        <f>VLOOKUP($C122,SKU!$A:$I,3,FALSE)</f>
        <v>10078</v>
      </c>
      <c r="B122" s="31" t="str">
        <f>VLOOKUP($C122,SKU!$A:$I,2,FALSE)</f>
        <v>摩斯社×名侦探柯南-摩斯密码系列评级邮票</v>
      </c>
      <c r="C122" s="29" t="s">
        <v>299</v>
      </c>
      <c r="D122" s="29"/>
      <c r="E122" s="31">
        <f>D122*VLOOKUP(A122,Nhập入库!A:N,8,FALSE)</f>
        <v>0</v>
      </c>
      <c r="F122" s="29">
        <v>1</v>
      </c>
      <c r="G122" s="29" t="s">
        <v>90</v>
      </c>
      <c r="H122" s="29" t="s">
        <v>158</v>
      </c>
      <c r="I122" s="29" t="s">
        <v>59</v>
      </c>
      <c r="J122" s="34" t="s">
        <v>505</v>
      </c>
      <c r="K122" s="133">
        <v>0.189583333333333</v>
      </c>
    </row>
    <row r="123" spans="1:11">
      <c r="A123" s="31">
        <f>VLOOKUP($C123,SKU!$A:$I,3,FALSE)</f>
        <v>10042</v>
      </c>
      <c r="B123" s="31" t="str">
        <f>VLOOKUP($C123,SKU!$A:$I,2,FALSE)</f>
        <v>黄油小熊系列收藏卡第二弹 小熊的观察日记</v>
      </c>
      <c r="C123" s="29" t="s">
        <v>196</v>
      </c>
      <c r="D123" s="29">
        <v>1</v>
      </c>
      <c r="E123" s="31">
        <f>D123*VLOOKUP(A123,Nhập入库!A:N,8,FALSE)</f>
        <v>16</v>
      </c>
      <c r="F123" s="29"/>
      <c r="G123" s="29" t="s">
        <v>154</v>
      </c>
      <c r="H123" s="29" t="s">
        <v>422</v>
      </c>
      <c r="I123" s="29" t="s">
        <v>65</v>
      </c>
      <c r="J123" s="34" t="s">
        <v>505</v>
      </c>
      <c r="K123" s="133">
        <v>0.447916666666667</v>
      </c>
    </row>
    <row r="124" spans="1:11">
      <c r="A124" s="31">
        <f>VLOOKUP($C124,SKU!$A:$I,3,FALSE)</f>
        <v>10042</v>
      </c>
      <c r="B124" s="31" t="str">
        <f>VLOOKUP($C124,SKU!$A:$I,2,FALSE)</f>
        <v>黄油小熊系列收藏卡第二弹 小熊的观察日记</v>
      </c>
      <c r="C124" s="29" t="s">
        <v>196</v>
      </c>
      <c r="D124" s="29">
        <v>2</v>
      </c>
      <c r="E124" s="31">
        <f>D124*VLOOKUP(A124,Nhập入库!A:N,8,FALSE)</f>
        <v>32</v>
      </c>
      <c r="F124" s="29"/>
      <c r="G124" s="29" t="s">
        <v>154</v>
      </c>
      <c r="H124" s="29" t="s">
        <v>422</v>
      </c>
      <c r="I124" s="29" t="s">
        <v>65</v>
      </c>
      <c r="J124" s="34" t="s">
        <v>505</v>
      </c>
      <c r="K124" s="133">
        <v>0.465277777777778</v>
      </c>
    </row>
    <row r="125" spans="1:11">
      <c r="A125" s="31">
        <f>VLOOKUP($C125,SKU!$A:$I,3,FALSE)</f>
        <v>10089</v>
      </c>
      <c r="B125" s="31" t="str">
        <f>VLOOKUP($C125,SKU!$A:$I,2,FALSE)</f>
        <v>星火线条小狗</v>
      </c>
      <c r="C125" s="29" t="s">
        <v>327</v>
      </c>
      <c r="D125" s="29"/>
      <c r="E125" s="31">
        <f>D125*VLOOKUP(A125,Nhập入库!A:N,8,FALSE)</f>
        <v>0</v>
      </c>
      <c r="F125" s="29">
        <v>26</v>
      </c>
      <c r="G125" s="29" t="s">
        <v>146</v>
      </c>
      <c r="H125" s="29" t="s">
        <v>90</v>
      </c>
      <c r="I125" s="29" t="s">
        <v>59</v>
      </c>
      <c r="J125" s="34" t="s">
        <v>504</v>
      </c>
      <c r="K125" s="133">
        <v>0.215277777777778</v>
      </c>
    </row>
    <row r="126" spans="1:11">
      <c r="A126" s="31">
        <f>VLOOKUP($C126,SKU!$A:$I,3,FALSE)</f>
        <v>10039</v>
      </c>
      <c r="B126" s="31" t="str">
        <f>VLOOKUP($C126,SKU!$A:$I,2,FALSE)</f>
        <v>非凡航海王第五弹</v>
      </c>
      <c r="C126" s="29" t="s">
        <v>184</v>
      </c>
      <c r="D126" s="29">
        <v>1</v>
      </c>
      <c r="E126" s="31">
        <f>D126*VLOOKUP(A126,Nhập入库!A:N,8,FALSE)</f>
        <v>20</v>
      </c>
      <c r="F126" s="29"/>
      <c r="G126" s="29" t="s">
        <v>162</v>
      </c>
      <c r="H126" s="29" t="s">
        <v>432</v>
      </c>
      <c r="I126" s="29" t="s">
        <v>65</v>
      </c>
      <c r="J126" s="34" t="s">
        <v>505</v>
      </c>
      <c r="K126" s="133">
        <v>0.465277777777778</v>
      </c>
    </row>
    <row r="127" spans="1:11">
      <c r="A127" s="31">
        <f>VLOOKUP($C127,SKU!$A:$I,3,FALSE)</f>
        <v>10001</v>
      </c>
      <c r="B127" s="31" t="str">
        <f>VLOOKUP($C127,SKU!$A:$I,2,FALSE)</f>
        <v>《东株社》宝可梦水晶砖</v>
      </c>
      <c r="C127" s="29" t="s">
        <v>12</v>
      </c>
      <c r="D127" s="29">
        <v>4</v>
      </c>
      <c r="E127" s="31">
        <f>D127*VLOOKUP(A127,Nhập入库!A:N,8,FALSE)</f>
        <v>4</v>
      </c>
      <c r="F127" s="29"/>
      <c r="G127" s="29" t="s">
        <v>146</v>
      </c>
      <c r="H127" s="29" t="s">
        <v>78</v>
      </c>
      <c r="I127" s="29" t="s">
        <v>428</v>
      </c>
      <c r="J127" s="34" t="s">
        <v>505</v>
      </c>
      <c r="K127" s="133">
        <v>0.715277777777778</v>
      </c>
    </row>
    <row r="128" spans="1:11">
      <c r="A128" s="31">
        <f>VLOOKUP($C128,SKU!$A:$I,3,FALSE)</f>
        <v>10064</v>
      </c>
      <c r="B128" s="31" t="str">
        <f>VLOOKUP($C128,SKU!$A:$I,2,FALSE)</f>
        <v>源宇宙崩铁色纸</v>
      </c>
      <c r="C128" s="29" t="s">
        <v>260</v>
      </c>
      <c r="D128" s="29">
        <v>5</v>
      </c>
      <c r="E128" s="31">
        <f>D128*VLOOKUP(A128,Nhập入库!A:N,8,FALSE)</f>
        <v>30</v>
      </c>
      <c r="F128" s="29"/>
      <c r="G128" s="29" t="s">
        <v>426</v>
      </c>
      <c r="H128" s="29" t="s">
        <v>78</v>
      </c>
      <c r="I128" s="29" t="s">
        <v>428</v>
      </c>
      <c r="J128" s="34" t="s">
        <v>505</v>
      </c>
      <c r="K128" s="133">
        <v>0.715277777777778</v>
      </c>
    </row>
    <row r="129" spans="1:11">
      <c r="A129" s="31">
        <f>VLOOKUP($C129,SKU!$A:$I,3,FALSE)</f>
        <v>10001</v>
      </c>
      <c r="B129" s="31" t="str">
        <f>VLOOKUP($C129,SKU!$A:$I,2,FALSE)</f>
        <v>《东株社》宝可梦水晶砖</v>
      </c>
      <c r="C129" s="29" t="s">
        <v>12</v>
      </c>
      <c r="D129" s="29">
        <v>1</v>
      </c>
      <c r="E129" s="31">
        <f>D129*VLOOKUP(A129,Nhập入库!A:N,8,FALSE)</f>
        <v>1</v>
      </c>
      <c r="F129" s="29"/>
      <c r="G129" s="29" t="s">
        <v>90</v>
      </c>
      <c r="H129" s="29" t="s">
        <v>78</v>
      </c>
      <c r="I129" s="29" t="s">
        <v>428</v>
      </c>
      <c r="J129" s="34" t="s">
        <v>505</v>
      </c>
      <c r="K129" s="133">
        <v>0.715277777777778</v>
      </c>
    </row>
    <row r="130" spans="1:11">
      <c r="A130" s="31">
        <f>VLOOKUP($C130,SKU!$A:$I,3,FALSE)</f>
        <v>10001</v>
      </c>
      <c r="B130" s="31" t="str">
        <f>VLOOKUP($C130,SKU!$A:$I,2,FALSE)</f>
        <v>《东株社》宝可梦水晶砖</v>
      </c>
      <c r="C130" s="29" t="s">
        <v>12</v>
      </c>
      <c r="D130" s="29">
        <v>4</v>
      </c>
      <c r="E130" s="31">
        <f>D130*VLOOKUP(A130,Nhập入库!A:N,8,FALSE)</f>
        <v>4</v>
      </c>
      <c r="F130" s="29"/>
      <c r="G130" s="29" t="s">
        <v>98</v>
      </c>
      <c r="H130" s="29" t="s">
        <v>78</v>
      </c>
      <c r="I130" s="29" t="s">
        <v>428</v>
      </c>
      <c r="J130" s="34" t="s">
        <v>505</v>
      </c>
      <c r="K130" s="133">
        <v>0.715277777777778</v>
      </c>
    </row>
    <row r="131" spans="1:11">
      <c r="A131" s="31">
        <f>VLOOKUP($C131,SKU!$A:$I,3,FALSE)</f>
        <v>10001</v>
      </c>
      <c r="B131" s="31" t="str">
        <f>VLOOKUP($C131,SKU!$A:$I,2,FALSE)</f>
        <v>《东株社》宝可梦水晶砖</v>
      </c>
      <c r="C131" s="29" t="s">
        <v>12</v>
      </c>
      <c r="D131" s="29">
        <v>2</v>
      </c>
      <c r="E131" s="31">
        <f>D131*VLOOKUP(A131,Nhập入库!A:N,8,FALSE)</f>
        <v>2</v>
      </c>
      <c r="F131" s="29"/>
      <c r="G131" s="29" t="s">
        <v>429</v>
      </c>
      <c r="H131" s="29" t="s">
        <v>78</v>
      </c>
      <c r="I131" s="29" t="s">
        <v>428</v>
      </c>
      <c r="J131" s="34" t="s">
        <v>505</v>
      </c>
      <c r="K131" s="133">
        <v>0.715277777777778</v>
      </c>
    </row>
    <row r="132" spans="1:11">
      <c r="A132" s="31">
        <f>VLOOKUP($C132,SKU!$A:$I,3,FALSE)</f>
        <v>10001</v>
      </c>
      <c r="B132" s="31" t="str">
        <f>VLOOKUP($C132,SKU!$A:$I,2,FALSE)</f>
        <v>《东株社》宝可梦水晶砖</v>
      </c>
      <c r="C132" s="29" t="s">
        <v>12</v>
      </c>
      <c r="D132" s="29">
        <v>2</v>
      </c>
      <c r="E132" s="31">
        <f>D132*VLOOKUP(A132,Nhập入库!A:N,8,FALSE)</f>
        <v>2</v>
      </c>
      <c r="F132" s="29"/>
      <c r="G132" s="29" t="s">
        <v>430</v>
      </c>
      <c r="H132" s="29" t="s">
        <v>78</v>
      </c>
      <c r="I132" s="29" t="s">
        <v>428</v>
      </c>
      <c r="J132" s="34" t="s">
        <v>505</v>
      </c>
      <c r="K132" s="133">
        <v>0.715277777777778</v>
      </c>
    </row>
    <row r="133" spans="1:11">
      <c r="A133" s="31">
        <f>VLOOKUP($C133,SKU!$A:$I,3,FALSE)</f>
        <v>10001</v>
      </c>
      <c r="B133" s="31" t="str">
        <f>VLOOKUP($C133,SKU!$A:$I,2,FALSE)</f>
        <v>《东株社》宝可梦水晶砖</v>
      </c>
      <c r="C133" s="29" t="s">
        <v>12</v>
      </c>
      <c r="D133" s="29">
        <v>1</v>
      </c>
      <c r="E133" s="31">
        <f>D133*VLOOKUP(A133,Nhập入库!A:N,8,FALSE)</f>
        <v>1</v>
      </c>
      <c r="F133" s="29"/>
      <c r="G133" s="29" t="s">
        <v>426</v>
      </c>
      <c r="H133" s="29" t="s">
        <v>78</v>
      </c>
      <c r="I133" s="29" t="s">
        <v>428</v>
      </c>
      <c r="J133" s="34" t="s">
        <v>505</v>
      </c>
      <c r="K133" s="133">
        <v>0.715277777777778</v>
      </c>
    </row>
    <row r="134" spans="1:11">
      <c r="A134" s="31">
        <f>VLOOKUP($C134,SKU!$A:$I,3,FALSE)</f>
        <v>10089</v>
      </c>
      <c r="B134" s="31" t="str">
        <f>VLOOKUP($C134,SKU!$A:$I,2,FALSE)</f>
        <v>星火线条小狗</v>
      </c>
      <c r="C134" s="29" t="s">
        <v>327</v>
      </c>
      <c r="D134" s="29">
        <v>1</v>
      </c>
      <c r="E134" s="31">
        <f>D134*VLOOKUP(A134,Nhập入库!A:N,8,FALSE)</f>
        <v>14</v>
      </c>
      <c r="F134" s="29"/>
      <c r="G134" s="29" t="s">
        <v>98</v>
      </c>
      <c r="H134" s="29" t="s">
        <v>429</v>
      </c>
      <c r="I134" s="29" t="s">
        <v>428</v>
      </c>
      <c r="J134" s="34" t="s">
        <v>505</v>
      </c>
      <c r="K134" s="133">
        <v>0.965277777777778</v>
      </c>
    </row>
    <row r="135" spans="1:11">
      <c r="A135" s="31">
        <f>VLOOKUP($C135,SKU!$A:$I,3,FALSE)</f>
        <v>10078</v>
      </c>
      <c r="B135" s="31" t="str">
        <f>VLOOKUP($C135,SKU!$A:$I,2,FALSE)</f>
        <v>摩斯社×名侦探柯南-摩斯密码系列评级邮票</v>
      </c>
      <c r="C135" s="29" t="s">
        <v>299</v>
      </c>
      <c r="D135" s="29"/>
      <c r="E135" s="31">
        <f>D135*VLOOKUP(A135,Nhập入库!A:N,8,FALSE)</f>
        <v>0</v>
      </c>
      <c r="F135" s="29">
        <v>1</v>
      </c>
      <c r="G135" s="29" t="s">
        <v>90</v>
      </c>
      <c r="H135" s="29" t="s">
        <v>158</v>
      </c>
      <c r="I135" s="29" t="s">
        <v>59</v>
      </c>
      <c r="J135" s="34" t="s">
        <v>506</v>
      </c>
      <c r="K135" s="133">
        <v>0.255555555555556</v>
      </c>
    </row>
    <row r="136" spans="1:11">
      <c r="A136" s="31">
        <f>VLOOKUP($C136,SKU!$A:$I,3,FALSE)</f>
        <v>10089</v>
      </c>
      <c r="B136" s="31" t="str">
        <f>VLOOKUP($C136,SKU!$A:$I,2,FALSE)</f>
        <v>星火线条小狗</v>
      </c>
      <c r="C136" s="29" t="s">
        <v>327</v>
      </c>
      <c r="D136" s="29"/>
      <c r="E136" s="31">
        <f>D136*VLOOKUP(A136,Nhập入库!A:N,8,FALSE)</f>
        <v>0</v>
      </c>
      <c r="F136" s="29">
        <v>30</v>
      </c>
      <c r="G136" s="29" t="s">
        <v>170</v>
      </c>
      <c r="H136" s="29" t="s">
        <v>130</v>
      </c>
      <c r="I136" s="29" t="s">
        <v>424</v>
      </c>
      <c r="J136" s="34" t="s">
        <v>505</v>
      </c>
      <c r="K136" s="133">
        <v>0.555555555555556</v>
      </c>
    </row>
    <row r="137" spans="1:11">
      <c r="A137" s="31">
        <f>VLOOKUP($C137,SKU!$A:$I,3,FALSE)</f>
        <v>10042</v>
      </c>
      <c r="B137" s="31" t="str">
        <f>VLOOKUP($C137,SKU!$A:$I,2,FALSE)</f>
        <v>黄油小熊系列收藏卡第二弹 小熊的观察日记</v>
      </c>
      <c r="C137" s="29" t="s">
        <v>196</v>
      </c>
      <c r="D137" s="29">
        <v>1</v>
      </c>
      <c r="E137" s="31">
        <f>D137*VLOOKUP(A137,Nhập入库!A:N,8,FALSE)</f>
        <v>16</v>
      </c>
      <c r="F137" s="29"/>
      <c r="G137" s="29" t="s">
        <v>429</v>
      </c>
      <c r="H137" s="29" t="s">
        <v>166</v>
      </c>
      <c r="I137" s="29" t="s">
        <v>424</v>
      </c>
      <c r="J137" s="34" t="s">
        <v>505</v>
      </c>
      <c r="K137" s="133">
        <v>0.445833333333333</v>
      </c>
    </row>
    <row r="138" spans="1:11">
      <c r="A138" s="31">
        <f>VLOOKUP($C138,SKU!$A:$I,3,FALSE)</f>
        <v>10001</v>
      </c>
      <c r="B138" s="31" t="str">
        <f>VLOOKUP($C138,SKU!$A:$I,2,FALSE)</f>
        <v>《东株社》宝可梦水晶砖</v>
      </c>
      <c r="C138" s="29" t="s">
        <v>12</v>
      </c>
      <c r="D138" s="29"/>
      <c r="E138" s="31">
        <f>D138*VLOOKUP(A138,Nhập入库!A:N,8,FALSE)</f>
        <v>0</v>
      </c>
      <c r="F138" s="29">
        <v>5</v>
      </c>
      <c r="G138" s="29" t="s">
        <v>33</v>
      </c>
      <c r="H138" s="29" t="s">
        <v>98</v>
      </c>
      <c r="I138" s="29" t="s">
        <v>424</v>
      </c>
      <c r="J138" s="34" t="s">
        <v>505</v>
      </c>
      <c r="K138" s="133">
        <v>0.503472222222222</v>
      </c>
    </row>
    <row r="139" spans="1:11">
      <c r="A139" s="31">
        <f>VLOOKUP($C139,SKU!$A:$I,3,FALSE)</f>
        <v>10076</v>
      </c>
      <c r="B139" s="31" t="str">
        <f>VLOOKUP($C139,SKU!$A:$I,2,FALSE)</f>
        <v>【Aikaho】鬼灭之刃第四弹 集结 【DS-04 Muster】</v>
      </c>
      <c r="C139" s="29" t="s">
        <v>293</v>
      </c>
      <c r="D139" s="29"/>
      <c r="E139" s="31">
        <f>D139*VLOOKUP(A139,Nhập入库!A:N,8,FALSE)</f>
        <v>0</v>
      </c>
      <c r="F139" s="29">
        <v>10</v>
      </c>
      <c r="G139" s="29" t="s">
        <v>166</v>
      </c>
      <c r="H139" s="29" t="s">
        <v>98</v>
      </c>
      <c r="I139" s="29" t="s">
        <v>424</v>
      </c>
      <c r="J139" s="34" t="s">
        <v>505</v>
      </c>
      <c r="K139" s="133">
        <v>0.597222222222222</v>
      </c>
    </row>
    <row r="140" spans="1:11">
      <c r="A140" s="31">
        <f>VLOOKUP($C140,SKU!$A:$I,3,FALSE)</f>
        <v>10066</v>
      </c>
      <c r="B140" s="31" t="str">
        <f>VLOOKUP($C140,SKU!$A:$I,2,FALSE)</f>
        <v>卡游柯南揭秘包第2弹</v>
      </c>
      <c r="C140" s="29" t="s">
        <v>266</v>
      </c>
      <c r="D140" s="29"/>
      <c r="E140" s="31">
        <f>D140*VLOOKUP(A140,Nhập入库!A:N,8,FALSE)</f>
        <v>0</v>
      </c>
      <c r="F140" s="29">
        <v>30</v>
      </c>
      <c r="G140" s="29" t="s">
        <v>146</v>
      </c>
      <c r="H140" s="29" t="s">
        <v>98</v>
      </c>
      <c r="I140" s="29" t="s">
        <v>424</v>
      </c>
      <c r="J140" s="34" t="s">
        <v>505</v>
      </c>
      <c r="K140" s="133">
        <v>0.597222222222222</v>
      </c>
    </row>
    <row r="141" spans="1:11">
      <c r="A141" s="31">
        <f>VLOOKUP($C141,SKU!$A:$I,3,FALSE)</f>
        <v>10018</v>
      </c>
      <c r="B141" s="31" t="str">
        <f>VLOOKUP($C141,SKU!$A:$I,2,FALSE)</f>
        <v>圣月美少女战士星尘协奏曲长卡</v>
      </c>
      <c r="C141" s="29" t="s">
        <v>99</v>
      </c>
      <c r="D141" s="29">
        <v>2</v>
      </c>
      <c r="E141" s="31">
        <f>D141*VLOOKUP(A141,Nhập入库!A:N,8,FALSE)</f>
        <v>26</v>
      </c>
      <c r="F141" s="29"/>
      <c r="G141" s="29" t="s">
        <v>477</v>
      </c>
      <c r="H141" s="29" t="s">
        <v>130</v>
      </c>
      <c r="I141" s="29" t="s">
        <v>424</v>
      </c>
      <c r="J141" s="34" t="s">
        <v>505</v>
      </c>
      <c r="K141" s="133">
        <v>0.597222222222222</v>
      </c>
    </row>
    <row r="142" spans="1:11">
      <c r="A142" s="31">
        <f>VLOOKUP($C142,SKU!$A:$I,3,FALSE)</f>
        <v>10018</v>
      </c>
      <c r="B142" s="31" t="str">
        <f>VLOOKUP($C142,SKU!$A:$I,2,FALSE)</f>
        <v>圣月美少女战士星尘协奏曲长卡</v>
      </c>
      <c r="C142" s="29" t="s">
        <v>99</v>
      </c>
      <c r="D142" s="29">
        <v>2</v>
      </c>
      <c r="E142" s="31">
        <f>D142*VLOOKUP(A142,Nhập入库!A:N,8,FALSE)</f>
        <v>26</v>
      </c>
      <c r="F142" s="29"/>
      <c r="G142" s="29" t="s">
        <v>158</v>
      </c>
      <c r="H142" s="29" t="s">
        <v>130</v>
      </c>
      <c r="I142" s="29" t="s">
        <v>424</v>
      </c>
      <c r="J142" s="34" t="s">
        <v>505</v>
      </c>
      <c r="K142" s="133">
        <v>0.597222222222222</v>
      </c>
    </row>
    <row r="143" spans="1:11">
      <c r="A143" s="31">
        <f>VLOOKUP($C143,SKU!$A:$I,3,FALSE)</f>
        <v>10018</v>
      </c>
      <c r="B143" s="31" t="str">
        <f>VLOOKUP($C143,SKU!$A:$I,2,FALSE)</f>
        <v>圣月美少女战士星尘协奏曲长卡</v>
      </c>
      <c r="C143" s="29" t="s">
        <v>99</v>
      </c>
      <c r="D143" s="29">
        <v>3</v>
      </c>
      <c r="E143" s="31">
        <f>D143*VLOOKUP(A143,Nhập入库!A:N,8,FALSE)</f>
        <v>39</v>
      </c>
      <c r="F143" s="29"/>
      <c r="G143" s="29" t="s">
        <v>78</v>
      </c>
      <c r="H143" s="29" t="s">
        <v>130</v>
      </c>
      <c r="I143" s="29" t="s">
        <v>424</v>
      </c>
      <c r="J143" s="34" t="s">
        <v>505</v>
      </c>
      <c r="K143" s="133">
        <v>0.597222222222222</v>
      </c>
    </row>
    <row r="144" spans="1:11">
      <c r="A144" s="31">
        <f>VLOOKUP($C144,SKU!$A:$I,3,FALSE)</f>
        <v>10089</v>
      </c>
      <c r="B144" s="31" t="str">
        <f>VLOOKUP($C144,SKU!$A:$I,2,FALSE)</f>
        <v>星火线条小狗</v>
      </c>
      <c r="C144" s="29" t="s">
        <v>327</v>
      </c>
      <c r="D144" s="29"/>
      <c r="E144" s="31">
        <f>D144*VLOOKUP(A144,Nhập入库!A:N,8,FALSE)</f>
        <v>0</v>
      </c>
      <c r="F144" s="29">
        <v>21</v>
      </c>
      <c r="G144" s="29" t="s">
        <v>130</v>
      </c>
      <c r="H144" s="29" t="s">
        <v>98</v>
      </c>
      <c r="I144" s="29" t="s">
        <v>424</v>
      </c>
      <c r="J144" s="34" t="s">
        <v>505</v>
      </c>
      <c r="K144" s="133">
        <v>0.597222222222222</v>
      </c>
    </row>
    <row r="145" spans="1:11">
      <c r="A145" s="31">
        <f>VLOOKUP($C145,SKU!$A:$I,3,FALSE)</f>
        <v>10076</v>
      </c>
      <c r="B145" s="31" t="str">
        <f>VLOOKUP($C145,SKU!$A:$I,2,FALSE)</f>
        <v>【Aikaho】鬼灭之刃第四弹 集结 【DS-04 Muster】</v>
      </c>
      <c r="C145" s="29" t="s">
        <v>293</v>
      </c>
      <c r="D145" s="29"/>
      <c r="E145" s="31">
        <f>D145*VLOOKUP(A145,Nhập入库!A:N,8,FALSE)</f>
        <v>0</v>
      </c>
      <c r="F145" s="29">
        <v>25</v>
      </c>
      <c r="G145" s="29" t="s">
        <v>146</v>
      </c>
      <c r="H145" s="29" t="s">
        <v>33</v>
      </c>
      <c r="I145" s="29" t="s">
        <v>424</v>
      </c>
      <c r="J145" s="34" t="s">
        <v>505</v>
      </c>
      <c r="K145" s="133">
        <v>0.597222222222222</v>
      </c>
    </row>
    <row r="146" spans="1:11">
      <c r="A146" s="31">
        <f>VLOOKUP($C146,SKU!$A:$I,3,FALSE)</f>
        <v>10076</v>
      </c>
      <c r="B146" s="31" t="str">
        <f>VLOOKUP($C146,SKU!$A:$I,2,FALSE)</f>
        <v>【Aikaho】鬼灭之刃第四弹 集结 【DS-04 Muster】</v>
      </c>
      <c r="C146" s="29" t="s">
        <v>293</v>
      </c>
      <c r="D146" s="29"/>
      <c r="E146" s="31">
        <f>D146*VLOOKUP(A146,Nhập入库!A:N,8,FALSE)</f>
        <v>0</v>
      </c>
      <c r="F146" s="29">
        <v>8</v>
      </c>
      <c r="G146" s="29" t="s">
        <v>430</v>
      </c>
      <c r="H146" s="29" t="s">
        <v>162</v>
      </c>
      <c r="I146" s="29" t="s">
        <v>65</v>
      </c>
      <c r="J146" s="34" t="s">
        <v>506</v>
      </c>
      <c r="K146" s="133">
        <v>0.625</v>
      </c>
    </row>
    <row r="147" spans="1:11">
      <c r="A147" s="31">
        <f>VLOOKUP($C147,SKU!$A:$I,3,FALSE)</f>
        <v>10039</v>
      </c>
      <c r="B147" s="31" t="str">
        <f>VLOOKUP($C147,SKU!$A:$I,2,FALSE)</f>
        <v>非凡航海王第五弹</v>
      </c>
      <c r="C147" s="29" t="s">
        <v>184</v>
      </c>
      <c r="D147" s="29">
        <v>10</v>
      </c>
      <c r="E147" s="31">
        <f>D147*VLOOKUP(A147,Nhập入库!A:N,8,FALSE)</f>
        <v>200</v>
      </c>
      <c r="F147" s="29"/>
      <c r="G147" s="29" t="s">
        <v>166</v>
      </c>
      <c r="H147" s="29" t="s">
        <v>98</v>
      </c>
      <c r="I147" s="29" t="s">
        <v>424</v>
      </c>
      <c r="J147" s="34" t="s">
        <v>506</v>
      </c>
      <c r="K147" s="133">
        <v>0.558333333333333</v>
      </c>
    </row>
    <row r="148" spans="1:11">
      <c r="A148" s="31">
        <f>VLOOKUP($C148,SKU!$A:$I,3,FALSE)</f>
        <v>10064</v>
      </c>
      <c r="B148" s="31" t="str">
        <f>VLOOKUP($C148,SKU!$A:$I,2,FALSE)</f>
        <v>源宇宙崩铁色纸</v>
      </c>
      <c r="C148" s="29" t="s">
        <v>260</v>
      </c>
      <c r="D148" s="29"/>
      <c r="E148" s="31">
        <f>D148*VLOOKUP(A148,Nhập入库!A:N,8,FALSE)</f>
        <v>0</v>
      </c>
      <c r="F148" s="29">
        <v>5</v>
      </c>
      <c r="G148" s="29" t="s">
        <v>78</v>
      </c>
      <c r="H148" s="29" t="s">
        <v>98</v>
      </c>
      <c r="I148" s="29" t="s">
        <v>424</v>
      </c>
      <c r="J148" s="34" t="s">
        <v>506</v>
      </c>
      <c r="K148" s="133">
        <v>0.558333333333333</v>
      </c>
    </row>
    <row r="149" spans="1:11">
      <c r="A149" s="31">
        <f>VLOOKUP($C149,SKU!$A:$I,3,FALSE)</f>
        <v>10076</v>
      </c>
      <c r="B149" s="31" t="str">
        <f>VLOOKUP($C149,SKU!$A:$I,2,FALSE)</f>
        <v>【Aikaho】鬼灭之刃第四弹 集结 【DS-04 Muster】</v>
      </c>
      <c r="C149" s="29" t="s">
        <v>293</v>
      </c>
      <c r="D149" s="29">
        <v>2</v>
      </c>
      <c r="E149" s="31">
        <f>D149*VLOOKUP(A149,Nhập入库!A:N,8,FALSE)</f>
        <v>20</v>
      </c>
      <c r="F149" s="29"/>
      <c r="G149" s="29" t="s">
        <v>429</v>
      </c>
      <c r="H149" s="29" t="s">
        <v>33</v>
      </c>
      <c r="I149" s="29" t="s">
        <v>424</v>
      </c>
      <c r="J149" s="34" t="s">
        <v>506</v>
      </c>
      <c r="K149" s="133">
        <v>0.558333333333333</v>
      </c>
    </row>
    <row r="150" spans="1:11">
      <c r="A150" s="31">
        <f>VLOOKUP($C150,SKU!$A:$I,3,FALSE)</f>
        <v>10071</v>
      </c>
      <c r="B150" s="31" t="str">
        <f>VLOOKUP($C150,SKU!$A:$I,2,FALSE)</f>
        <v>咒术回战-术士收藏卡-高专篇</v>
      </c>
      <c r="C150" s="29" t="s">
        <v>280</v>
      </c>
      <c r="D150" s="29"/>
      <c r="E150" s="31">
        <f>D150*VLOOKUP(A150,Nhập入库!A:N,8,FALSE)</f>
        <v>0</v>
      </c>
      <c r="F150" s="29">
        <v>3</v>
      </c>
      <c r="G150" s="29" t="s">
        <v>90</v>
      </c>
      <c r="H150" s="29" t="s">
        <v>98</v>
      </c>
      <c r="I150" s="29" t="s">
        <v>424</v>
      </c>
      <c r="J150" s="34" t="s">
        <v>506</v>
      </c>
      <c r="K150" s="133">
        <v>0.558333333333333</v>
      </c>
    </row>
    <row r="151" spans="1:11">
      <c r="A151" s="31">
        <f>VLOOKUP($C151,SKU!$A:$I,3,FALSE)</f>
        <v>10075</v>
      </c>
      <c r="B151" s="31" t="str">
        <f>VLOOKUP($C151,SKU!$A:$I,2,FALSE)</f>
        <v>《万卡卡文创》鬼灭之刃日轮破晓第一弹</v>
      </c>
      <c r="C151" s="29" t="s">
        <v>290</v>
      </c>
      <c r="D151" s="29"/>
      <c r="E151" s="31">
        <f>D151*VLOOKUP(A151,Nhập入库!A:N,8,FALSE)</f>
        <v>0</v>
      </c>
      <c r="F151" s="29">
        <v>2</v>
      </c>
      <c r="G151" s="29" t="s">
        <v>90</v>
      </c>
      <c r="H151" s="29" t="s">
        <v>98</v>
      </c>
      <c r="I151" s="29" t="s">
        <v>424</v>
      </c>
      <c r="J151" s="34" t="s">
        <v>506</v>
      </c>
      <c r="K151" s="133">
        <v>0.558333333333333</v>
      </c>
    </row>
    <row r="152" spans="1:11">
      <c r="A152" s="31">
        <f>VLOOKUP($C152,SKU!$A:$I,3,FALSE)</f>
        <v>10066</v>
      </c>
      <c r="B152" s="31" t="str">
        <f>VLOOKUP($C152,SKU!$A:$I,2,FALSE)</f>
        <v>卡游柯南揭秘包第2弹</v>
      </c>
      <c r="C152" s="29" t="s">
        <v>266</v>
      </c>
      <c r="D152" s="29"/>
      <c r="E152" s="31">
        <f>D152*VLOOKUP(A152,Nhập入库!A:N,8,FALSE)</f>
        <v>0</v>
      </c>
      <c r="F152" s="29">
        <v>20</v>
      </c>
      <c r="G152" s="29" t="s">
        <v>90</v>
      </c>
      <c r="H152" s="29" t="s">
        <v>98</v>
      </c>
      <c r="I152" s="29" t="s">
        <v>424</v>
      </c>
      <c r="J152" s="34" t="s">
        <v>506</v>
      </c>
      <c r="K152" s="133">
        <v>0.558333333333333</v>
      </c>
    </row>
    <row r="153" spans="1:11">
      <c r="A153" s="31">
        <f>VLOOKUP($C153,SKU!$A:$I,3,FALSE)</f>
        <v>10076</v>
      </c>
      <c r="B153" s="31" t="str">
        <f>VLOOKUP($C153,SKU!$A:$I,2,FALSE)</f>
        <v>【Aikaho】鬼灭之刃第四弹 集结 【DS-04 Muster】</v>
      </c>
      <c r="C153" s="29" t="s">
        <v>293</v>
      </c>
      <c r="D153" s="29">
        <v>1</v>
      </c>
      <c r="E153" s="31">
        <f>D153*VLOOKUP(A153,Nhập入库!A:N,8,FALSE)</f>
        <v>10</v>
      </c>
      <c r="F153" s="29"/>
      <c r="G153" s="29" t="s">
        <v>33</v>
      </c>
      <c r="H153" s="29" t="s">
        <v>98</v>
      </c>
      <c r="I153" s="29" t="s">
        <v>424</v>
      </c>
      <c r="J153" s="34" t="s">
        <v>506</v>
      </c>
      <c r="K153" s="133">
        <v>0.558333333333333</v>
      </c>
    </row>
    <row r="154" spans="1:11">
      <c r="A154" s="31">
        <f>VLOOKUP($C154,SKU!$A:$I,3,FALSE)</f>
        <v>10076</v>
      </c>
      <c r="B154" s="31" t="str">
        <f>VLOOKUP($C154,SKU!$A:$I,2,FALSE)</f>
        <v>【Aikaho】鬼灭之刃第四弹 集结 【DS-04 Muster】</v>
      </c>
      <c r="C154" s="29" t="s">
        <v>293</v>
      </c>
      <c r="D154" s="29">
        <v>2</v>
      </c>
      <c r="E154" s="31">
        <f>D154*VLOOKUP(A154,Nhập入库!A:N,8,FALSE)</f>
        <v>20</v>
      </c>
      <c r="F154" s="29"/>
      <c r="G154" s="29" t="s">
        <v>146</v>
      </c>
      <c r="H154" s="29" t="s">
        <v>430</v>
      </c>
      <c r="I154" s="29" t="s">
        <v>431</v>
      </c>
      <c r="J154" s="34" t="s">
        <v>506</v>
      </c>
      <c r="K154" s="133">
        <v>0.761111111111111</v>
      </c>
    </row>
    <row r="155" spans="1:11">
      <c r="A155" s="31">
        <f>VLOOKUP($C155,SKU!$A:$I,3,FALSE)</f>
        <v>10075</v>
      </c>
      <c r="B155" s="31" t="str">
        <f>VLOOKUP($C155,SKU!$A:$I,2,FALSE)</f>
        <v>《万卡卡文创》鬼灭之刃日轮破晓第一弹</v>
      </c>
      <c r="C155" s="29" t="s">
        <v>290</v>
      </c>
      <c r="D155" s="29">
        <v>2</v>
      </c>
      <c r="E155" s="31">
        <f>D155*VLOOKUP(A155,Nhập入库!A:N,8,FALSE)</f>
        <v>20</v>
      </c>
      <c r="F155" s="29"/>
      <c r="G155" s="29" t="s">
        <v>432</v>
      </c>
      <c r="H155" s="29" t="s">
        <v>430</v>
      </c>
      <c r="I155" s="29" t="s">
        <v>431</v>
      </c>
      <c r="J155" s="34" t="s">
        <v>506</v>
      </c>
      <c r="K155" s="133">
        <v>0.761111111111111</v>
      </c>
    </row>
    <row r="156" spans="1:11">
      <c r="A156" s="31">
        <f>VLOOKUP($C156,SKU!$A:$I,3,FALSE)</f>
        <v>10012</v>
      </c>
      <c r="B156" s="31" t="str">
        <f>VLOOKUP($C156,SKU!$A:$I,2,FALSE)</f>
        <v>卡文化进击的巨人</v>
      </c>
      <c r="C156" s="29" t="s">
        <v>75</v>
      </c>
      <c r="D156" s="29">
        <v>1</v>
      </c>
      <c r="E156" s="31">
        <f>D156*VLOOKUP(A156,Nhập入库!A:N,8,FALSE)</f>
        <v>30</v>
      </c>
      <c r="F156" s="29"/>
      <c r="G156" s="29" t="s">
        <v>429</v>
      </c>
      <c r="H156" s="29" t="s">
        <v>142</v>
      </c>
      <c r="I156" s="29" t="s">
        <v>431</v>
      </c>
      <c r="J156" s="34" t="s">
        <v>506</v>
      </c>
      <c r="K156" s="133">
        <v>0.761111111111111</v>
      </c>
    </row>
    <row r="157" spans="1:11">
      <c r="A157" s="31">
        <f>VLOOKUP($C157,SKU!$A:$I,3,FALSE)</f>
        <v>10082</v>
      </c>
      <c r="B157" s="31" t="str">
        <f>VLOOKUP($C157,SKU!$A:$I,2,FALSE)</f>
        <v>吾羽文创-全亚克力正方形原神色纸</v>
      </c>
      <c r="C157" s="29" t="s">
        <v>310</v>
      </c>
      <c r="D157" s="29">
        <v>5</v>
      </c>
      <c r="E157" s="31">
        <f>D157*VLOOKUP(A157,Nhập入库!A:N,8,FALSE)</f>
        <v>30</v>
      </c>
      <c r="F157" s="29"/>
      <c r="G157" s="29" t="s">
        <v>429</v>
      </c>
      <c r="H157" s="29" t="s">
        <v>78</v>
      </c>
      <c r="I157" s="29" t="s">
        <v>428</v>
      </c>
      <c r="J157" s="34" t="s">
        <v>506</v>
      </c>
      <c r="K157" s="133">
        <v>0.768055555555556</v>
      </c>
    </row>
    <row r="158" spans="1:11">
      <c r="A158" s="31">
        <f>VLOOKUP($C158,SKU!$A:$I,3,FALSE)</f>
        <v>10064</v>
      </c>
      <c r="B158" s="31" t="str">
        <f>VLOOKUP($C158,SKU!$A:$I,2,FALSE)</f>
        <v>源宇宙崩铁色纸</v>
      </c>
      <c r="C158" s="29" t="s">
        <v>260</v>
      </c>
      <c r="D158" s="29"/>
      <c r="E158" s="31">
        <f>D158*VLOOKUP(A158,Nhập入库!A:N,8,FALSE)</f>
        <v>0</v>
      </c>
      <c r="F158" s="29">
        <v>20</v>
      </c>
      <c r="G158" s="29" t="s">
        <v>426</v>
      </c>
      <c r="H158" s="29" t="s">
        <v>429</v>
      </c>
      <c r="I158" s="29" t="s">
        <v>428</v>
      </c>
      <c r="J158" s="34" t="s">
        <v>506</v>
      </c>
      <c r="K158" s="133">
        <v>0.851388888888889</v>
      </c>
    </row>
    <row r="159" spans="1:11">
      <c r="A159" s="31">
        <f>VLOOKUP($C159,SKU!$A:$I,3,FALSE)</f>
        <v>10075</v>
      </c>
      <c r="B159" s="31" t="str">
        <f>VLOOKUP($C159,SKU!$A:$I,2,FALSE)</f>
        <v>《万卡卡文创》鬼灭之刃日轮破晓第一弹</v>
      </c>
      <c r="C159" s="29" t="s">
        <v>290</v>
      </c>
      <c r="D159" s="29"/>
      <c r="E159" s="31"/>
      <c r="F159" s="29">
        <v>15</v>
      </c>
      <c r="G159" s="29" t="s">
        <v>162</v>
      </c>
      <c r="H159" s="29" t="s">
        <v>430</v>
      </c>
      <c r="I159" s="29" t="s">
        <v>431</v>
      </c>
      <c r="J159" s="34" t="s">
        <v>506</v>
      </c>
      <c r="K159" s="133">
        <v>0.916666666666667</v>
      </c>
    </row>
    <row r="160" spans="1:11">
      <c r="A160" s="31">
        <f>VLOOKUP($C160,SKU!$A:$I,3,FALSE)</f>
        <v>10066</v>
      </c>
      <c r="B160" s="31" t="str">
        <f>VLOOKUP($C160,SKU!$A:$I,2,FALSE)</f>
        <v>卡游柯南揭秘包第2弹</v>
      </c>
      <c r="C160" s="29" t="s">
        <v>266</v>
      </c>
      <c r="D160" s="29">
        <v>1</v>
      </c>
      <c r="E160" s="31">
        <f>D160*VLOOKUP(A160,Nhập入库!A:N,8,FALSE)</f>
        <v>36</v>
      </c>
      <c r="F160" s="29"/>
      <c r="G160" s="29" t="s">
        <v>98</v>
      </c>
      <c r="H160" s="29" t="s">
        <v>146</v>
      </c>
      <c r="I160" s="29" t="s">
        <v>428</v>
      </c>
      <c r="J160" s="34" t="s">
        <v>506</v>
      </c>
      <c r="K160" s="133">
        <v>0.934722222222222</v>
      </c>
    </row>
    <row r="161" spans="1:11">
      <c r="A161" s="31">
        <f>VLOOKUP($C161,SKU!$A:$I,3,FALSE)</f>
        <v>10076</v>
      </c>
      <c r="B161" s="31" t="str">
        <f>VLOOKUP($C161,SKU!$A:$I,2,FALSE)</f>
        <v>【Aikaho】鬼灭之刃第四弹 集结 【DS-04 Muster】</v>
      </c>
      <c r="C161" s="29" t="s">
        <v>293</v>
      </c>
      <c r="D161" s="29">
        <v>2</v>
      </c>
      <c r="E161" s="31">
        <f>D161*VLOOKUP(A161,Nhập入库!A:N,8,FALSE)</f>
        <v>20</v>
      </c>
      <c r="F161" s="29"/>
      <c r="G161" s="29" t="s">
        <v>146</v>
      </c>
      <c r="H161" s="29" t="s">
        <v>430</v>
      </c>
      <c r="I161" s="29" t="s">
        <v>431</v>
      </c>
      <c r="J161" s="34" t="s">
        <v>506</v>
      </c>
      <c r="K161" s="133">
        <v>0.955555555555556</v>
      </c>
    </row>
    <row r="162" spans="1:11">
      <c r="A162" s="31">
        <f>VLOOKUP($C162,SKU!$A:$I,3,FALSE)</f>
        <v>10076</v>
      </c>
      <c r="B162" s="31" t="str">
        <f>VLOOKUP($C162,SKU!$A:$I,2,FALSE)</f>
        <v>【Aikaho】鬼灭之刃第四弹 集结 【DS-04 Muster】</v>
      </c>
      <c r="C162" s="29" t="s">
        <v>293</v>
      </c>
      <c r="D162" s="29">
        <v>2</v>
      </c>
      <c r="E162" s="31">
        <f>D162*VLOOKUP(A162,Nhập入库!A:N,8,FALSE)</f>
        <v>20</v>
      </c>
      <c r="F162" s="29"/>
      <c r="G162" s="29" t="s">
        <v>429</v>
      </c>
      <c r="H162" s="29" t="s">
        <v>430</v>
      </c>
      <c r="I162" s="29" t="s">
        <v>431</v>
      </c>
      <c r="J162" s="34" t="s">
        <v>506</v>
      </c>
      <c r="K162" s="133">
        <v>0.955555555555556</v>
      </c>
    </row>
    <row r="163" spans="1:11">
      <c r="A163" s="31">
        <f>VLOOKUP($C163,SKU!$A:$I,3,FALSE)</f>
        <v>10063</v>
      </c>
      <c r="B163" s="31" t="str">
        <f>VLOOKUP($C163,SKU!$A:$I,2,FALSE)</f>
        <v>浮梦集 「童境绮梦」艺术家联名收藏卡牌</v>
      </c>
      <c r="C163" s="29" t="s">
        <v>257</v>
      </c>
      <c r="D163" s="29"/>
      <c r="E163" s="31">
        <f>D163*VLOOKUP(A163,Nhập入库!A:N,8,FALSE)</f>
        <v>0</v>
      </c>
      <c r="F163" s="29">
        <v>50</v>
      </c>
      <c r="G163" s="29" t="s">
        <v>146</v>
      </c>
      <c r="H163" s="29" t="s">
        <v>422</v>
      </c>
      <c r="I163" s="29" t="s">
        <v>65</v>
      </c>
      <c r="J163" s="34" t="s">
        <v>507</v>
      </c>
      <c r="K163" s="133">
        <v>0.398611111111111</v>
      </c>
    </row>
    <row r="164" spans="1:11">
      <c r="A164" s="31">
        <f>VLOOKUP($C164,SKU!$A:$I,3,FALSE)</f>
        <v>10063</v>
      </c>
      <c r="B164" s="31" t="str">
        <f>VLOOKUP($C164,SKU!$A:$I,2,FALSE)</f>
        <v>浮梦集 「童境绮梦」艺术家联名收藏卡牌</v>
      </c>
      <c r="C164" s="29" t="s">
        <v>257</v>
      </c>
      <c r="D164" s="29"/>
      <c r="E164" s="31">
        <f>D164*VLOOKUP(A164,Nhập入库!A:N,8,FALSE)</f>
        <v>0</v>
      </c>
      <c r="F164" s="29">
        <v>9</v>
      </c>
      <c r="G164" s="29" t="s">
        <v>98</v>
      </c>
      <c r="H164" s="29" t="s">
        <v>422</v>
      </c>
      <c r="I164" s="29" t="s">
        <v>65</v>
      </c>
      <c r="J164" s="34" t="s">
        <v>507</v>
      </c>
      <c r="K164" s="133">
        <v>0.398611111111111</v>
      </c>
    </row>
    <row r="165" spans="1:11">
      <c r="A165" s="31">
        <f>VLOOKUP($C165,SKU!$A:$I,3,FALSE)</f>
        <v>10035</v>
      </c>
      <c r="B165" s="31" t="str">
        <f>VLOOKUP($C165,SKU!$A:$I,2,FALSE)</f>
        <v>KK CARD × 新海诚系列第一弹</v>
      </c>
      <c r="C165" s="29" t="s">
        <v>167</v>
      </c>
      <c r="D165" s="29">
        <v>1</v>
      </c>
      <c r="E165" s="31">
        <f>D165*VLOOKUP(A165,Nhập入库!A:N,8,FALSE)</f>
        <v>14</v>
      </c>
      <c r="F165" s="29"/>
      <c r="G165" s="29" t="s">
        <v>33</v>
      </c>
      <c r="H165" s="29" t="s">
        <v>166</v>
      </c>
      <c r="I165" s="29" t="s">
        <v>424</v>
      </c>
      <c r="J165" s="34" t="s">
        <v>507</v>
      </c>
      <c r="K165" s="133">
        <v>0.619444444444444</v>
      </c>
    </row>
    <row r="166" spans="1:11">
      <c r="A166" s="31">
        <f>VLOOKUP($C166,SKU!$A:$I,3,FALSE)</f>
        <v>10076</v>
      </c>
      <c r="B166" s="31" t="str">
        <f>VLOOKUP($C166,SKU!$A:$I,2,FALSE)</f>
        <v>【Aikaho】鬼灭之刃第四弹 集结 【DS-04 Muster】</v>
      </c>
      <c r="C166" s="29" t="s">
        <v>293</v>
      </c>
      <c r="D166" s="29"/>
      <c r="E166" s="31">
        <f>D166*VLOOKUP(A166,Nhập入库!A:N,8,FALSE)</f>
        <v>0</v>
      </c>
      <c r="F166" s="29">
        <v>5</v>
      </c>
      <c r="G166" s="29" t="s">
        <v>430</v>
      </c>
      <c r="H166" s="29" t="s">
        <v>162</v>
      </c>
      <c r="I166" s="29" t="s">
        <v>65</v>
      </c>
      <c r="J166" s="34" t="s">
        <v>507</v>
      </c>
      <c r="K166" s="133">
        <v>0.625</v>
      </c>
    </row>
    <row r="167" spans="1:11">
      <c r="A167" s="31">
        <f>VLOOKUP($C167,SKU!$A:$I,3,FALSE)</f>
        <v>10066</v>
      </c>
      <c r="B167" s="31" t="str">
        <f>VLOOKUP($C167,SKU!$A:$I,2,FALSE)</f>
        <v>卡游柯南揭秘包第2弹</v>
      </c>
      <c r="C167" s="29" t="s">
        <v>266</v>
      </c>
      <c r="D167" s="29"/>
      <c r="E167" s="31">
        <f>D167*VLOOKUP(A167,Nhập入库!A:N,8,FALSE)</f>
        <v>0</v>
      </c>
      <c r="F167" s="29">
        <v>106</v>
      </c>
      <c r="G167" s="29" t="s">
        <v>33</v>
      </c>
      <c r="H167" s="29" t="s">
        <v>146</v>
      </c>
      <c r="I167" s="29" t="s">
        <v>428</v>
      </c>
      <c r="J167" s="34" t="s">
        <v>507</v>
      </c>
      <c r="K167" s="133">
        <v>0.958333333333333</v>
      </c>
    </row>
    <row r="168" spans="1:11">
      <c r="A168" s="31">
        <f>VLOOKUP($C168,SKU!$A:$I,3,FALSE)</f>
        <v>10039</v>
      </c>
      <c r="B168" s="31" t="str">
        <f>VLOOKUP($C168,SKU!$A:$I,2,FALSE)</f>
        <v>非凡航海王第五弹</v>
      </c>
      <c r="C168" s="29" t="s">
        <v>184</v>
      </c>
      <c r="D168" s="29">
        <v>1</v>
      </c>
      <c r="E168" s="31">
        <f>D168*VLOOKUP(A168,Nhập入库!A:N,8,FALSE)</f>
        <v>20</v>
      </c>
      <c r="F168" s="29"/>
      <c r="G168" s="29" t="s">
        <v>90</v>
      </c>
      <c r="H168" s="29" t="s">
        <v>158</v>
      </c>
      <c r="I168" s="29" t="s">
        <v>59</v>
      </c>
      <c r="J168" s="34" t="s">
        <v>508</v>
      </c>
      <c r="K168" s="133">
        <v>0.25</v>
      </c>
    </row>
    <row r="169" spans="1:11">
      <c r="A169" s="31">
        <f>VLOOKUP($C169,SKU!$A:$I,3,FALSE)</f>
        <v>10008</v>
      </c>
      <c r="B169" s="31" t="str">
        <f>VLOOKUP($C169,SKU!$A:$I,2,FALSE)</f>
        <v>XWork美少女战士-璀璨之梦</v>
      </c>
      <c r="C169" s="29" t="s">
        <v>55</v>
      </c>
      <c r="D169" s="29">
        <v>2</v>
      </c>
      <c r="E169" s="31">
        <f>D169*VLOOKUP(A169,Nhập入库!A:N,8,FALSE)</f>
        <v>20</v>
      </c>
      <c r="F169" s="29"/>
      <c r="G169" s="29" t="s">
        <v>146</v>
      </c>
      <c r="H169" s="29" t="s">
        <v>158</v>
      </c>
      <c r="I169" s="29" t="s">
        <v>59</v>
      </c>
      <c r="J169" s="34" t="s">
        <v>507</v>
      </c>
      <c r="K169" s="133">
        <v>0.25</v>
      </c>
    </row>
    <row r="170" spans="1:11">
      <c r="A170" s="31">
        <f>VLOOKUP($C170,SKU!$A:$I,3,FALSE)</f>
        <v>10042</v>
      </c>
      <c r="B170" s="31" t="str">
        <f>VLOOKUP($C170,SKU!$A:$I,2,FALSE)</f>
        <v>黄油小熊系列收藏卡第二弹 小熊的观察日记</v>
      </c>
      <c r="C170" s="29" t="s">
        <v>196</v>
      </c>
      <c r="D170" s="29">
        <v>2</v>
      </c>
      <c r="E170" s="31">
        <f>D170*VLOOKUP(A170,Nhập入库!A:N,8,FALSE)</f>
        <v>32</v>
      </c>
      <c r="F170" s="29"/>
      <c r="G170" s="29" t="s">
        <v>154</v>
      </c>
      <c r="H170" s="29" t="s">
        <v>422</v>
      </c>
      <c r="I170" s="29" t="s">
        <v>65</v>
      </c>
      <c r="J170" s="34" t="s">
        <v>508</v>
      </c>
      <c r="K170" s="133">
        <v>0.608333333333333</v>
      </c>
    </row>
    <row r="171" spans="1:11">
      <c r="A171" s="31">
        <f>VLOOKUP($C171,SKU!$A:$I,3,FALSE)</f>
        <v>10082</v>
      </c>
      <c r="B171" s="31" t="str">
        <f>VLOOKUP($C171,SKU!$A:$I,2,FALSE)</f>
        <v>吾羽文创-全亚克力正方形原神色纸</v>
      </c>
      <c r="C171" s="29" t="s">
        <v>310</v>
      </c>
      <c r="D171" s="29"/>
      <c r="E171" s="31">
        <f>D171*VLOOKUP(A171,Nhập入库!A:N,8,FALSE)</f>
        <v>0</v>
      </c>
      <c r="F171" s="29">
        <v>28</v>
      </c>
      <c r="G171" s="29" t="s">
        <v>78</v>
      </c>
      <c r="H171" s="29" t="s">
        <v>429</v>
      </c>
      <c r="I171" s="29" t="s">
        <v>428</v>
      </c>
      <c r="J171" s="34" t="s">
        <v>508</v>
      </c>
      <c r="K171" s="133">
        <v>0.816666666666667</v>
      </c>
    </row>
    <row r="172" spans="1:11">
      <c r="A172" s="31">
        <f>VLOOKUP($C172,SKU!$A:$I,3,FALSE)</f>
        <v>10075</v>
      </c>
      <c r="B172" s="31" t="str">
        <f>VLOOKUP($C172,SKU!$A:$I,2,FALSE)</f>
        <v>《万卡卡文创》鬼灭之刃日轮破晓第一弹</v>
      </c>
      <c r="C172" s="29" t="s">
        <v>290</v>
      </c>
      <c r="D172" s="29"/>
      <c r="E172" s="31">
        <f>D172*VLOOKUP(A172,Nhập入库!A:N,8,FALSE)</f>
        <v>0</v>
      </c>
      <c r="F172" s="29">
        <v>5</v>
      </c>
      <c r="G172" s="29" t="s">
        <v>130</v>
      </c>
      <c r="H172" s="29" t="s">
        <v>430</v>
      </c>
      <c r="I172" s="29" t="s">
        <v>431</v>
      </c>
      <c r="J172" s="34" t="s">
        <v>508</v>
      </c>
      <c r="K172" s="133">
        <v>0.840277777777778</v>
      </c>
    </row>
    <row r="173" spans="1:11">
      <c r="A173" s="31">
        <f>VLOOKUP($C173,SKU!$A:$I,3,FALSE)</f>
        <v>10075</v>
      </c>
      <c r="B173" s="31" t="str">
        <f>VLOOKUP($C173,SKU!$A:$I,2,FALSE)</f>
        <v>《万卡卡文创》鬼灭之刃日轮破晓第一弹</v>
      </c>
      <c r="C173" s="29" t="s">
        <v>290</v>
      </c>
      <c r="D173" s="29"/>
      <c r="E173" s="31">
        <f>D173*VLOOKUP(A173,Nhập入库!A:N,8,FALSE)</f>
        <v>0</v>
      </c>
      <c r="F173" s="29">
        <v>10</v>
      </c>
      <c r="G173" s="29" t="s">
        <v>33</v>
      </c>
      <c r="H173" s="29" t="s">
        <v>430</v>
      </c>
      <c r="I173" s="29" t="s">
        <v>431</v>
      </c>
      <c r="J173" s="34" t="s">
        <v>508</v>
      </c>
      <c r="K173" s="133">
        <v>0.840277777777778</v>
      </c>
    </row>
    <row r="174" spans="1:11">
      <c r="A174" s="31">
        <f>VLOOKUP($C174,SKU!$A:$I,3,FALSE)</f>
        <v>10075</v>
      </c>
      <c r="B174" s="31" t="str">
        <f>VLOOKUP($C174,SKU!$A:$I,2,FALSE)</f>
        <v>《万卡卡文创》鬼灭之刃日轮破晓第一弹</v>
      </c>
      <c r="C174" s="29" t="s">
        <v>290</v>
      </c>
      <c r="D174" s="29"/>
      <c r="E174" s="31">
        <f>D174*VLOOKUP(A174,Nhập入库!A:N,8,FALSE)</f>
        <v>0</v>
      </c>
      <c r="F174" s="29">
        <v>8</v>
      </c>
      <c r="G174" s="29" t="s">
        <v>429</v>
      </c>
      <c r="H174" s="29" t="s">
        <v>430</v>
      </c>
      <c r="I174" s="29" t="s">
        <v>431</v>
      </c>
      <c r="J174" s="34" t="s">
        <v>508</v>
      </c>
      <c r="K174" s="133">
        <v>0.840277777777778</v>
      </c>
    </row>
    <row r="175" spans="1:11">
      <c r="A175" s="31">
        <f>VLOOKUP($C175,SKU!$A:$I,3,FALSE)</f>
        <v>10076</v>
      </c>
      <c r="B175" s="31" t="str">
        <f>VLOOKUP($C175,SKU!$A:$I,2,FALSE)</f>
        <v>【Aikaho】鬼灭之刃第四弹 集结 【DS-04 Muster】</v>
      </c>
      <c r="C175" s="29" t="s">
        <v>293</v>
      </c>
      <c r="D175" s="29"/>
      <c r="E175" s="31">
        <f>D175*VLOOKUP(A175,Nhập入库!A:N,8,FALSE)</f>
        <v>0</v>
      </c>
      <c r="F175" s="29">
        <v>41</v>
      </c>
      <c r="G175" s="29" t="s">
        <v>429</v>
      </c>
      <c r="H175" s="29" t="s">
        <v>430</v>
      </c>
      <c r="I175" s="29" t="s">
        <v>431</v>
      </c>
      <c r="J175" s="34" t="s">
        <v>508</v>
      </c>
      <c r="K175" s="133">
        <v>0.95625</v>
      </c>
    </row>
    <row r="176" spans="1:11">
      <c r="A176" s="31">
        <f>VLOOKUP($C176,SKU!$A:$I,3,FALSE)</f>
        <v>10039</v>
      </c>
      <c r="B176" s="31" t="str">
        <f>VLOOKUP($C176,SKU!$A:$I,2,FALSE)</f>
        <v>非凡航海王第五弹</v>
      </c>
      <c r="C176" s="29" t="s">
        <v>184</v>
      </c>
      <c r="D176" s="29">
        <v>3</v>
      </c>
      <c r="E176" s="31">
        <f>D176*VLOOKUP(A176,Nhập入库!A:N,8,FALSE)</f>
        <v>60</v>
      </c>
      <c r="F176" s="29"/>
      <c r="G176" s="29" t="s">
        <v>33</v>
      </c>
      <c r="H176" s="29" t="s">
        <v>158</v>
      </c>
      <c r="I176" s="29" t="s">
        <v>59</v>
      </c>
      <c r="J176" s="34" t="s">
        <v>509</v>
      </c>
      <c r="K176" s="133">
        <v>0.229861111111111</v>
      </c>
    </row>
    <row r="177" spans="1:11">
      <c r="A177" s="31">
        <f>VLOOKUP($C177,SKU!$A:$I,3,FALSE)</f>
        <v>10076</v>
      </c>
      <c r="B177" s="31" t="str">
        <f>VLOOKUP($C177,SKU!$A:$I,2,FALSE)</f>
        <v>【Aikaho】鬼灭之刃第四弹 集结 【DS-04 Muster】</v>
      </c>
      <c r="C177" s="29" t="s">
        <v>293</v>
      </c>
      <c r="D177" s="29"/>
      <c r="E177" s="31">
        <f>D177*VLOOKUP(A177,Nhập入库!A:N,8,FALSE)</f>
        <v>0</v>
      </c>
      <c r="F177" s="29">
        <v>12</v>
      </c>
      <c r="G177" s="29" t="s">
        <v>33</v>
      </c>
      <c r="H177" s="29" t="s">
        <v>98</v>
      </c>
      <c r="I177" s="29" t="s">
        <v>424</v>
      </c>
      <c r="J177" s="34" t="s">
        <v>509</v>
      </c>
      <c r="K177" s="133">
        <v>0.534027777777778</v>
      </c>
    </row>
    <row r="178" spans="1:11">
      <c r="A178" s="31">
        <f>VLOOKUP($C178,SKU!$A:$I,3,FALSE)</f>
        <v>10071</v>
      </c>
      <c r="B178" s="31" t="str">
        <f>VLOOKUP($C178,SKU!$A:$I,2,FALSE)</f>
        <v>咒术回战-术士收藏卡-高专篇</v>
      </c>
      <c r="C178" s="29" t="s">
        <v>280</v>
      </c>
      <c r="D178" s="29"/>
      <c r="E178" s="31">
        <f>D178*VLOOKUP(A178,Nhập入库!A:N,8,FALSE)</f>
        <v>0</v>
      </c>
      <c r="F178" s="29">
        <v>3</v>
      </c>
      <c r="G178" s="29" t="s">
        <v>146</v>
      </c>
      <c r="H178" s="29" t="s">
        <v>98</v>
      </c>
      <c r="I178" s="29" t="s">
        <v>424</v>
      </c>
      <c r="J178" s="34" t="s">
        <v>509</v>
      </c>
      <c r="K178" s="133">
        <v>0.600694444444444</v>
      </c>
    </row>
    <row r="179" spans="1:11">
      <c r="A179" s="31">
        <f>VLOOKUP($C179,SKU!$A:$I,3,FALSE)</f>
        <v>10071</v>
      </c>
      <c r="B179" s="31" t="str">
        <f>VLOOKUP($C179,SKU!$A:$I,2,FALSE)</f>
        <v>咒术回战-术士收藏卡-高专篇</v>
      </c>
      <c r="C179" s="29" t="s">
        <v>280</v>
      </c>
      <c r="D179" s="29"/>
      <c r="E179" s="31">
        <f>D179*VLOOKUP(A179,Nhập入库!A:N,8,FALSE)</f>
        <v>0</v>
      </c>
      <c r="F179" s="29">
        <v>48</v>
      </c>
      <c r="G179" s="29" t="s">
        <v>166</v>
      </c>
      <c r="H179" s="29" t="s">
        <v>98</v>
      </c>
      <c r="I179" s="29" t="s">
        <v>424</v>
      </c>
      <c r="J179" s="34" t="s">
        <v>509</v>
      </c>
      <c r="K179" s="133">
        <v>0.600694444444444</v>
      </c>
    </row>
    <row r="180" spans="1:11">
      <c r="A180" s="31">
        <f>VLOOKUP($C180,SKU!$A:$I,3,FALSE)</f>
        <v>10103</v>
      </c>
      <c r="B180" s="31" t="str">
        <f>VLOOKUP($C180,SKU!$A:$I,2,FALSE)</f>
        <v>疯狂动物城白金收藏卡狐兔神探</v>
      </c>
      <c r="C180" s="29" t="s">
        <v>367</v>
      </c>
      <c r="D180" s="29"/>
      <c r="E180" s="31">
        <f>D180*VLOOKUP(A180,Nhập入库!A:N,8,FALSE)</f>
        <v>0</v>
      </c>
      <c r="F180" s="29">
        <v>3</v>
      </c>
      <c r="G180" s="29" t="s">
        <v>433</v>
      </c>
      <c r="H180" s="29" t="s">
        <v>162</v>
      </c>
      <c r="I180" s="29" t="s">
        <v>65</v>
      </c>
      <c r="J180" s="34" t="s">
        <v>509</v>
      </c>
      <c r="K180" s="133">
        <v>0.611805555555556</v>
      </c>
    </row>
    <row r="181" spans="1:11">
      <c r="A181" s="31">
        <f>VLOOKUP($C181,SKU!$A:$I,3,FALSE)</f>
        <v>10087</v>
      </c>
      <c r="B181" s="31" t="str">
        <f>VLOOKUP($C181,SKU!$A:$I,2,FALSE)</f>
        <v>世界杯足球2026</v>
      </c>
      <c r="C181" s="29" t="s">
        <v>322</v>
      </c>
      <c r="D181" s="29"/>
      <c r="E181" s="31">
        <f>D181*VLOOKUP(A181,Nhập入库!A:N,8,FALSE)</f>
        <v>0</v>
      </c>
      <c r="F181" s="29">
        <v>10</v>
      </c>
      <c r="G181" s="29" t="s">
        <v>90</v>
      </c>
      <c r="H181" s="29" t="s">
        <v>158</v>
      </c>
      <c r="I181" s="29" t="s">
        <v>59</v>
      </c>
      <c r="J181" s="34" t="s">
        <v>510</v>
      </c>
      <c r="K181" s="133">
        <v>0.236805555555556</v>
      </c>
    </row>
    <row r="182" spans="1:11">
      <c r="A182" s="31">
        <f>VLOOKUP($C182,SKU!$A:$I,3,FALSE)</f>
        <v>10103</v>
      </c>
      <c r="B182" s="31" t="str">
        <f>VLOOKUP($C182,SKU!$A:$I,2,FALSE)</f>
        <v>疯狂动物城白金收藏卡狐兔神探</v>
      </c>
      <c r="C182" s="29" t="s">
        <v>367</v>
      </c>
      <c r="D182" s="29">
        <v>9</v>
      </c>
      <c r="E182" s="31">
        <f>D182*VLOOKUP(A182,Nhập入库!A:N,8,FALSE)</f>
        <v>180</v>
      </c>
      <c r="F182" s="29"/>
      <c r="G182" s="29" t="s">
        <v>422</v>
      </c>
      <c r="H182" s="29" t="s">
        <v>174</v>
      </c>
      <c r="I182" s="29" t="s">
        <v>70</v>
      </c>
      <c r="J182" s="34" t="s">
        <v>511</v>
      </c>
      <c r="K182" s="133">
        <v>0.425694444444444</v>
      </c>
    </row>
    <row r="183" spans="1:11">
      <c r="A183" s="31">
        <f>VLOOKUP($C183,SKU!$A:$I,3,FALSE)</f>
        <v>10009</v>
      </c>
      <c r="B183" s="31" t="str">
        <f>VLOOKUP($C183,SKU!$A:$I,2,FALSE)</f>
        <v>万画云游三丽鸥家族百变cos收藏卡</v>
      </c>
      <c r="C183" s="29" t="s">
        <v>61</v>
      </c>
      <c r="D183" s="29">
        <v>2</v>
      </c>
      <c r="E183" s="31">
        <f>D183*VLOOKUP(A183,Nhập入库!A:N,8,FALSE)</f>
        <v>20</v>
      </c>
      <c r="F183" s="29"/>
      <c r="G183" s="29" t="s">
        <v>433</v>
      </c>
      <c r="H183" s="29" t="s">
        <v>422</v>
      </c>
      <c r="I183" s="29" t="s">
        <v>65</v>
      </c>
      <c r="J183" s="34" t="s">
        <v>511</v>
      </c>
      <c r="K183" s="133">
        <v>0.604166666666667</v>
      </c>
    </row>
    <row r="184" spans="1:11">
      <c r="A184" s="31">
        <f>VLOOKUP($C184,SKU!$A:$I,3,FALSE)</f>
        <v>10100</v>
      </c>
      <c r="B184" s="31" t="str">
        <f>VLOOKUP($C184,SKU!$A:$I,2,FALSE)</f>
        <v>《意卡文创海贼王》第二弹</v>
      </c>
      <c r="C184" s="29" t="s">
        <v>358</v>
      </c>
      <c r="D184" s="29"/>
      <c r="E184" s="31">
        <f>D184*VLOOKUP(A184,Nhập入库!A:N,8,FALSE)</f>
        <v>0</v>
      </c>
      <c r="F184" s="29">
        <v>19</v>
      </c>
      <c r="G184" s="29" t="s">
        <v>90</v>
      </c>
      <c r="H184" s="29" t="s">
        <v>33</v>
      </c>
      <c r="I184" s="29" t="s">
        <v>424</v>
      </c>
      <c r="J184" s="34" t="s">
        <v>511</v>
      </c>
      <c r="K184" s="133">
        <v>0.577083333333333</v>
      </c>
    </row>
    <row r="185" spans="1:11">
      <c r="A185" s="31">
        <f>VLOOKUP($C185,SKU!$A:$I,3,FALSE)</f>
        <v>10012</v>
      </c>
      <c r="B185" s="31" t="str">
        <f>VLOOKUP($C185,SKU!$A:$I,2,FALSE)</f>
        <v>卡文化进击的巨人</v>
      </c>
      <c r="C185" s="29" t="s">
        <v>75</v>
      </c>
      <c r="D185" s="29"/>
      <c r="E185" s="31">
        <f>D185*VLOOKUP(A185,Nhập入库!A:N,8,FALSE)</f>
        <v>0</v>
      </c>
      <c r="F185" s="29">
        <v>10</v>
      </c>
      <c r="G185" s="29" t="s">
        <v>98</v>
      </c>
      <c r="H185" s="29" t="s">
        <v>33</v>
      </c>
      <c r="I185" s="29" t="s">
        <v>424</v>
      </c>
      <c r="J185" s="34" t="s">
        <v>511</v>
      </c>
      <c r="K185" s="133">
        <v>0.426388888888889</v>
      </c>
    </row>
    <row r="186" spans="1:11">
      <c r="A186" s="31">
        <f>VLOOKUP($C186,SKU!$A:$I,3,FALSE)</f>
        <v>10076</v>
      </c>
      <c r="B186" s="31" t="str">
        <f>VLOOKUP($C186,SKU!$A:$I,2,FALSE)</f>
        <v>【Aikaho】鬼灭之刃第四弹 集结 【DS-04 Muster】</v>
      </c>
      <c r="C186" s="29" t="s">
        <v>293</v>
      </c>
      <c r="D186" s="29"/>
      <c r="E186" s="31">
        <f>D186*VLOOKUP(A186,Nhập入库!A:N,8,FALSE)</f>
        <v>0</v>
      </c>
      <c r="F186" s="29">
        <v>6</v>
      </c>
      <c r="G186" s="29" t="s">
        <v>166</v>
      </c>
      <c r="H186" s="29" t="s">
        <v>98</v>
      </c>
      <c r="I186" s="29" t="s">
        <v>424</v>
      </c>
      <c r="J186" s="34" t="s">
        <v>511</v>
      </c>
      <c r="K186" s="133">
        <v>0.577083333333333</v>
      </c>
    </row>
    <row r="187" spans="1:11">
      <c r="A187" s="31">
        <f>VLOOKUP($C187,SKU!$A:$I,3,FALSE)</f>
        <v>10100</v>
      </c>
      <c r="B187" s="31" t="str">
        <f>VLOOKUP($C187,SKU!$A:$I,2,FALSE)</f>
        <v>《意卡文创海贼王》第二弹</v>
      </c>
      <c r="C187" s="29" t="s">
        <v>358</v>
      </c>
      <c r="D187" s="29">
        <v>1</v>
      </c>
      <c r="E187" s="31">
        <f>D187*VLOOKUP(A187,Nhập入库!A:N,8,FALSE)</f>
        <v>13</v>
      </c>
      <c r="F187" s="29"/>
      <c r="G187" s="29" t="s">
        <v>33</v>
      </c>
      <c r="H187" s="29" t="s">
        <v>98</v>
      </c>
      <c r="I187" s="29" t="s">
        <v>424</v>
      </c>
      <c r="J187" s="34" t="s">
        <v>511</v>
      </c>
      <c r="K187" s="133">
        <v>0.657638888888889</v>
      </c>
    </row>
    <row r="188" spans="1:11">
      <c r="A188" s="31">
        <f>VLOOKUP($C188,SKU!$A:$I,3,FALSE)</f>
        <v>10066</v>
      </c>
      <c r="B188" s="31" t="str">
        <f>VLOOKUP($C188,SKU!$A:$I,2,FALSE)</f>
        <v>卡游柯南揭秘包第2弹</v>
      </c>
      <c r="C188" s="29" t="s">
        <v>266</v>
      </c>
      <c r="D188" s="29">
        <v>1</v>
      </c>
      <c r="E188" s="31">
        <f>D188*VLOOKUP(A188,Nhập入库!A:N,8,FALSE)</f>
        <v>36</v>
      </c>
      <c r="F188" s="29"/>
      <c r="G188" s="29" t="s">
        <v>142</v>
      </c>
      <c r="H188" s="29" t="s">
        <v>162</v>
      </c>
      <c r="I188" s="29" t="s">
        <v>65</v>
      </c>
      <c r="J188" s="34" t="s">
        <v>511</v>
      </c>
      <c r="K188" s="133">
        <v>0.699305555555556</v>
      </c>
    </row>
    <row r="189" spans="1:11">
      <c r="A189" s="31">
        <f>VLOOKUP($C189,SKU!$A:$I,3,FALSE)</f>
        <v>10075</v>
      </c>
      <c r="B189" s="31" t="str">
        <f>VLOOKUP($C189,SKU!$A:$I,2,FALSE)</f>
        <v>《万卡卡文创》鬼灭之刃日轮破晓第一弹</v>
      </c>
      <c r="C189" s="29" t="s">
        <v>290</v>
      </c>
      <c r="D189" s="29"/>
      <c r="E189" s="31">
        <f>D189*VLOOKUP(A189,Nhập入库!A:N,8,FALSE)</f>
        <v>0</v>
      </c>
      <c r="F189" s="29">
        <v>1</v>
      </c>
      <c r="G189" s="29" t="s">
        <v>90</v>
      </c>
      <c r="H189" s="29" t="s">
        <v>98</v>
      </c>
      <c r="I189" s="29" t="s">
        <v>424</v>
      </c>
      <c r="J189" s="34" t="s">
        <v>511</v>
      </c>
      <c r="K189" s="133">
        <v>0.7</v>
      </c>
    </row>
    <row r="190" spans="1:11">
      <c r="A190" s="31">
        <f>VLOOKUP($C190,SKU!$A:$I,3,FALSE)</f>
        <v>10103</v>
      </c>
      <c r="B190" s="31" t="str">
        <f>VLOOKUP($C190,SKU!$A:$I,2,FALSE)</f>
        <v>疯狂动物城白金收藏卡狐兔神探</v>
      </c>
      <c r="C190" s="29" t="s">
        <v>367</v>
      </c>
      <c r="D190" s="29">
        <v>3</v>
      </c>
      <c r="E190" s="31">
        <f>D190*VLOOKUP(A190,Nhập入库!A:N,8,FALSE)</f>
        <v>60</v>
      </c>
      <c r="F190" s="29"/>
      <c r="G190" s="29" t="s">
        <v>130</v>
      </c>
      <c r="H190" s="29" t="s">
        <v>430</v>
      </c>
      <c r="I190" s="29" t="s">
        <v>431</v>
      </c>
      <c r="J190" s="34" t="s">
        <v>511</v>
      </c>
      <c r="K190" s="133">
        <v>0.866666666666667</v>
      </c>
    </row>
    <row r="191" spans="1:11">
      <c r="A191" s="31">
        <f>VLOOKUP($C191,SKU!$A:$I,3,FALSE)</f>
        <v>10064</v>
      </c>
      <c r="B191" s="31" t="str">
        <f>VLOOKUP($C191,SKU!$A:$I,2,FALSE)</f>
        <v>源宇宙崩铁色纸</v>
      </c>
      <c r="C191" s="34" t="s">
        <v>260</v>
      </c>
      <c r="D191" s="29"/>
      <c r="E191" s="31">
        <f>D191*VLOOKUP(A191,Nhập入库!A:N,8,FALSE)</f>
        <v>0</v>
      </c>
      <c r="F191" s="29">
        <v>8</v>
      </c>
      <c r="G191" s="29" t="s">
        <v>429</v>
      </c>
      <c r="H191" s="29" t="s">
        <v>78</v>
      </c>
      <c r="I191" s="29" t="s">
        <v>431</v>
      </c>
      <c r="J191" s="34" t="s">
        <v>511</v>
      </c>
      <c r="K191" s="133">
        <v>0.919444444444444</v>
      </c>
    </row>
    <row r="192" spans="1:11">
      <c r="A192" s="31">
        <f>VLOOKUP($C192,SKU!$A:$I,3,FALSE)</f>
        <v>10076</v>
      </c>
      <c r="B192" s="31" t="str">
        <f>VLOOKUP($C192,SKU!$A:$I,2,FALSE)</f>
        <v>【Aikaho】鬼灭之刃第四弹 集结 【DS-04 Muster】</v>
      </c>
      <c r="C192" s="29" t="s">
        <v>293</v>
      </c>
      <c r="D192" s="29"/>
      <c r="E192" s="31">
        <f>D192*VLOOKUP(A192,Nhập入库!A:N,8,FALSE)</f>
        <v>0</v>
      </c>
      <c r="F192" s="29">
        <v>12</v>
      </c>
      <c r="G192" s="29" t="s">
        <v>98</v>
      </c>
      <c r="H192" s="29" t="s">
        <v>430</v>
      </c>
      <c r="I192" s="29" t="s">
        <v>431</v>
      </c>
      <c r="J192" s="34" t="s">
        <v>511</v>
      </c>
      <c r="K192" s="133">
        <v>0.949305555555556</v>
      </c>
    </row>
    <row r="193" spans="1:11">
      <c r="A193" s="31">
        <f>VLOOKUP($C193,SKU!$A:$I,3,FALSE)</f>
        <v>10039</v>
      </c>
      <c r="B193" s="31" t="str">
        <f>VLOOKUP($C193,SKU!$A:$I,2,FALSE)</f>
        <v>非凡航海王第五弹</v>
      </c>
      <c r="C193" s="29" t="s">
        <v>184</v>
      </c>
      <c r="D193" s="29">
        <v>1</v>
      </c>
      <c r="E193" s="31">
        <f>D193*VLOOKUP(A193,Nhập入库!A:N,8,FALSE)</f>
        <v>20</v>
      </c>
      <c r="F193" s="29"/>
      <c r="G193" s="29" t="s">
        <v>78</v>
      </c>
      <c r="H193" s="29" t="s">
        <v>429</v>
      </c>
      <c r="I193" s="29" t="s">
        <v>431</v>
      </c>
      <c r="J193" s="34" t="s">
        <v>511</v>
      </c>
      <c r="K193" s="133">
        <v>0.949305555555556</v>
      </c>
    </row>
    <row r="194" spans="1:11">
      <c r="A194" s="31">
        <f>VLOOKUP($C194,SKU!$A:$I,3,FALSE)</f>
        <v>10035</v>
      </c>
      <c r="B194" s="31" t="str">
        <f>VLOOKUP($C194,SKU!$A:$I,2,FALSE)</f>
        <v>KK CARD × 新海诚系列第一弹</v>
      </c>
      <c r="C194" s="29" t="s">
        <v>167</v>
      </c>
      <c r="D194" s="29">
        <v>1</v>
      </c>
      <c r="E194" s="31">
        <f>D194*VLOOKUP(A194,Nhập入库!A:N,8,FALSE)</f>
        <v>14</v>
      </c>
      <c r="F194" s="29"/>
      <c r="G194" s="29" t="s">
        <v>170</v>
      </c>
      <c r="H194" s="29" t="s">
        <v>174</v>
      </c>
      <c r="I194" s="29" t="s">
        <v>70</v>
      </c>
      <c r="J194" s="34" t="s">
        <v>512</v>
      </c>
      <c r="K194" s="133">
        <v>0.554861111111111</v>
      </c>
    </row>
    <row r="195" spans="1:11">
      <c r="A195" s="31">
        <f>VLOOKUP($C195,SKU!$A:$I,3,FALSE)</f>
        <v>10075</v>
      </c>
      <c r="B195" s="31" t="str">
        <f>VLOOKUP($C195,SKU!$A:$I,2,FALSE)</f>
        <v>《万卡卡文创》鬼灭之刃日轮破晓第一弹</v>
      </c>
      <c r="C195" s="29" t="s">
        <v>290</v>
      </c>
      <c r="D195" s="29"/>
      <c r="E195" s="31">
        <f>D195*VLOOKUP(A195,Nhập入库!A:N,8,FALSE)</f>
        <v>0</v>
      </c>
      <c r="F195" s="29">
        <v>10</v>
      </c>
      <c r="G195" s="29" t="s">
        <v>430</v>
      </c>
      <c r="H195" s="29" t="s">
        <v>33</v>
      </c>
      <c r="I195" s="29" t="s">
        <v>424</v>
      </c>
      <c r="J195" s="34" t="s">
        <v>512</v>
      </c>
      <c r="K195" s="133">
        <v>0.449305555555556</v>
      </c>
    </row>
    <row r="196" spans="1:11">
      <c r="A196" s="31">
        <f>VLOOKUP($C196,SKU!$A:$I,3,FALSE)</f>
        <v>10075</v>
      </c>
      <c r="B196" s="31" t="str">
        <f>VLOOKUP($C196,SKU!$A:$I,2,FALSE)</f>
        <v>《万卡卡文创》鬼灭之刃日轮破晓第一弹</v>
      </c>
      <c r="C196" s="29" t="s">
        <v>290</v>
      </c>
      <c r="D196" s="29"/>
      <c r="E196" s="31">
        <f>D196*VLOOKUP(A196,Nhập入库!A:N,8,FALSE)</f>
        <v>0</v>
      </c>
      <c r="F196" s="29">
        <v>10</v>
      </c>
      <c r="G196" s="29" t="s">
        <v>430</v>
      </c>
      <c r="H196" s="29" t="s">
        <v>98</v>
      </c>
      <c r="I196" s="29" t="s">
        <v>424</v>
      </c>
      <c r="J196" s="34" t="s">
        <v>512</v>
      </c>
      <c r="K196" s="133">
        <v>0.449305555555556</v>
      </c>
    </row>
    <row r="197" spans="1:11">
      <c r="A197" s="31">
        <f>VLOOKUP($C197,SKU!$A:$I,3,FALSE)</f>
        <v>10076</v>
      </c>
      <c r="B197" s="31" t="str">
        <f>VLOOKUP($C197,SKU!$A:$I,2,FALSE)</f>
        <v>【Aikaho】鬼灭之刃第四弹 集结 【DS-04 Muster】</v>
      </c>
      <c r="C197" s="29" t="s">
        <v>293</v>
      </c>
      <c r="D197" s="29"/>
      <c r="E197" s="31">
        <f>D197*VLOOKUP(A197,Nhập入库!A:N,8,FALSE)</f>
        <v>0</v>
      </c>
      <c r="F197" s="29">
        <v>18</v>
      </c>
      <c r="G197" s="29" t="s">
        <v>430</v>
      </c>
      <c r="H197" s="29" t="s">
        <v>98</v>
      </c>
      <c r="I197" s="29" t="s">
        <v>424</v>
      </c>
      <c r="J197" s="34" t="s">
        <v>512</v>
      </c>
      <c r="K197" s="133">
        <v>0.449305555555556</v>
      </c>
    </row>
    <row r="198" spans="1:11">
      <c r="A198" s="31">
        <f>VLOOKUP($C198,SKU!$A:$I,3,FALSE)</f>
        <v>10100</v>
      </c>
      <c r="B198" s="31" t="str">
        <f>VLOOKUP($C198,SKU!$A:$I,2,FALSE)</f>
        <v>《意卡文创海贼王》第二弹</v>
      </c>
      <c r="C198" s="29" t="s">
        <v>358</v>
      </c>
      <c r="D198" s="29"/>
      <c r="E198" s="31">
        <f>D198*VLOOKUP(A198,Nhập入库!A:N,8,FALSE)</f>
        <v>0</v>
      </c>
      <c r="F198" s="29">
        <v>1</v>
      </c>
      <c r="G198" s="29" t="s">
        <v>33</v>
      </c>
      <c r="H198" s="29" t="s">
        <v>130</v>
      </c>
      <c r="I198" s="29" t="s">
        <v>424</v>
      </c>
      <c r="J198" s="34" t="s">
        <v>512</v>
      </c>
      <c r="K198" s="133">
        <v>0.700694444444444</v>
      </c>
    </row>
    <row r="199" spans="1:11">
      <c r="A199" s="31">
        <f>VLOOKUP($C199,SKU!$A:$I,3,FALSE)</f>
        <v>10103</v>
      </c>
      <c r="B199" s="31" t="str">
        <f>VLOOKUP($C199,SKU!$A:$I,2,FALSE)</f>
        <v>疯狂动物城白金收藏卡狐兔神探</v>
      </c>
      <c r="C199" s="29" t="s">
        <v>367</v>
      </c>
      <c r="D199" s="29">
        <v>5</v>
      </c>
      <c r="E199" s="31">
        <f>D199*VLOOKUP(A199,Nhập入库!A:N,8,FALSE)</f>
        <v>100</v>
      </c>
      <c r="F199" s="29"/>
      <c r="G199" s="29" t="s">
        <v>422</v>
      </c>
      <c r="H199" s="29" t="s">
        <v>78</v>
      </c>
      <c r="I199" s="29" t="s">
        <v>428</v>
      </c>
      <c r="J199" s="34" t="s">
        <v>512</v>
      </c>
      <c r="K199" s="133">
        <v>0.763194444444444</v>
      </c>
    </row>
    <row r="200" spans="1:11">
      <c r="A200" s="31">
        <f>VLOOKUP($C200,SKU!$A:$I,3,FALSE)</f>
        <v>10103</v>
      </c>
      <c r="B200" s="31" t="str">
        <f>VLOOKUP($C200,SKU!$A:$I,2,FALSE)</f>
        <v>疯狂动物城白金收藏卡狐兔神探</v>
      </c>
      <c r="C200" s="29" t="s">
        <v>367</v>
      </c>
      <c r="D200" s="29">
        <v>1</v>
      </c>
      <c r="E200" s="31">
        <f>D200*VLOOKUP(A200,Nhập入库!A:N,8,FALSE)</f>
        <v>20</v>
      </c>
      <c r="F200" s="29"/>
      <c r="G200" s="29" t="s">
        <v>430</v>
      </c>
      <c r="H200" s="29" t="s">
        <v>187</v>
      </c>
      <c r="I200" s="29" t="s">
        <v>431</v>
      </c>
      <c r="J200" s="34" t="s">
        <v>512</v>
      </c>
      <c r="K200" s="133">
        <v>0.830555555555556</v>
      </c>
    </row>
    <row r="201" spans="1:11">
      <c r="A201" s="31">
        <f>VLOOKUP($C201,SKU!$A:$I,3,FALSE)</f>
        <v>10103</v>
      </c>
      <c r="B201" s="31" t="str">
        <f>VLOOKUP($C201,SKU!$A:$I,2,FALSE)</f>
        <v>疯狂动物城白金收藏卡狐兔神探</v>
      </c>
      <c r="C201" s="29" t="s">
        <v>367</v>
      </c>
      <c r="D201" s="29">
        <v>5</v>
      </c>
      <c r="E201" s="31">
        <f>D201*VLOOKUP(A201,Nhập入库!A:N,8,FALSE)</f>
        <v>100</v>
      </c>
      <c r="F201" s="29"/>
      <c r="G201" s="29" t="s">
        <v>422</v>
      </c>
      <c r="H201" s="29" t="s">
        <v>429</v>
      </c>
      <c r="I201" s="29" t="s">
        <v>428</v>
      </c>
      <c r="J201" s="34" t="s">
        <v>512</v>
      </c>
      <c r="K201" s="133">
        <v>0.846527777777778</v>
      </c>
    </row>
    <row r="202" spans="1:11">
      <c r="A202" s="31">
        <f>VLOOKUP($C202,SKU!$A:$I,3,FALSE)</f>
        <v>10042</v>
      </c>
      <c r="B202" s="31" t="str">
        <f>VLOOKUP($C202,SKU!$A:$I,2,FALSE)</f>
        <v>黄油小熊系列收藏卡第二弹 小熊的观察日记</v>
      </c>
      <c r="C202" s="29" t="s">
        <v>196</v>
      </c>
      <c r="D202" s="29">
        <v>5</v>
      </c>
      <c r="E202" s="31">
        <f>D202*VLOOKUP(A202,Nhập入库!A:N,8,FALSE)</f>
        <v>80</v>
      </c>
      <c r="F202" s="29"/>
      <c r="G202" s="29" t="s">
        <v>142</v>
      </c>
      <c r="H202" s="29" t="s">
        <v>187</v>
      </c>
      <c r="I202" s="29" t="s">
        <v>431</v>
      </c>
      <c r="J202" s="34" t="s">
        <v>512</v>
      </c>
      <c r="K202" s="133">
        <v>0.846527777777778</v>
      </c>
    </row>
    <row r="203" spans="1:11">
      <c r="A203" s="31">
        <f>VLOOKUP($C203,SKU!$A:$I,3,FALSE)</f>
        <v>10066</v>
      </c>
      <c r="B203" s="31" t="str">
        <f>VLOOKUP($C203,SKU!$A:$I,2,FALSE)</f>
        <v>卡游柯南揭秘包第2弹</v>
      </c>
      <c r="C203" s="29" t="s">
        <v>266</v>
      </c>
      <c r="D203" s="29"/>
      <c r="E203" s="31">
        <f>D203*VLOOKUP(A203,Nhập入库!A:N,8,FALSE)</f>
        <v>0</v>
      </c>
      <c r="F203" s="29">
        <v>144</v>
      </c>
      <c r="G203" s="29" t="s">
        <v>142</v>
      </c>
      <c r="H203" s="29" t="s">
        <v>187</v>
      </c>
      <c r="I203" s="29" t="s">
        <v>431</v>
      </c>
      <c r="J203" s="34" t="s">
        <v>512</v>
      </c>
      <c r="K203" s="133">
        <v>0.846527777777778</v>
      </c>
    </row>
    <row r="204" spans="1:11">
      <c r="A204" s="31">
        <f>VLOOKUP($C204,SKU!$A:$I,3,FALSE)</f>
        <v>10002</v>
      </c>
      <c r="B204" s="31" t="str">
        <f>VLOOKUP($C204,SKU!$A:$I,2,FALSE)</f>
        <v>MoonCard月卡《美少女战士》第三弹</v>
      </c>
      <c r="C204" s="29" t="s">
        <v>18</v>
      </c>
      <c r="D204" s="29">
        <v>5</v>
      </c>
      <c r="E204" s="31">
        <f>D204*VLOOKUP(A204,Nhập入库!A:N,8,FALSE)</f>
        <v>65</v>
      </c>
      <c r="F204" s="29"/>
      <c r="G204" s="29" t="s">
        <v>142</v>
      </c>
      <c r="H204" s="29" t="s">
        <v>187</v>
      </c>
      <c r="I204" s="29" t="s">
        <v>431</v>
      </c>
      <c r="J204" s="34" t="s">
        <v>512</v>
      </c>
      <c r="K204" s="133">
        <v>0.846527777777778</v>
      </c>
    </row>
    <row r="205" spans="1:11">
      <c r="A205" s="31">
        <f>VLOOKUP($C205,SKU!$A:$I,3,FALSE)</f>
        <v>10016</v>
      </c>
      <c r="B205" s="31" t="str">
        <f>VLOOKUP($C205,SKU!$A:$I,2,FALSE)</f>
        <v>思梨普文创《hey!国王陛下》集换式艺术家典藏卡</v>
      </c>
      <c r="C205" s="29" t="s">
        <v>91</v>
      </c>
      <c r="D205" s="29">
        <v>2</v>
      </c>
      <c r="E205" s="31">
        <f>D205*VLOOKUP(A205,Nhập入库!A:N,8,FALSE)</f>
        <v>20</v>
      </c>
      <c r="F205" s="29"/>
      <c r="G205" s="29" t="s">
        <v>142</v>
      </c>
      <c r="H205" s="29" t="s">
        <v>187</v>
      </c>
      <c r="I205" s="29" t="s">
        <v>431</v>
      </c>
      <c r="J205" s="34" t="s">
        <v>512</v>
      </c>
      <c r="K205" s="133">
        <v>0.846527777777778</v>
      </c>
    </row>
    <row r="206" spans="1:11">
      <c r="A206" s="31">
        <f>VLOOKUP($C206,SKU!$A:$I,3,FALSE)</f>
        <v>10039</v>
      </c>
      <c r="B206" s="31" t="str">
        <f>VLOOKUP($C206,SKU!$A:$I,2,FALSE)</f>
        <v>非凡航海王第五弹</v>
      </c>
      <c r="C206" s="29" t="s">
        <v>184</v>
      </c>
      <c r="D206" s="29"/>
      <c r="E206" s="31">
        <f>D206*VLOOKUP(A206,Nhập入库!A:N,8,FALSE)</f>
        <v>0</v>
      </c>
      <c r="F206" s="29">
        <v>38</v>
      </c>
      <c r="G206" s="29" t="s">
        <v>142</v>
      </c>
      <c r="H206" s="29" t="s">
        <v>187</v>
      </c>
      <c r="I206" s="29" t="s">
        <v>431</v>
      </c>
      <c r="J206" s="34" t="s">
        <v>512</v>
      </c>
      <c r="K206" s="133">
        <v>0.846527777777778</v>
      </c>
    </row>
    <row r="207" spans="1:11">
      <c r="A207" s="31">
        <f>VLOOKUP($C207,SKU!$A:$I,3,FALSE)</f>
        <v>10046</v>
      </c>
      <c r="B207" s="31" t="str">
        <f>VLOOKUP($C207,SKU!$A:$I,2,FALSE)</f>
        <v>夜灯</v>
      </c>
      <c r="C207" s="29" t="s">
        <v>207</v>
      </c>
      <c r="D207" s="29"/>
      <c r="E207" s="31">
        <f>D207*VLOOKUP(A207,Nhập入库!A:N,8,FALSE)</f>
        <v>0</v>
      </c>
      <c r="F207" s="29">
        <v>4</v>
      </c>
      <c r="G207" s="29" t="s">
        <v>142</v>
      </c>
      <c r="H207" s="29" t="s">
        <v>187</v>
      </c>
      <c r="I207" s="29" t="s">
        <v>431</v>
      </c>
      <c r="J207" s="34" t="s">
        <v>512</v>
      </c>
      <c r="K207" s="133">
        <v>0.846527777777778</v>
      </c>
    </row>
    <row r="208" spans="1:11">
      <c r="A208" s="31">
        <f>VLOOKUP($C208,SKU!$A:$I,3,FALSE)</f>
        <v>10039</v>
      </c>
      <c r="B208" s="31" t="str">
        <f>VLOOKUP($C208,SKU!$A:$I,2,FALSE)</f>
        <v>非凡航海王第五弹</v>
      </c>
      <c r="C208" s="29" t="s">
        <v>184</v>
      </c>
      <c r="D208" s="29">
        <v>2</v>
      </c>
      <c r="E208" s="31">
        <f>D208*VLOOKUP(A208,Nhập入库!A:N,8,FALSE)</f>
        <v>40</v>
      </c>
      <c r="F208" s="29"/>
      <c r="G208" s="29" t="s">
        <v>78</v>
      </c>
      <c r="H208" s="29" t="s">
        <v>187</v>
      </c>
      <c r="I208" s="29" t="s">
        <v>431</v>
      </c>
      <c r="J208" s="34" t="s">
        <v>512</v>
      </c>
      <c r="K208" s="133">
        <v>0.949305555555556</v>
      </c>
    </row>
    <row r="209" spans="1:11">
      <c r="A209" s="31">
        <f>VLOOKUP($C209,SKU!$A:$I,3,FALSE)</f>
        <v>10103</v>
      </c>
      <c r="B209" s="31" t="str">
        <f>VLOOKUP($C209,SKU!$A:$I,2,FALSE)</f>
        <v>疯狂动物城白金收藏卡狐兔神探</v>
      </c>
      <c r="C209" s="29" t="s">
        <v>367</v>
      </c>
      <c r="D209" s="29">
        <v>5</v>
      </c>
      <c r="E209" s="31">
        <f>D209*VLOOKUP(A209,Nhập入库!A:N,8,FALSE)</f>
        <v>100</v>
      </c>
      <c r="F209" s="29"/>
      <c r="G209" s="29" t="s">
        <v>174</v>
      </c>
      <c r="H209" s="29" t="s">
        <v>158</v>
      </c>
      <c r="I209" s="29" t="s">
        <v>59</v>
      </c>
      <c r="J209" s="34" t="s">
        <v>513</v>
      </c>
      <c r="K209" s="133">
        <v>0.100694444444444</v>
      </c>
    </row>
    <row r="210" spans="1:11">
      <c r="A210" s="31">
        <f>VLOOKUP($C210,SKU!$A:$I,3,FALSE)</f>
        <v>10103</v>
      </c>
      <c r="B210" s="31" t="str">
        <f>VLOOKUP($C210,SKU!$A:$I,2,FALSE)</f>
        <v>疯狂动物城白金收藏卡狐兔神探</v>
      </c>
      <c r="C210" s="29" t="s">
        <v>367</v>
      </c>
      <c r="D210" s="29">
        <v>5</v>
      </c>
      <c r="E210" s="31">
        <f>D210*VLOOKUP(A210,Nhập入库!A:N,8,FALSE)</f>
        <v>100</v>
      </c>
      <c r="F210" s="29"/>
      <c r="G210" s="29" t="s">
        <v>422</v>
      </c>
      <c r="H210" s="29" t="s">
        <v>162</v>
      </c>
      <c r="I210" s="29" t="s">
        <v>65</v>
      </c>
      <c r="J210" s="34" t="s">
        <v>513</v>
      </c>
      <c r="K210" s="133">
        <v>0.483333333333333</v>
      </c>
    </row>
    <row r="211" spans="1:11">
      <c r="A211" s="31">
        <f>VLOOKUP($C211,SKU!$A:$I,3,FALSE)</f>
        <v>10107</v>
      </c>
      <c r="B211" s="31" t="str">
        <f>VLOOKUP($C211,SKU!$A:$I,2,FALSE)</f>
        <v>Hi卡柯南第四弹《一切都会大白于天下》</v>
      </c>
      <c r="C211" s="29" t="s">
        <v>377</v>
      </c>
      <c r="D211" s="29"/>
      <c r="E211" s="31">
        <f>D211*VLOOKUP(A211,Nhập入库!A:N,8,FALSE)</f>
        <v>0</v>
      </c>
      <c r="F211" s="29">
        <v>1</v>
      </c>
      <c r="G211" s="29" t="s">
        <v>146</v>
      </c>
      <c r="H211" s="29" t="s">
        <v>33</v>
      </c>
      <c r="I211" s="29" t="s">
        <v>424</v>
      </c>
      <c r="J211" s="34" t="s">
        <v>513</v>
      </c>
      <c r="K211" s="133">
        <v>0.635416666666667</v>
      </c>
    </row>
    <row r="212" spans="1:11">
      <c r="A212" s="31">
        <f>VLOOKUP($C212,SKU!$A:$I,3,FALSE)</f>
        <v>10029</v>
      </c>
      <c r="B212" s="31" t="str">
        <f>VLOOKUP($C212,SKU!$A:$I,2,FALSE)</f>
        <v>樱花屋魔卡少女樱</v>
      </c>
      <c r="C212" s="29" t="s">
        <v>143</v>
      </c>
      <c r="D212" s="29">
        <v>3</v>
      </c>
      <c r="E212" s="31">
        <f>D212*VLOOKUP(A212,Nhập入库!A:N,8,FALSE)</f>
        <v>36</v>
      </c>
      <c r="F212" s="29"/>
      <c r="G212" s="29" t="s">
        <v>154</v>
      </c>
      <c r="H212" s="29" t="s">
        <v>187</v>
      </c>
      <c r="I212" s="29" t="s">
        <v>431</v>
      </c>
      <c r="J212" s="34" t="s">
        <v>513</v>
      </c>
      <c r="K212" s="133">
        <v>0.770833333333333</v>
      </c>
    </row>
    <row r="213" spans="1:11">
      <c r="A213" s="31">
        <f>VLOOKUP($C213,SKU!$A:$I,3,FALSE)</f>
        <v>10039</v>
      </c>
      <c r="B213" s="31" t="str">
        <f>VLOOKUP($C213,SKU!$A:$I,2,FALSE)</f>
        <v>非凡航海王第五弹</v>
      </c>
      <c r="C213" s="29" t="s">
        <v>184</v>
      </c>
      <c r="D213" s="29">
        <v>5</v>
      </c>
      <c r="E213" s="31">
        <f>D213*VLOOKUP(A213,Nhập入库!A:N,8,FALSE)</f>
        <v>100</v>
      </c>
      <c r="F213" s="29"/>
      <c r="G213" s="29" t="s">
        <v>98</v>
      </c>
      <c r="H213" s="29" t="s">
        <v>429</v>
      </c>
      <c r="I213" s="29" t="s">
        <v>428</v>
      </c>
      <c r="J213" s="34" t="s">
        <v>513</v>
      </c>
      <c r="K213" s="133">
        <v>0.854166666666667</v>
      </c>
    </row>
    <row r="214" spans="1:11">
      <c r="A214" s="31">
        <f>VLOOKUP($C214,SKU!$A:$I,3,FALSE)</f>
        <v>10039</v>
      </c>
      <c r="B214" s="31" t="str">
        <f>VLOOKUP($C214,SKU!$A:$I,2,FALSE)</f>
        <v>非凡航海王第五弹</v>
      </c>
      <c r="C214" s="29" t="s">
        <v>184</v>
      </c>
      <c r="D214" s="29">
        <v>5</v>
      </c>
      <c r="E214" s="31">
        <f>D214*VLOOKUP(A214,Nhập入库!A:N,8,FALSE)</f>
        <v>100</v>
      </c>
      <c r="F214" s="29"/>
      <c r="G214" s="29" t="s">
        <v>98</v>
      </c>
      <c r="H214" s="29" t="s">
        <v>78</v>
      </c>
      <c r="I214" s="29" t="s">
        <v>428</v>
      </c>
      <c r="J214" s="34" t="s">
        <v>513</v>
      </c>
      <c r="K214" s="133">
        <v>0.854166666666667</v>
      </c>
    </row>
    <row r="215" spans="1:11">
      <c r="A215" s="31">
        <f>VLOOKUP($C215,SKU!$A:$I,3,FALSE)</f>
        <v>10039</v>
      </c>
      <c r="B215" s="31" t="str">
        <f>VLOOKUP($C215,SKU!$A:$I,2,FALSE)</f>
        <v>非凡航海王第五弹</v>
      </c>
      <c r="C215" s="29" t="s">
        <v>184</v>
      </c>
      <c r="D215" s="29">
        <v>3</v>
      </c>
      <c r="E215" s="31">
        <f>D215*VLOOKUP(A215,Nhập入库!A:N,8,FALSE)</f>
        <v>60</v>
      </c>
      <c r="F215" s="29"/>
      <c r="G215" s="29" t="s">
        <v>426</v>
      </c>
      <c r="H215" s="29" t="s">
        <v>78</v>
      </c>
      <c r="I215" s="29" t="s">
        <v>428</v>
      </c>
      <c r="J215" s="34" t="s">
        <v>513</v>
      </c>
      <c r="K215" s="133">
        <v>0.9375</v>
      </c>
    </row>
    <row r="216" s="1" customFormat="1" spans="1:11">
      <c r="A216" s="31">
        <f>VLOOKUP($C216,SKU!$A:$I,3,FALSE)</f>
        <v>10103</v>
      </c>
      <c r="B216" s="31" t="str">
        <f>VLOOKUP($C216,SKU!$A:$I,2,FALSE)</f>
        <v>疯狂动物城白金收藏卡狐兔神探</v>
      </c>
      <c r="C216" s="29" t="s">
        <v>367</v>
      </c>
      <c r="D216" s="29"/>
      <c r="E216" s="31">
        <f>D216*VLOOKUP(A216,Nhập入库!A:N,8,FALSE)</f>
        <v>0</v>
      </c>
      <c r="F216" s="29">
        <v>56</v>
      </c>
      <c r="G216" s="29" t="s">
        <v>174</v>
      </c>
      <c r="H216" s="29" t="s">
        <v>158</v>
      </c>
      <c r="I216" s="29" t="s">
        <v>59</v>
      </c>
      <c r="J216" s="34" t="s">
        <v>515</v>
      </c>
      <c r="K216" s="133">
        <v>0.999305555555556</v>
      </c>
    </row>
    <row r="217" s="1" customFormat="1" spans="1:11">
      <c r="A217" s="31">
        <f>VLOOKUP($C217,SKU!$A:$I,3,FALSE)</f>
        <v>10103</v>
      </c>
      <c r="B217" s="31" t="str">
        <f>VLOOKUP($C217,SKU!$A:$I,2,FALSE)</f>
        <v>疯狂动物城白金收藏卡狐兔神探</v>
      </c>
      <c r="C217" s="29" t="s">
        <v>367</v>
      </c>
      <c r="D217" s="29"/>
      <c r="E217" s="31">
        <f>D217*VLOOKUP(A217,Nhập入库!A:N,8,FALSE)</f>
        <v>0</v>
      </c>
      <c r="F217" s="29">
        <v>25</v>
      </c>
      <c r="G217" s="29" t="s">
        <v>158</v>
      </c>
      <c r="H217" s="29" t="s">
        <v>90</v>
      </c>
      <c r="I217" s="29" t="s">
        <v>59</v>
      </c>
      <c r="J217" s="34" t="s">
        <v>515</v>
      </c>
      <c r="K217" s="133">
        <v>0.124305555555556</v>
      </c>
    </row>
    <row r="218" s="1" customFormat="1" spans="1:11">
      <c r="A218" s="31">
        <f>VLOOKUP($C218,SKU!$A:$I,3,FALSE)</f>
        <v>10016</v>
      </c>
      <c r="B218" s="31" t="str">
        <f>VLOOKUP($C218,SKU!$A:$I,2,FALSE)</f>
        <v>思梨普文创《hey!国王陛下》集换式艺术家典藏卡</v>
      </c>
      <c r="C218" s="29" t="s">
        <v>91</v>
      </c>
      <c r="D218" s="29"/>
      <c r="E218" s="31">
        <f>D218*VLOOKUP(A218,Nhập入库!A:N,8,FALSE)</f>
        <v>0</v>
      </c>
      <c r="F218" s="29">
        <v>24</v>
      </c>
      <c r="G218" s="29" t="s">
        <v>130</v>
      </c>
      <c r="H218" s="29" t="s">
        <v>90</v>
      </c>
      <c r="I218" s="29" t="s">
        <v>59</v>
      </c>
      <c r="J218" s="34" t="s">
        <v>515</v>
      </c>
      <c r="K218" s="133">
        <v>0.182638888888889</v>
      </c>
    </row>
    <row r="219" s="1" customFormat="1" spans="1:11">
      <c r="A219" s="31">
        <f>VLOOKUP($C219,SKU!$A:$I,3,FALSE)</f>
        <v>10016</v>
      </c>
      <c r="B219" s="31" t="str">
        <f>VLOOKUP($C219,SKU!$A:$I,2,FALSE)</f>
        <v>思梨普文创《hey!国王陛下》集换式艺术家典藏卡</v>
      </c>
      <c r="C219" s="29" t="s">
        <v>91</v>
      </c>
      <c r="D219" s="29">
        <v>1</v>
      </c>
      <c r="E219" s="31">
        <f>D219*VLOOKUP(A219,Nhập入库!A:N,8,FALSE)</f>
        <v>10</v>
      </c>
      <c r="F219" s="29"/>
      <c r="G219" s="29" t="s">
        <v>166</v>
      </c>
      <c r="H219" s="29" t="s">
        <v>90</v>
      </c>
      <c r="I219" s="29" t="s">
        <v>59</v>
      </c>
      <c r="J219" s="34" t="s">
        <v>515</v>
      </c>
      <c r="K219" s="133">
        <v>0.182638888888889</v>
      </c>
    </row>
    <row r="220" s="1" customFormat="1" spans="1:11">
      <c r="A220" s="31">
        <f>VLOOKUP($C220,SKU!$A:$I,3,FALSE)</f>
        <v>10016</v>
      </c>
      <c r="B220" s="31" t="str">
        <f>VLOOKUP($C220,SKU!$A:$I,2,FALSE)</f>
        <v>思梨普文创《hey!国王陛下》集换式艺术家典藏卡</v>
      </c>
      <c r="C220" s="29" t="s">
        <v>91</v>
      </c>
      <c r="D220" s="29">
        <v>2</v>
      </c>
      <c r="E220" s="31">
        <f>D220*VLOOKUP(A220,Nhập入库!A:N,8,FALSE)</f>
        <v>20</v>
      </c>
      <c r="F220" s="29"/>
      <c r="G220" s="29" t="s">
        <v>98</v>
      </c>
      <c r="H220" s="29" t="s">
        <v>90</v>
      </c>
      <c r="I220" s="29" t="s">
        <v>59</v>
      </c>
      <c r="J220" s="34" t="s">
        <v>515</v>
      </c>
      <c r="K220" s="133">
        <v>0.182638888888889</v>
      </c>
    </row>
    <row r="221" s="1" customFormat="1" spans="1:11">
      <c r="A221" s="31">
        <f>VLOOKUP($C221,SKU!$A:$I,3,FALSE)</f>
        <v>10016</v>
      </c>
      <c r="B221" s="31" t="str">
        <f>VLOOKUP($C221,SKU!$A:$I,2,FALSE)</f>
        <v>思梨普文创《hey!国王陛下》集换式艺术家典藏卡</v>
      </c>
      <c r="C221" s="29" t="s">
        <v>91</v>
      </c>
      <c r="D221" s="29"/>
      <c r="E221" s="31">
        <f>D221*VLOOKUP(A221,Nhập入库!A:N,8,FALSE)</f>
        <v>0</v>
      </c>
      <c r="F221" s="29">
        <v>20</v>
      </c>
      <c r="G221" s="29" t="s">
        <v>422</v>
      </c>
      <c r="H221" s="29" t="s">
        <v>90</v>
      </c>
      <c r="I221" s="29" t="s">
        <v>59</v>
      </c>
      <c r="J221" s="34" t="s">
        <v>515</v>
      </c>
      <c r="K221" s="133">
        <v>0.182638888888889</v>
      </c>
    </row>
    <row r="222" s="1" customFormat="1" spans="1:11">
      <c r="A222" s="31">
        <f>VLOOKUP($C222,SKU!$A:$I,3,FALSE)</f>
        <v>10016</v>
      </c>
      <c r="B222" s="31" t="str">
        <f>VLOOKUP($C222,SKU!$A:$I,2,FALSE)</f>
        <v>思梨普文创《hey!国王陛下》集换式艺术家典藏卡</v>
      </c>
      <c r="C222" s="29" t="s">
        <v>91</v>
      </c>
      <c r="D222" s="29">
        <v>1</v>
      </c>
      <c r="E222" s="31">
        <f>D222*VLOOKUP(A222,Nhập入库!A:N,8,FALSE)</f>
        <v>10</v>
      </c>
      <c r="F222" s="29"/>
      <c r="G222" s="29" t="s">
        <v>433</v>
      </c>
      <c r="H222" s="29" t="s">
        <v>90</v>
      </c>
      <c r="I222" s="29" t="s">
        <v>59</v>
      </c>
      <c r="J222" s="34" t="s">
        <v>515</v>
      </c>
      <c r="K222" s="133">
        <v>0.182638888888889</v>
      </c>
    </row>
    <row r="223" s="1" customFormat="1" spans="1:11">
      <c r="A223" s="31">
        <f>VLOOKUP($C223,SKU!$A:$I,3,FALSE)</f>
        <v>10016</v>
      </c>
      <c r="B223" s="31" t="str">
        <f>VLOOKUP($C223,SKU!$A:$I,2,FALSE)</f>
        <v>思梨普文创《hey!国王陛下》集换式艺术家典藏卡</v>
      </c>
      <c r="C223" s="29" t="s">
        <v>91</v>
      </c>
      <c r="D223" s="29">
        <v>2</v>
      </c>
      <c r="E223" s="31">
        <f>D223*VLOOKUP(A223,Nhập入库!A:N,8,FALSE)</f>
        <v>20</v>
      </c>
      <c r="F223" s="29"/>
      <c r="G223" s="29" t="s">
        <v>187</v>
      </c>
      <c r="H223" s="29" t="s">
        <v>90</v>
      </c>
      <c r="I223" s="29" t="s">
        <v>59</v>
      </c>
      <c r="J223" s="34" t="s">
        <v>515</v>
      </c>
      <c r="K223" s="133">
        <v>0.182638888888889</v>
      </c>
    </row>
    <row r="224" spans="1:11">
      <c r="A224" s="31">
        <f>VLOOKUP($C224,SKU!$A:$I,3,FALSE)</f>
        <v>10066</v>
      </c>
      <c r="B224" s="31" t="str">
        <f>VLOOKUP($C224,SKU!$A:$I,2,FALSE)</f>
        <v>卡游柯南揭秘包第2弹</v>
      </c>
      <c r="C224" s="29" t="s">
        <v>266</v>
      </c>
      <c r="D224" s="29">
        <v>2</v>
      </c>
      <c r="E224" s="31">
        <f>D224*VLOOKUP(A224,Nhập入库!A:N,8,FALSE)</f>
        <v>72</v>
      </c>
      <c r="F224" s="29"/>
      <c r="G224" s="29" t="s">
        <v>187</v>
      </c>
      <c r="H224" s="29" t="s">
        <v>426</v>
      </c>
      <c r="I224" s="29" t="s">
        <v>65</v>
      </c>
      <c r="J224" s="34" t="s">
        <v>515</v>
      </c>
      <c r="K224" s="133">
        <v>0.548611111111111</v>
      </c>
    </row>
    <row r="225" spans="1:11">
      <c r="A225" s="31">
        <f>VLOOKUP($C225,SKU!$A:$I,3,FALSE)</f>
        <v>10039</v>
      </c>
      <c r="B225" s="31" t="str">
        <f>VLOOKUP($C225,SKU!$A:$I,2,FALSE)</f>
        <v>非凡航海王第五弹</v>
      </c>
      <c r="C225" s="29" t="s">
        <v>184</v>
      </c>
      <c r="D225" s="29">
        <v>1</v>
      </c>
      <c r="E225" s="31">
        <f>D225*VLOOKUP(A225,Nhập入库!A:N,8,FALSE)</f>
        <v>20</v>
      </c>
      <c r="F225" s="29"/>
      <c r="G225" s="29" t="s">
        <v>170</v>
      </c>
      <c r="H225" s="29" t="s">
        <v>426</v>
      </c>
      <c r="I225" s="29" t="s">
        <v>65</v>
      </c>
      <c r="J225" s="34" t="s">
        <v>515</v>
      </c>
      <c r="K225" s="133">
        <v>0.583333333333333</v>
      </c>
    </row>
    <row r="226" spans="1:11">
      <c r="A226" s="31">
        <f>VLOOKUP($C226,SKU!$A:$I,3,FALSE)</f>
        <v>10039</v>
      </c>
      <c r="B226" s="31" t="str">
        <f>VLOOKUP($C226,SKU!$A:$I,2,FALSE)</f>
        <v>非凡航海王第五弹</v>
      </c>
      <c r="C226" s="29" t="s">
        <v>184</v>
      </c>
      <c r="D226" s="29">
        <v>1</v>
      </c>
      <c r="E226" s="31">
        <f>D226*VLOOKUP(A226,Nhập入库!A:N,8,FALSE)</f>
        <v>20</v>
      </c>
      <c r="F226" s="29"/>
      <c r="G226" s="29" t="s">
        <v>170</v>
      </c>
      <c r="H226" s="29" t="s">
        <v>162</v>
      </c>
      <c r="I226" s="29" t="s">
        <v>65</v>
      </c>
      <c r="J226" s="34" t="s">
        <v>515</v>
      </c>
      <c r="K226" s="133">
        <v>0.583333333333333</v>
      </c>
    </row>
    <row r="227" spans="1:11">
      <c r="A227" s="31">
        <f>VLOOKUP($C227,SKU!$A:$I,3,FALSE)</f>
        <v>10107</v>
      </c>
      <c r="B227" s="31" t="str">
        <f>VLOOKUP($C227,SKU!$A:$I,2,FALSE)</f>
        <v>Hi卡柯南第四弹《一切都会大白于天下》</v>
      </c>
      <c r="C227" s="29" t="s">
        <v>377</v>
      </c>
      <c r="D227" s="29">
        <v>5</v>
      </c>
      <c r="E227" s="31">
        <f>D227*VLOOKUP(A227,Nhập入库!A:N,8,FALSE)</f>
        <v>75</v>
      </c>
      <c r="F227" s="29">
        <v>21</v>
      </c>
      <c r="G227" s="29" t="s">
        <v>146</v>
      </c>
      <c r="H227" s="29" t="s">
        <v>33</v>
      </c>
      <c r="I227" s="29" t="s">
        <v>424</v>
      </c>
      <c r="J227" s="34" t="s">
        <v>515</v>
      </c>
      <c r="K227" s="133">
        <v>0.527083333333333</v>
      </c>
    </row>
    <row r="228" spans="1:11">
      <c r="A228" s="31">
        <f>VLOOKUP($C228,SKU!$A:$I,3,FALSE)</f>
        <v>10107</v>
      </c>
      <c r="B228" s="31" t="str">
        <f>VLOOKUP($C228,SKU!$A:$I,2,FALSE)</f>
        <v>Hi卡柯南第四弹《一切都会大白于天下》</v>
      </c>
      <c r="C228" s="29" t="s">
        <v>377</v>
      </c>
      <c r="D228" s="29">
        <v>3</v>
      </c>
      <c r="E228" s="31">
        <f>D228*VLOOKUP(A228,Nhập入库!A:N,8,FALSE)</f>
        <v>45</v>
      </c>
      <c r="F228" s="29"/>
      <c r="G228" s="29" t="s">
        <v>78</v>
      </c>
      <c r="H228" s="29" t="s">
        <v>33</v>
      </c>
      <c r="I228" s="29" t="s">
        <v>424</v>
      </c>
      <c r="J228" s="34" t="s">
        <v>515</v>
      </c>
      <c r="K228" s="133">
        <v>0.527083333333333</v>
      </c>
    </row>
    <row r="229" spans="1:11">
      <c r="A229" s="31">
        <f>VLOOKUP($C229,SKU!$A:$I,3,FALSE)</f>
        <v>10009</v>
      </c>
      <c r="B229" s="31" t="str">
        <f>VLOOKUP($C229,SKU!$A:$I,2,FALSE)</f>
        <v>万画云游三丽鸥家族百变cos收藏卡</v>
      </c>
      <c r="C229" s="29" t="s">
        <v>61</v>
      </c>
      <c r="D229" s="29"/>
      <c r="E229" s="31">
        <f>D229*VLOOKUP(A229,Nhập入库!A:N,8,FALSE)</f>
        <v>0</v>
      </c>
      <c r="F229" s="29">
        <v>30</v>
      </c>
      <c r="G229" s="29" t="s">
        <v>98</v>
      </c>
      <c r="H229" s="29" t="s">
        <v>130</v>
      </c>
      <c r="I229" s="29" t="s">
        <v>424</v>
      </c>
      <c r="J229" s="34" t="s">
        <v>515</v>
      </c>
      <c r="K229" s="133">
        <v>0.548611111111111</v>
      </c>
    </row>
    <row r="230" spans="1:11">
      <c r="A230" s="31">
        <f>VLOOKUP($C230,SKU!$A:$I,3,FALSE)</f>
        <v>10007</v>
      </c>
      <c r="B230" s="31" t="str">
        <f>VLOOKUP($C230,SKU!$A:$I,2,FALSE)</f>
        <v>kawaii宫崎骏梦幻之国</v>
      </c>
      <c r="C230" s="29" t="s">
        <v>49</v>
      </c>
      <c r="D230" s="29"/>
      <c r="E230" s="31">
        <f>D230*VLOOKUP(A230,Nhập入库!A:N,8,FALSE)</f>
        <v>0</v>
      </c>
      <c r="F230" s="29">
        <v>9</v>
      </c>
      <c r="G230" s="29" t="s">
        <v>174</v>
      </c>
      <c r="H230" s="29" t="s">
        <v>130</v>
      </c>
      <c r="I230" s="29" t="s">
        <v>424</v>
      </c>
      <c r="J230" s="34" t="s">
        <v>515</v>
      </c>
      <c r="K230" s="133">
        <v>0.590277777777778</v>
      </c>
    </row>
    <row r="231" spans="1:11">
      <c r="A231" s="31">
        <f>VLOOKUP($C231,SKU!$A:$I,3,FALSE)</f>
        <v>10101</v>
      </c>
      <c r="B231" s="31" t="str">
        <f>VLOOKUP($C231,SKU!$A:$I,2,FALSE)</f>
        <v>卡迷家xROROJUMP肉肉酱正版授权第一弹《肉肉酱-百变系列-典藏卡》</v>
      </c>
      <c r="C231" s="29" t="s">
        <v>361</v>
      </c>
      <c r="D231" s="29">
        <v>4</v>
      </c>
      <c r="E231" s="31">
        <f>D231*VLOOKUP(A231,Nhập入库!A:N,8,FALSE)</f>
        <v>48</v>
      </c>
      <c r="F231" s="29"/>
      <c r="G231" s="29" t="s">
        <v>422</v>
      </c>
      <c r="H231" s="29" t="s">
        <v>130</v>
      </c>
      <c r="I231" s="29" t="s">
        <v>424</v>
      </c>
      <c r="J231" s="34" t="s">
        <v>515</v>
      </c>
      <c r="K231" s="133">
        <v>0.590277777777778</v>
      </c>
    </row>
    <row r="232" spans="1:11">
      <c r="A232" s="31">
        <f>VLOOKUP($C232,SKU!$A:$I,3,FALSE)</f>
        <v>10066</v>
      </c>
      <c r="B232" s="31" t="str">
        <f>VLOOKUP($C232,SKU!$A:$I,2,FALSE)</f>
        <v>卡游柯南揭秘包第2弹</v>
      </c>
      <c r="C232" s="29" t="s">
        <v>266</v>
      </c>
      <c r="D232" s="29"/>
      <c r="E232" s="31">
        <f>D232*VLOOKUP(A232,Nhập入库!A:N,8,FALSE)</f>
        <v>0</v>
      </c>
      <c r="F232" s="29">
        <v>30</v>
      </c>
      <c r="G232" s="29" t="s">
        <v>146</v>
      </c>
      <c r="H232" s="29" t="s">
        <v>98</v>
      </c>
      <c r="I232" s="29" t="s">
        <v>424</v>
      </c>
      <c r="J232" s="34" t="s">
        <v>515</v>
      </c>
      <c r="K232" s="133">
        <v>0.667361111111111</v>
      </c>
    </row>
    <row r="233" spans="1:11">
      <c r="A233" s="31">
        <f>VLOOKUP($C233,SKU!$A:$I,3,FALSE)</f>
        <v>10064</v>
      </c>
      <c r="B233" s="31" t="str">
        <f>VLOOKUP($C233,SKU!$A:$I,2,FALSE)</f>
        <v>源宇宙崩铁色纸</v>
      </c>
      <c r="C233" s="29" t="s">
        <v>260</v>
      </c>
      <c r="D233" s="29"/>
      <c r="E233" s="31">
        <f>D233*VLOOKUP(A233,Nhập入库!A:N,8,FALSE)</f>
        <v>0</v>
      </c>
      <c r="F233" s="29">
        <v>10</v>
      </c>
      <c r="G233" s="29" t="s">
        <v>426</v>
      </c>
      <c r="H233" s="29" t="s">
        <v>78</v>
      </c>
      <c r="I233" s="29" t="s">
        <v>428</v>
      </c>
      <c r="J233" s="34" t="s">
        <v>515</v>
      </c>
      <c r="K233" s="133">
        <v>0.750694444444444</v>
      </c>
    </row>
    <row r="234" spans="1:11">
      <c r="A234" s="31">
        <f>VLOOKUP($C234,SKU!$A:$I,3,FALSE)</f>
        <v>10064</v>
      </c>
      <c r="B234" s="31" t="str">
        <f>VLOOKUP($C234,SKU!$A:$I,2,FALSE)</f>
        <v>源宇宙崩铁色纸</v>
      </c>
      <c r="C234" s="29" t="s">
        <v>260</v>
      </c>
      <c r="D234" s="29"/>
      <c r="E234" s="31">
        <f>D234*VLOOKUP(A234,Nhập入库!A:N,8,FALSE)</f>
        <v>0</v>
      </c>
      <c r="F234" s="29">
        <v>10</v>
      </c>
      <c r="G234" s="29" t="s">
        <v>426</v>
      </c>
      <c r="H234" s="29" t="s">
        <v>78</v>
      </c>
      <c r="I234" s="29" t="s">
        <v>428</v>
      </c>
      <c r="J234" s="34" t="s">
        <v>515</v>
      </c>
      <c r="K234" s="133">
        <v>0.790277777777778</v>
      </c>
    </row>
    <row r="235" spans="1:11">
      <c r="A235" s="31">
        <f>VLOOKUP($C235,SKU!$A:$I,3,FALSE)</f>
        <v>10029</v>
      </c>
      <c r="B235" s="31" t="str">
        <f>VLOOKUP($C235,SKU!$A:$I,2,FALSE)</f>
        <v>樱花屋魔卡少女樱</v>
      </c>
      <c r="C235" s="29" t="s">
        <v>143</v>
      </c>
      <c r="D235" s="29">
        <v>2</v>
      </c>
      <c r="E235" s="31">
        <f>D235*VLOOKUP(A235,Nhập入库!A:N,8,FALSE)</f>
        <v>24</v>
      </c>
      <c r="F235" s="29"/>
      <c r="G235" s="29" t="s">
        <v>154</v>
      </c>
      <c r="H235" s="29" t="s">
        <v>433</v>
      </c>
      <c r="I235" s="29" t="s">
        <v>431</v>
      </c>
      <c r="J235" s="34" t="s">
        <v>515</v>
      </c>
      <c r="K235" s="133">
        <v>0.811111111111111</v>
      </c>
    </row>
    <row r="236" spans="1:11">
      <c r="A236" s="31">
        <f>VLOOKUP($C236,SKU!$A:$I,3,FALSE)</f>
        <v>10029</v>
      </c>
      <c r="B236" s="31" t="str">
        <f>VLOOKUP($C236,SKU!$A:$I,2,FALSE)</f>
        <v>樱花屋魔卡少女樱</v>
      </c>
      <c r="C236" s="29" t="s">
        <v>143</v>
      </c>
      <c r="D236" s="29">
        <v>1</v>
      </c>
      <c r="E236" s="31">
        <f>D236*VLOOKUP(A236,Nhập入库!A:N,8,FALSE)</f>
        <v>12</v>
      </c>
      <c r="F236" s="29"/>
      <c r="G236" s="29" t="s">
        <v>187</v>
      </c>
      <c r="H236" s="29" t="s">
        <v>433</v>
      </c>
      <c r="I236" s="29" t="s">
        <v>431</v>
      </c>
      <c r="J236" s="34" t="s">
        <v>515</v>
      </c>
      <c r="K236" s="133">
        <v>0.811111111111111</v>
      </c>
    </row>
    <row r="237" spans="1:11">
      <c r="A237" s="31">
        <f>VLOOKUP($C237,SKU!$A:$I,3,FALSE)</f>
        <v>10076</v>
      </c>
      <c r="B237" s="31" t="str">
        <f>VLOOKUP($C237,SKU!$A:$I,2,FALSE)</f>
        <v>【Aikaho】鬼灭之刃第四弹 集结 【DS-04 Muster】</v>
      </c>
      <c r="C237" s="29" t="s">
        <v>293</v>
      </c>
      <c r="D237" s="29"/>
      <c r="E237" s="31">
        <f>D237*VLOOKUP(A237,Nhập入库!A:N,8,FALSE)</f>
        <v>0</v>
      </c>
      <c r="F237" s="29">
        <v>18</v>
      </c>
      <c r="G237" s="29" t="s">
        <v>98</v>
      </c>
      <c r="H237" s="29" t="s">
        <v>430</v>
      </c>
      <c r="I237" s="29" t="s">
        <v>431</v>
      </c>
      <c r="J237" s="34" t="s">
        <v>515</v>
      </c>
      <c r="K237" s="133">
        <v>0.952083333333333</v>
      </c>
    </row>
    <row r="238" spans="1:11">
      <c r="A238" s="31">
        <f>VLOOKUP($C238,SKU!$A:$I,3,FALSE)</f>
        <v>10039</v>
      </c>
      <c r="B238" s="31" t="str">
        <f>VLOOKUP($C238,SKU!$A:$I,2,FALSE)</f>
        <v>非凡航海王第五弹</v>
      </c>
      <c r="C238" s="29" t="s">
        <v>184</v>
      </c>
      <c r="D238" s="29">
        <v>2</v>
      </c>
      <c r="E238" s="31">
        <f>D238*VLOOKUP(A238,Nhập入库!A:N,8,FALSE)</f>
        <v>40</v>
      </c>
      <c r="F238" s="29"/>
      <c r="G238" s="29" t="s">
        <v>98</v>
      </c>
      <c r="H238" s="29" t="s">
        <v>78</v>
      </c>
      <c r="I238" s="29" t="s">
        <v>428</v>
      </c>
      <c r="J238" s="34" t="s">
        <v>515</v>
      </c>
      <c r="K238" s="133">
        <v>0.958333333333333</v>
      </c>
    </row>
    <row r="239" spans="1:11">
      <c r="A239" s="31">
        <f>VLOOKUP($C239,SKU!$A:$I,3,FALSE)</f>
        <v>10039</v>
      </c>
      <c r="B239" s="31" t="str">
        <f>VLOOKUP($C239,SKU!$A:$I,2,FALSE)</f>
        <v>非凡航海王第五弹</v>
      </c>
      <c r="C239" s="29" t="s">
        <v>184</v>
      </c>
      <c r="D239" s="29">
        <v>2</v>
      </c>
      <c r="E239" s="31">
        <f>D239*VLOOKUP(A239,Nhập入库!A:N,8,FALSE)</f>
        <v>40</v>
      </c>
      <c r="F239" s="29"/>
      <c r="G239" s="29" t="s">
        <v>130</v>
      </c>
      <c r="H239" s="29" t="s">
        <v>429</v>
      </c>
      <c r="I239" s="29" t="s">
        <v>428</v>
      </c>
      <c r="J239" s="34" t="s">
        <v>515</v>
      </c>
      <c r="K239" s="133">
        <v>0.958333333333333</v>
      </c>
    </row>
    <row r="240" spans="1:11">
      <c r="A240" s="31">
        <f>VLOOKUP($C240,SKU!$A:$I,3,FALSE)</f>
        <v>10039</v>
      </c>
      <c r="B240" s="31" t="str">
        <f>VLOOKUP($C240,SKU!$A:$I,2,FALSE)</f>
        <v>非凡航海王第五弹</v>
      </c>
      <c r="C240" s="29" t="s">
        <v>184</v>
      </c>
      <c r="D240" s="29">
        <v>2</v>
      </c>
      <c r="E240" s="31">
        <f>D240*VLOOKUP(A240,Nhập入库!A:N,8,FALSE)</f>
        <v>40</v>
      </c>
      <c r="F240" s="29"/>
      <c r="G240" s="29" t="s">
        <v>98</v>
      </c>
      <c r="H240" s="29" t="s">
        <v>90</v>
      </c>
      <c r="I240" s="29" t="s">
        <v>59</v>
      </c>
      <c r="J240" s="34" t="s">
        <v>516</v>
      </c>
      <c r="K240" s="133">
        <v>0.0979166666666667</v>
      </c>
    </row>
    <row r="241" spans="1:11">
      <c r="A241" s="31">
        <f>VLOOKUP($C241,SKU!$A:$I,3,FALSE)</f>
        <v>10039</v>
      </c>
      <c r="B241" s="31" t="str">
        <f>VLOOKUP($C241,SKU!$A:$I,2,FALSE)</f>
        <v>非凡航海王第五弹</v>
      </c>
      <c r="C241" s="29" t="s">
        <v>184</v>
      </c>
      <c r="D241" s="29">
        <v>3</v>
      </c>
      <c r="E241" s="31">
        <f>D241*VLOOKUP(A241,Nhập入库!A:N,8,FALSE)</f>
        <v>60</v>
      </c>
      <c r="F241" s="29"/>
      <c r="G241" s="29" t="s">
        <v>98</v>
      </c>
      <c r="H241" s="29" t="s">
        <v>158</v>
      </c>
      <c r="I241" s="29" t="s">
        <v>59</v>
      </c>
      <c r="J241" s="34" t="s">
        <v>516</v>
      </c>
      <c r="K241" s="133">
        <v>0.0979166666666667</v>
      </c>
    </row>
    <row r="242" spans="1:11">
      <c r="A242" s="31">
        <f>VLOOKUP($C242,SKU!$A:$I,3,FALSE)</f>
        <v>10107</v>
      </c>
      <c r="B242" s="31" t="str">
        <f>VLOOKUP($C242,SKU!$A:$I,2,FALSE)</f>
        <v>Hi卡柯南第四弹《一切都会大白于天下》</v>
      </c>
      <c r="C242" s="29" t="s">
        <v>377</v>
      </c>
      <c r="D242" s="29">
        <v>7</v>
      </c>
      <c r="E242" s="31">
        <f>D242*VLOOKUP(A242,Nhập入库!A:N,8,FALSE)</f>
        <v>105</v>
      </c>
      <c r="F242" s="29">
        <v>21</v>
      </c>
      <c r="G242" s="29" t="s">
        <v>33</v>
      </c>
      <c r="H242" s="29" t="s">
        <v>90</v>
      </c>
      <c r="I242" s="29" t="s">
        <v>59</v>
      </c>
      <c r="J242" s="34" t="s">
        <v>516</v>
      </c>
      <c r="K242" s="133">
        <v>0.0979166666666667</v>
      </c>
    </row>
    <row r="243" spans="1:11">
      <c r="A243" s="31">
        <f>VLOOKUP($C243,SKU!$A:$I,3,FALSE)</f>
        <v>10064</v>
      </c>
      <c r="B243" s="31" t="str">
        <f>VLOOKUP($C243,SKU!$A:$I,2,FALSE)</f>
        <v>源宇宙崩铁色纸</v>
      </c>
      <c r="C243" s="34" t="s">
        <v>260</v>
      </c>
      <c r="D243" s="29"/>
      <c r="E243" s="31">
        <f>D243*VLOOKUP(A243,Nhập入库!A:N,8,FALSE)</f>
        <v>0</v>
      </c>
      <c r="F243" s="29">
        <v>6</v>
      </c>
      <c r="G243" s="29" t="s">
        <v>429</v>
      </c>
      <c r="H243" s="29" t="s">
        <v>78</v>
      </c>
      <c r="I243" s="29" t="s">
        <v>428</v>
      </c>
      <c r="J243" s="34" t="s">
        <v>516</v>
      </c>
      <c r="K243" s="133">
        <v>0.764583333333333</v>
      </c>
    </row>
    <row r="244" spans="1:11">
      <c r="A244" s="31">
        <f>VLOOKUP($C244,SKU!$A:$I,3,FALSE)</f>
        <v>10064</v>
      </c>
      <c r="B244" s="31" t="str">
        <f>VLOOKUP($C244,SKU!$A:$I,2,FALSE)</f>
        <v>源宇宙崩铁色纸</v>
      </c>
      <c r="C244" s="34" t="s">
        <v>260</v>
      </c>
      <c r="D244" s="29"/>
      <c r="E244" s="31">
        <f>D244*VLOOKUP(A244,Nhập入库!A:N,8,FALSE)</f>
        <v>0</v>
      </c>
      <c r="F244" s="29">
        <v>4</v>
      </c>
      <c r="G244" s="29" t="s">
        <v>90</v>
      </c>
      <c r="H244" s="29" t="s">
        <v>78</v>
      </c>
      <c r="I244" s="29" t="s">
        <v>428</v>
      </c>
      <c r="J244" s="34" t="s">
        <v>516</v>
      </c>
      <c r="K244" s="133">
        <v>0.764583333333333</v>
      </c>
    </row>
    <row r="245" spans="1:11">
      <c r="A245" s="31">
        <f>VLOOKUP($C245,SKU!$A:$I,3,FALSE)</f>
        <v>10039</v>
      </c>
      <c r="B245" s="31" t="str">
        <f>VLOOKUP($C245,SKU!$A:$I,2,FALSE)</f>
        <v>非凡航海王第五弹</v>
      </c>
      <c r="C245" s="29" t="s">
        <v>184</v>
      </c>
      <c r="D245" s="29">
        <v>10</v>
      </c>
      <c r="E245" s="31">
        <f>D245*VLOOKUP(A245,Nhập入库!A:N,8,FALSE)</f>
        <v>200</v>
      </c>
      <c r="F245" s="29"/>
      <c r="G245" s="29" t="s">
        <v>174</v>
      </c>
      <c r="H245" s="29" t="s">
        <v>429</v>
      </c>
      <c r="I245" s="29" t="s">
        <v>428</v>
      </c>
      <c r="J245" s="34" t="s">
        <v>516</v>
      </c>
      <c r="K245" s="133">
        <v>0.889583333333333</v>
      </c>
    </row>
    <row r="246" spans="1:11">
      <c r="A246" s="31">
        <f>VLOOKUP($C246,SKU!$A:$I,3,FALSE)</f>
        <v>10039</v>
      </c>
      <c r="B246" s="31" t="str">
        <f>VLOOKUP($C246,SKU!$A:$I,2,FALSE)</f>
        <v>非凡航海王第五弹</v>
      </c>
      <c r="C246" s="29" t="s">
        <v>184</v>
      </c>
      <c r="D246" s="29">
        <v>5</v>
      </c>
      <c r="E246" s="31">
        <f>D246*VLOOKUP(A246,Nhập入库!A:N,8,FALSE)</f>
        <v>100</v>
      </c>
      <c r="F246" s="29"/>
      <c r="G246" s="29" t="s">
        <v>174</v>
      </c>
      <c r="H246" s="29" t="s">
        <v>78</v>
      </c>
      <c r="I246" s="29" t="s">
        <v>428</v>
      </c>
      <c r="J246" s="34" t="s">
        <v>516</v>
      </c>
      <c r="K246" s="133">
        <v>0.916666666666667</v>
      </c>
    </row>
    <row r="247" spans="1:11">
      <c r="A247" s="31">
        <f>VLOOKUP($C247,SKU!$A:$I,3,FALSE)</f>
        <v>10039</v>
      </c>
      <c r="B247" s="31" t="str">
        <f>VLOOKUP($C247,SKU!$A:$I,2,FALSE)</f>
        <v>非凡航海王第五弹</v>
      </c>
      <c r="C247" s="29" t="s">
        <v>184</v>
      </c>
      <c r="D247" s="29">
        <v>5</v>
      </c>
      <c r="E247" s="31">
        <f>D247*VLOOKUP(A247,Nhập入库!A:N,8,FALSE)</f>
        <v>100</v>
      </c>
      <c r="F247" s="29"/>
      <c r="G247" s="29" t="s">
        <v>174</v>
      </c>
      <c r="H247" s="29" t="s">
        <v>78</v>
      </c>
      <c r="I247" s="29" t="s">
        <v>428</v>
      </c>
      <c r="J247" s="34" t="s">
        <v>516</v>
      </c>
      <c r="K247" s="133">
        <v>0.931944444444444</v>
      </c>
    </row>
    <row r="248" spans="1:11">
      <c r="A248" s="31">
        <f>VLOOKUP($C248,SKU!$A:$I,3,FALSE)</f>
        <v>10039</v>
      </c>
      <c r="B248" s="31" t="str">
        <f>VLOOKUP($C248,SKU!$A:$I,2,FALSE)</f>
        <v>非凡航海王第五弹</v>
      </c>
      <c r="C248" s="29" t="s">
        <v>184</v>
      </c>
      <c r="D248" s="29">
        <v>1</v>
      </c>
      <c r="E248" s="31">
        <f>D248*VLOOKUP(A248,Nhập入库!A:N,8,FALSE)</f>
        <v>20</v>
      </c>
      <c r="F248" s="29"/>
      <c r="G248" s="29" t="s">
        <v>78</v>
      </c>
      <c r="H248" s="29" t="s">
        <v>187</v>
      </c>
      <c r="I248" s="29" t="s">
        <v>431</v>
      </c>
      <c r="J248" s="34" t="s">
        <v>516</v>
      </c>
      <c r="K248" s="133">
        <v>0.931944444444444</v>
      </c>
    </row>
    <row r="249" spans="1:11">
      <c r="A249" s="31">
        <f>VLOOKUP($C249,SKU!$A:$I,3,FALSE)</f>
        <v>10039</v>
      </c>
      <c r="B249" s="31" t="str">
        <f>VLOOKUP($C249,SKU!$A:$I,2,FALSE)</f>
        <v>非凡航海王第五弹</v>
      </c>
      <c r="C249" s="29" t="s">
        <v>184</v>
      </c>
      <c r="D249" s="29">
        <v>1</v>
      </c>
      <c r="E249" s="31">
        <f>D249*VLOOKUP(A249,Nhập入库!A:N,8,FALSE)</f>
        <v>20</v>
      </c>
      <c r="F249" s="29"/>
      <c r="G249" s="29" t="s">
        <v>162</v>
      </c>
      <c r="H249" s="29" t="s">
        <v>187</v>
      </c>
      <c r="I249" s="29" t="s">
        <v>431</v>
      </c>
      <c r="J249" s="34" t="s">
        <v>516</v>
      </c>
      <c r="K249" s="133">
        <v>0.960416666666667</v>
      </c>
    </row>
    <row r="250" spans="1:11">
      <c r="A250" s="31">
        <f>VLOOKUP($C250,SKU!$A:$I,3,FALSE)</f>
        <v>10035</v>
      </c>
      <c r="B250" s="31" t="str">
        <f>VLOOKUP($C250,SKU!$A:$I,2,FALSE)</f>
        <v>KK CARD × 新海诚系列第一弹</v>
      </c>
      <c r="C250" s="34" t="s">
        <v>167</v>
      </c>
      <c r="D250" s="29"/>
      <c r="E250" s="31">
        <f>D250*VLOOKUP(A250,Nhập入库!A:N,8,FALSE)</f>
        <v>0</v>
      </c>
      <c r="F250" s="29">
        <v>3</v>
      </c>
      <c r="G250" s="29" t="s">
        <v>33</v>
      </c>
      <c r="H250" s="29" t="s">
        <v>78</v>
      </c>
      <c r="I250" s="29" t="s">
        <v>428</v>
      </c>
      <c r="J250" s="34" t="s">
        <v>516</v>
      </c>
      <c r="K250" s="133">
        <v>0.93125</v>
      </c>
    </row>
    <row r="251" spans="1:11">
      <c r="A251" s="31">
        <f>VLOOKUP($C251,SKU!$A:$I,3,FALSE)</f>
        <v>10066</v>
      </c>
      <c r="B251" s="31" t="str">
        <f>VLOOKUP($C251,SKU!$A:$I,2,FALSE)</f>
        <v>卡游柯南揭秘包第2弹</v>
      </c>
      <c r="C251" s="34" t="s">
        <v>266</v>
      </c>
      <c r="D251" s="29"/>
      <c r="E251" s="31">
        <f>D251*VLOOKUP(A251,Nhập入库!A:N,8,FALSE)</f>
        <v>0</v>
      </c>
      <c r="F251" s="29">
        <v>47</v>
      </c>
      <c r="G251" s="29" t="s">
        <v>187</v>
      </c>
      <c r="H251" s="29" t="s">
        <v>90</v>
      </c>
      <c r="I251" s="29" t="s">
        <v>59</v>
      </c>
      <c r="J251" s="34" t="s">
        <v>517</v>
      </c>
      <c r="K251" s="133">
        <v>0.0979166666666667</v>
      </c>
    </row>
    <row r="252" spans="1:11">
      <c r="A252" s="31">
        <f>VLOOKUP($C252,SKU!$A:$I,3,FALSE)</f>
        <v>10066</v>
      </c>
      <c r="B252" s="31" t="str">
        <f>VLOOKUP($C252,SKU!$A:$I,2,FALSE)</f>
        <v>卡游柯南揭秘包第2弹</v>
      </c>
      <c r="C252" s="34" t="s">
        <v>266</v>
      </c>
      <c r="D252" s="29"/>
      <c r="E252" s="31">
        <f>D252*VLOOKUP(A252,Nhập入库!A:N,8,FALSE)</f>
        <v>0</v>
      </c>
      <c r="F252" s="29">
        <v>31</v>
      </c>
      <c r="G252" s="29" t="s">
        <v>162</v>
      </c>
      <c r="H252" s="29" t="s">
        <v>90</v>
      </c>
      <c r="I252" s="29" t="s">
        <v>59</v>
      </c>
      <c r="J252" s="34" t="s">
        <v>517</v>
      </c>
      <c r="K252" s="133">
        <v>0.0979166666666667</v>
      </c>
    </row>
    <row r="253" spans="1:11">
      <c r="A253" s="31">
        <f>VLOOKUP($C253,SKU!$A:$I,3,FALSE)</f>
        <v>10066</v>
      </c>
      <c r="B253" s="31" t="str">
        <f>VLOOKUP($C253,SKU!$A:$I,2,FALSE)</f>
        <v>卡游柯南揭秘包第2弹</v>
      </c>
      <c r="C253" s="34" t="s">
        <v>266</v>
      </c>
      <c r="D253" s="29"/>
      <c r="E253" s="31">
        <f>D253*VLOOKUP(A253,Nhập入库!A:N,8,FALSE)</f>
        <v>0</v>
      </c>
      <c r="F253" s="29">
        <v>57</v>
      </c>
      <c r="G253" s="29" t="s">
        <v>98</v>
      </c>
      <c r="H253" s="29" t="s">
        <v>90</v>
      </c>
      <c r="I253" s="29" t="s">
        <v>59</v>
      </c>
      <c r="J253" s="34" t="s">
        <v>517</v>
      </c>
      <c r="K253" s="133">
        <v>0.0979166666666667</v>
      </c>
    </row>
    <row r="254" spans="1:11">
      <c r="A254" s="31">
        <f>VLOOKUP($C254,SKU!$A:$I,3,FALSE)</f>
        <v>10066</v>
      </c>
      <c r="B254" s="31" t="str">
        <f>VLOOKUP($C254,SKU!$A:$I,2,FALSE)</f>
        <v>卡游柯南揭秘包第2弹</v>
      </c>
      <c r="C254" s="34" t="s">
        <v>266</v>
      </c>
      <c r="D254" s="29"/>
      <c r="E254" s="31">
        <f>D254*VLOOKUP(A254,Nhập入库!A:N,8,FALSE)</f>
        <v>0</v>
      </c>
      <c r="F254" s="29">
        <v>103</v>
      </c>
      <c r="G254" s="29" t="s">
        <v>146</v>
      </c>
      <c r="H254" s="29" t="s">
        <v>90</v>
      </c>
      <c r="I254" s="29" t="s">
        <v>59</v>
      </c>
      <c r="J254" s="34" t="s">
        <v>517</v>
      </c>
      <c r="K254" s="133">
        <v>0.0979166666666667</v>
      </c>
    </row>
    <row r="255" spans="1:11">
      <c r="A255" s="31">
        <f>VLOOKUP($C255,SKU!$A:$I,3,FALSE)</f>
        <v>10066</v>
      </c>
      <c r="B255" s="31" t="str">
        <f>VLOOKUP($C255,SKU!$A:$I,2,FALSE)</f>
        <v>卡游柯南揭秘包第2弹</v>
      </c>
      <c r="C255" s="34" t="s">
        <v>266</v>
      </c>
      <c r="D255" s="29"/>
      <c r="E255" s="31">
        <f>D255*VLOOKUP(A255,Nhập入库!A:N,8,FALSE)</f>
        <v>0</v>
      </c>
      <c r="F255" s="29">
        <v>54</v>
      </c>
      <c r="G255" s="29" t="s">
        <v>166</v>
      </c>
      <c r="H255" s="29" t="s">
        <v>90</v>
      </c>
      <c r="I255" s="29" t="s">
        <v>59</v>
      </c>
      <c r="J255" s="34" t="s">
        <v>517</v>
      </c>
      <c r="K255" s="133">
        <v>0.0979166666666667</v>
      </c>
    </row>
    <row r="256" spans="1:11">
      <c r="A256" s="31">
        <f>VLOOKUP($C256,SKU!$A:$I,3,FALSE)</f>
        <v>10039</v>
      </c>
      <c r="B256" s="31" t="str">
        <f>VLOOKUP($C256,SKU!$A:$I,2,FALSE)</f>
        <v>非凡航海王第五弹</v>
      </c>
      <c r="C256" s="34" t="s">
        <v>184</v>
      </c>
      <c r="D256" s="29">
        <v>1</v>
      </c>
      <c r="E256" s="31">
        <f>D256*VLOOKUP(A256,Nhập入库!A:N,8,FALSE)</f>
        <v>20</v>
      </c>
      <c r="F256" s="29"/>
      <c r="G256" s="29" t="s">
        <v>174</v>
      </c>
      <c r="H256" s="29" t="s">
        <v>158</v>
      </c>
      <c r="I256" s="29" t="s">
        <v>59</v>
      </c>
      <c r="J256" s="34" t="s">
        <v>517</v>
      </c>
      <c r="K256" s="133">
        <v>0.0979166666666667</v>
      </c>
    </row>
    <row r="257" spans="1:11">
      <c r="A257" s="31">
        <f>VLOOKUP($C257,SKU!$A:$I,3,FALSE)</f>
        <v>10016</v>
      </c>
      <c r="B257" s="31" t="str">
        <f>VLOOKUP($C257,SKU!$A:$I,2,FALSE)</f>
        <v>思梨普文创《hey!国王陛下》集换式艺术家典藏卡</v>
      </c>
      <c r="C257" s="34" t="s">
        <v>91</v>
      </c>
      <c r="D257" s="29"/>
      <c r="E257" s="31">
        <f>D257*VLOOKUP(A257,Nhập入库!A:N,8,FALSE)</f>
        <v>0</v>
      </c>
      <c r="F257" s="29">
        <v>3</v>
      </c>
      <c r="G257" s="29" t="s">
        <v>90</v>
      </c>
      <c r="H257" s="29" t="s">
        <v>158</v>
      </c>
      <c r="I257" s="29" t="s">
        <v>59</v>
      </c>
      <c r="J257" s="34" t="s">
        <v>517</v>
      </c>
      <c r="K257" s="133">
        <v>0.0979166666666667</v>
      </c>
    </row>
    <row r="258" spans="1:11">
      <c r="A258" s="31">
        <f>VLOOKUP($C258,SKU!$A:$I,3,FALSE)</f>
        <v>10103</v>
      </c>
      <c r="B258" s="31" t="str">
        <f>VLOOKUP($C258,SKU!$A:$I,2,FALSE)</f>
        <v>疯狂动物城白金收藏卡狐兔神探</v>
      </c>
      <c r="C258" s="34" t="s">
        <v>367</v>
      </c>
      <c r="D258" s="29">
        <v>4</v>
      </c>
      <c r="E258" s="31">
        <f>D258*VLOOKUP(A258,Nhập入库!A:N,8,FALSE)</f>
        <v>80</v>
      </c>
      <c r="F258" s="29"/>
      <c r="G258" s="29" t="s">
        <v>146</v>
      </c>
      <c r="H258" s="29" t="s">
        <v>90</v>
      </c>
      <c r="I258" s="29" t="s">
        <v>59</v>
      </c>
      <c r="J258" s="34" t="s">
        <v>517</v>
      </c>
      <c r="K258" s="133">
        <v>0.0979166666666667</v>
      </c>
    </row>
    <row r="259" spans="1:11">
      <c r="A259" s="31">
        <f>VLOOKUP($C259,SKU!$A:$I,3,FALSE)</f>
        <v>10009</v>
      </c>
      <c r="B259" s="31" t="str">
        <f>VLOOKUP($C259,SKU!$A:$I,2,FALSE)</f>
        <v>万画云游三丽鸥家族百变cos收藏卡</v>
      </c>
      <c r="C259" s="29" t="s">
        <v>61</v>
      </c>
      <c r="D259" s="29">
        <v>2</v>
      </c>
      <c r="E259" s="31">
        <f>D259*VLOOKUP(A259,Nhập入库!A:N,8,FALSE)</f>
        <v>20</v>
      </c>
      <c r="F259" s="29"/>
      <c r="G259" s="29" t="s">
        <v>130</v>
      </c>
      <c r="H259" s="29" t="s">
        <v>422</v>
      </c>
      <c r="I259" s="29" t="s">
        <v>65</v>
      </c>
      <c r="J259" s="34" t="s">
        <v>517</v>
      </c>
      <c r="K259" s="133">
        <v>0.40625</v>
      </c>
    </row>
    <row r="260" spans="1:11">
      <c r="A260" s="31">
        <f>VLOOKUP($C260,SKU!$A:$I,3,FALSE)</f>
        <v>10042</v>
      </c>
      <c r="B260" s="31" t="str">
        <f>VLOOKUP($C260,SKU!$A:$I,2,FALSE)</f>
        <v>黄油小熊系列收藏卡第二弹 小熊的观察日记</v>
      </c>
      <c r="C260" s="29" t="s">
        <v>196</v>
      </c>
      <c r="D260" s="29">
        <v>1</v>
      </c>
      <c r="E260" s="31">
        <f>D260*VLOOKUP(A260,Nhập入库!A:N,8,FALSE)</f>
        <v>16</v>
      </c>
      <c r="F260" s="29"/>
      <c r="G260" s="29" t="s">
        <v>426</v>
      </c>
      <c r="H260" s="29" t="s">
        <v>422</v>
      </c>
      <c r="I260" s="29" t="s">
        <v>65</v>
      </c>
      <c r="J260" s="34" t="s">
        <v>517</v>
      </c>
      <c r="K260" s="133">
        <v>0.40625</v>
      </c>
    </row>
    <row r="261" spans="1:11">
      <c r="A261" s="31">
        <f>VLOOKUP($C261,SKU!$A:$I,3,FALSE)</f>
        <v>10029</v>
      </c>
      <c r="B261" s="31" t="str">
        <f>VLOOKUP($C261,SKU!$A:$I,2,FALSE)</f>
        <v>樱花屋魔卡少女樱</v>
      </c>
      <c r="C261" s="34" t="s">
        <v>143</v>
      </c>
      <c r="D261" s="29">
        <v>1</v>
      </c>
      <c r="E261" s="31">
        <f>D261*VLOOKUP(A261,Nhập入库!A:N,8,FALSE)</f>
        <v>12</v>
      </c>
      <c r="F261" s="29"/>
      <c r="G261" s="29" t="s">
        <v>187</v>
      </c>
      <c r="H261" s="29" t="s">
        <v>422</v>
      </c>
      <c r="I261" s="29" t="s">
        <v>65</v>
      </c>
      <c r="J261" s="34" t="s">
        <v>517</v>
      </c>
      <c r="K261" s="133">
        <v>0.5</v>
      </c>
    </row>
    <row r="262" spans="1:11">
      <c r="A262" s="31">
        <f>VLOOKUP($C262,SKU!$A:$I,3,FALSE)</f>
        <v>10029</v>
      </c>
      <c r="B262" s="31" t="str">
        <f>VLOOKUP($C262,SKU!$A:$I,2,FALSE)</f>
        <v>樱花屋魔卡少女樱</v>
      </c>
      <c r="C262" s="34" t="s">
        <v>143</v>
      </c>
      <c r="D262" s="29">
        <v>3</v>
      </c>
      <c r="E262" s="31">
        <f>D262*VLOOKUP(A262,Nhập入库!A:N,8,FALSE)</f>
        <v>36</v>
      </c>
      <c r="F262" s="29"/>
      <c r="G262" s="29" t="s">
        <v>98</v>
      </c>
      <c r="H262" s="29" t="s">
        <v>422</v>
      </c>
      <c r="I262" s="29" t="s">
        <v>65</v>
      </c>
      <c r="J262" s="34" t="s">
        <v>517</v>
      </c>
      <c r="K262" s="133">
        <v>0.5</v>
      </c>
    </row>
    <row r="263" spans="1:11">
      <c r="A263" s="31">
        <f>VLOOKUP($C263,SKU!$A:$I,3,FALSE)</f>
        <v>10029</v>
      </c>
      <c r="B263" s="31" t="str">
        <f>VLOOKUP($C263,SKU!$A:$I,2,FALSE)</f>
        <v>樱花屋魔卡少女樱</v>
      </c>
      <c r="C263" s="34" t="s">
        <v>143</v>
      </c>
      <c r="D263" s="29">
        <v>1</v>
      </c>
      <c r="E263" s="31">
        <f>D263*VLOOKUP(A263,Nhập入库!A:N,8,FALSE)</f>
        <v>12</v>
      </c>
      <c r="F263" s="29"/>
      <c r="G263" s="29" t="s">
        <v>187</v>
      </c>
      <c r="H263" s="29" t="s">
        <v>422</v>
      </c>
      <c r="I263" s="29" t="s">
        <v>65</v>
      </c>
      <c r="J263" s="34" t="s">
        <v>517</v>
      </c>
      <c r="K263" s="133">
        <v>0.538888888888889</v>
      </c>
    </row>
    <row r="264" spans="1:11">
      <c r="A264" s="31">
        <f>VLOOKUP($C264,SKU!$A:$I,3,FALSE)</f>
        <v>10029</v>
      </c>
      <c r="B264" s="31" t="str">
        <f>VLOOKUP($C264,SKU!$A:$I,2,FALSE)</f>
        <v>樱花屋魔卡少女樱</v>
      </c>
      <c r="C264" s="34" t="s">
        <v>143</v>
      </c>
      <c r="D264" s="29">
        <v>1</v>
      </c>
      <c r="E264" s="31">
        <f>D264*VLOOKUP(A264,Nhập入库!A:N,8,FALSE)</f>
        <v>12</v>
      </c>
      <c r="F264" s="29"/>
      <c r="G264" s="29" t="s">
        <v>170</v>
      </c>
      <c r="H264" s="29" t="s">
        <v>422</v>
      </c>
      <c r="I264" s="29" t="s">
        <v>65</v>
      </c>
      <c r="J264" s="34" t="s">
        <v>517</v>
      </c>
      <c r="K264" s="133">
        <v>0.539583333333333</v>
      </c>
    </row>
    <row r="265" spans="1:11">
      <c r="A265" s="31">
        <f>VLOOKUP($C265,SKU!$A:$I,3,FALSE)</f>
        <v>10029</v>
      </c>
      <c r="B265" s="31" t="str">
        <f>VLOOKUP($C265,SKU!$A:$I,2,FALSE)</f>
        <v>樱花屋魔卡少女樱</v>
      </c>
      <c r="C265" s="34" t="s">
        <v>143</v>
      </c>
      <c r="D265" s="29"/>
      <c r="E265" s="31">
        <f>D265*VLOOKUP(A265,Nhập入库!A:N,8,FALSE)</f>
        <v>0</v>
      </c>
      <c r="F265" s="29">
        <v>20</v>
      </c>
      <c r="G265" s="29" t="s">
        <v>433</v>
      </c>
      <c r="H265" s="29" t="s">
        <v>422</v>
      </c>
      <c r="I265" s="29" t="s">
        <v>65</v>
      </c>
      <c r="J265" s="34" t="s">
        <v>517</v>
      </c>
      <c r="K265" s="133">
        <v>0.544444444444444</v>
      </c>
    </row>
    <row r="266" spans="1:11">
      <c r="A266" s="31">
        <f>VLOOKUP($C266,SKU!$A:$I,3,FALSE)</f>
        <v>10066</v>
      </c>
      <c r="B266" s="31" t="str">
        <f>VLOOKUP($C266,SKU!$A:$I,2,FALSE)</f>
        <v>卡游柯南揭秘包第2弹</v>
      </c>
      <c r="C266" s="29" t="s">
        <v>266</v>
      </c>
      <c r="D266" s="29"/>
      <c r="E266" s="31">
        <f>D266*VLOOKUP(A266,Nhập入库!A:N,8,FALSE)</f>
        <v>0</v>
      </c>
      <c r="F266" s="29">
        <v>101</v>
      </c>
      <c r="G266" s="29" t="s">
        <v>90</v>
      </c>
      <c r="H266" s="29" t="s">
        <v>130</v>
      </c>
      <c r="I266" s="29" t="s">
        <v>424</v>
      </c>
      <c r="J266" s="34" t="s">
        <v>517</v>
      </c>
      <c r="K266" s="133">
        <v>0.544444444444444</v>
      </c>
    </row>
    <row r="267" spans="1:11">
      <c r="A267" s="31">
        <f>VLOOKUP($C267,SKU!$A:$I,3,FALSE)</f>
        <v>10039</v>
      </c>
      <c r="B267" s="31" t="str">
        <f>VLOOKUP($C267,SKU!$A:$I,2,FALSE)</f>
        <v>非凡航海王第五弹</v>
      </c>
      <c r="C267" s="34" t="s">
        <v>184</v>
      </c>
      <c r="D267" s="29">
        <v>2</v>
      </c>
      <c r="E267" s="31">
        <f>D267*VLOOKUP(A267,Nhập入库!A:N,8,FALSE)</f>
        <v>40</v>
      </c>
      <c r="F267" s="29"/>
      <c r="G267" s="29" t="s">
        <v>162</v>
      </c>
      <c r="H267" s="29" t="s">
        <v>187</v>
      </c>
      <c r="I267" s="29" t="s">
        <v>428</v>
      </c>
      <c r="J267" s="34" t="s">
        <v>517</v>
      </c>
      <c r="K267" s="133">
        <v>0.734027777777778</v>
      </c>
    </row>
    <row r="268" spans="1:11">
      <c r="A268" s="31">
        <f>VLOOKUP($C268,SKU!$A:$I,3,FALSE)</f>
        <v>10039</v>
      </c>
      <c r="B268" s="31" t="str">
        <f>VLOOKUP($C268,SKU!$A:$I,2,FALSE)</f>
        <v>非凡航海王第五弹</v>
      </c>
      <c r="C268" s="34" t="s">
        <v>184</v>
      </c>
      <c r="D268" s="29">
        <v>2</v>
      </c>
      <c r="E268" s="31">
        <f>D268*VLOOKUP(A268,Nhập入库!A:N,8,FALSE)</f>
        <v>40</v>
      </c>
      <c r="F268" s="29"/>
      <c r="G268" s="29" t="s">
        <v>174</v>
      </c>
      <c r="H268" s="29" t="s">
        <v>187</v>
      </c>
      <c r="I268" s="29" t="s">
        <v>428</v>
      </c>
      <c r="J268" s="34" t="s">
        <v>517</v>
      </c>
      <c r="K268" s="133">
        <v>0.734027777777778</v>
      </c>
    </row>
    <row r="269" spans="1:11">
      <c r="A269" s="31">
        <f>VLOOKUP($C269,SKU!$A:$I,3,FALSE)</f>
        <v>10075</v>
      </c>
      <c r="B269" s="31" t="str">
        <f>VLOOKUP($C269,SKU!$A:$I,2,FALSE)</f>
        <v>《万卡卡文创》鬼灭之刃日轮破晓第一弹</v>
      </c>
      <c r="C269" s="29" t="s">
        <v>290</v>
      </c>
      <c r="D269" s="29"/>
      <c r="E269" s="31">
        <f>D269*VLOOKUP(A269,Nhập入库!A:N,8,FALSE)</f>
        <v>0</v>
      </c>
      <c r="F269" s="29">
        <v>10</v>
      </c>
      <c r="G269" s="29" t="s">
        <v>33</v>
      </c>
      <c r="H269" s="29" t="s">
        <v>430</v>
      </c>
      <c r="I269" s="29" t="s">
        <v>428</v>
      </c>
      <c r="J269" s="34" t="s">
        <v>517</v>
      </c>
      <c r="K269" s="133">
        <v>0.914583333333333</v>
      </c>
    </row>
    <row r="270" spans="1:11">
      <c r="A270" s="31">
        <f>VLOOKUP($C270,SKU!$A:$I,3,FALSE)</f>
        <v>10075</v>
      </c>
      <c r="B270" s="31" t="str">
        <f>VLOOKUP($C270,SKU!$A:$I,2,FALSE)</f>
        <v>《万卡卡文创》鬼灭之刃日轮破晓第一弹</v>
      </c>
      <c r="C270" s="29" t="s">
        <v>290</v>
      </c>
      <c r="D270" s="29"/>
      <c r="E270" s="31">
        <f>D270*VLOOKUP(A270,Nhập入库!A:N,8,FALSE)</f>
        <v>0</v>
      </c>
      <c r="F270" s="29">
        <v>10</v>
      </c>
      <c r="G270" s="29" t="s">
        <v>98</v>
      </c>
      <c r="H270" s="29" t="s">
        <v>430</v>
      </c>
      <c r="I270" s="29" t="s">
        <v>428</v>
      </c>
      <c r="J270" s="34" t="s">
        <v>517</v>
      </c>
      <c r="K270" s="133">
        <v>0.914583333333333</v>
      </c>
    </row>
    <row r="271" spans="1:11">
      <c r="A271" s="31">
        <f>VLOOKUP($C271,SKU!$A:$I,3,FALSE)</f>
        <v>10075</v>
      </c>
      <c r="B271" s="31" t="str">
        <f>VLOOKUP($C271,SKU!$A:$I,2,FALSE)</f>
        <v>《万卡卡文创》鬼灭之刃日轮破晓第一弹</v>
      </c>
      <c r="C271" s="29" t="s">
        <v>290</v>
      </c>
      <c r="D271" s="29"/>
      <c r="E271" s="31">
        <f>D271*VLOOKUP(A271,Nhập入库!A:N,8,FALSE)</f>
        <v>0</v>
      </c>
      <c r="F271" s="29">
        <v>1</v>
      </c>
      <c r="G271" s="29" t="s">
        <v>130</v>
      </c>
      <c r="H271" s="29" t="s">
        <v>430</v>
      </c>
      <c r="I271" s="29" t="s">
        <v>428</v>
      </c>
      <c r="J271" s="34" t="s">
        <v>517</v>
      </c>
      <c r="K271" s="133">
        <v>0.914583333333333</v>
      </c>
    </row>
    <row r="272" spans="1:11">
      <c r="A272" s="31">
        <f>VLOOKUP($C272,SKU!$A:$I,3,FALSE)</f>
        <v>10105</v>
      </c>
      <c r="B272" s="31" t="str">
        <f>VLOOKUP($C272,SKU!$A:$I,2,FALSE)</f>
        <v>木木卡舍·鬼灭之刃无限城篇</v>
      </c>
      <c r="C272" s="29" t="s">
        <v>371</v>
      </c>
      <c r="D272" s="29"/>
      <c r="E272" s="31">
        <f>D272*VLOOKUP(A272,Nhập入库!A:N,8,FALSE)</f>
        <v>0</v>
      </c>
      <c r="F272" s="29">
        <v>10</v>
      </c>
      <c r="G272" s="29" t="s">
        <v>426</v>
      </c>
      <c r="H272" s="29" t="s">
        <v>429</v>
      </c>
      <c r="I272" s="29" t="s">
        <v>428</v>
      </c>
      <c r="J272" s="34" t="s">
        <v>517</v>
      </c>
      <c r="K272" s="133">
        <v>0.95625</v>
      </c>
    </row>
    <row r="273" spans="1:11">
      <c r="A273" s="31">
        <f>VLOOKUP($C273,SKU!$A:$I,3,FALSE)</f>
        <v>10016</v>
      </c>
      <c r="B273" s="31" t="str">
        <f>VLOOKUP($C273,SKU!$A:$I,2,FALSE)</f>
        <v>思梨普文创《hey!国王陛下》集换式艺术家典藏卡</v>
      </c>
      <c r="C273" s="29" t="s">
        <v>91</v>
      </c>
      <c r="D273" s="29"/>
      <c r="E273" s="31">
        <f>D273*VLOOKUP(A273,Nhập入库!A:N,8,FALSE)</f>
        <v>0</v>
      </c>
      <c r="F273" s="29">
        <v>5</v>
      </c>
      <c r="G273" s="29" t="s">
        <v>433</v>
      </c>
      <c r="H273" s="29" t="s">
        <v>146</v>
      </c>
      <c r="I273" s="29" t="s">
        <v>428</v>
      </c>
      <c r="J273" s="34" t="s">
        <v>517</v>
      </c>
      <c r="K273" s="133">
        <v>0.973611111111111</v>
      </c>
    </row>
    <row r="274" spans="1:11">
      <c r="A274" s="31">
        <f>VLOOKUP($C274,SKU!$A:$I,3,FALSE)</f>
        <v>10016</v>
      </c>
      <c r="B274" s="31" t="str">
        <f>VLOOKUP($C274,SKU!$A:$I,2,FALSE)</f>
        <v>思梨普文创《hey!国王陛下》集换式艺术家典藏卡</v>
      </c>
      <c r="C274" s="29" t="s">
        <v>91</v>
      </c>
      <c r="D274" s="29"/>
      <c r="E274" s="31">
        <f>D274*VLOOKUP(A274,Nhập入库!A:N,8,FALSE)</f>
        <v>0</v>
      </c>
      <c r="F274" s="29">
        <v>48</v>
      </c>
      <c r="G274" s="29" t="s">
        <v>422</v>
      </c>
      <c r="H274" s="29" t="s">
        <v>146</v>
      </c>
      <c r="I274" s="29" t="s">
        <v>428</v>
      </c>
      <c r="J274" s="34" t="s">
        <v>517</v>
      </c>
      <c r="K274" s="133">
        <v>0.973611111111111</v>
      </c>
    </row>
    <row r="275" spans="1:11">
      <c r="A275" s="31">
        <f>VLOOKUP($C275,SKU!$A:$I,3,FALSE)</f>
        <v>10016</v>
      </c>
      <c r="B275" s="31" t="str">
        <f>VLOOKUP($C275,SKU!$A:$I,2,FALSE)</f>
        <v>思梨普文创《hey!国王陛下》集换式艺术家典藏卡</v>
      </c>
      <c r="C275" s="29" t="s">
        <v>91</v>
      </c>
      <c r="D275" s="29"/>
      <c r="E275" s="31">
        <f>D275*VLOOKUP(A275,Nhập入库!A:N,8,FALSE)</f>
        <v>0</v>
      </c>
      <c r="F275" s="29">
        <v>10</v>
      </c>
      <c r="G275" s="29" t="s">
        <v>154</v>
      </c>
      <c r="H275" s="29" t="s">
        <v>146</v>
      </c>
      <c r="I275" s="29" t="s">
        <v>428</v>
      </c>
      <c r="J275" s="34" t="s">
        <v>517</v>
      </c>
      <c r="K275" s="133">
        <v>0.973611111111111</v>
      </c>
    </row>
    <row r="276" spans="1:11">
      <c r="A276" s="31">
        <f>VLOOKUP($C276,SKU!$A:$I,3,FALSE)</f>
        <v>10016</v>
      </c>
      <c r="B276" s="31" t="str">
        <f>VLOOKUP($C276,SKU!$A:$I,2,FALSE)</f>
        <v>思梨普文创《hey!国王陛下》集换式艺术家典藏卡</v>
      </c>
      <c r="C276" s="29" t="s">
        <v>91</v>
      </c>
      <c r="D276" s="29"/>
      <c r="E276" s="31">
        <f>D276*VLOOKUP(A276,Nhập入库!A:N,8,FALSE)</f>
        <v>0</v>
      </c>
      <c r="F276" s="29">
        <v>5</v>
      </c>
      <c r="G276" s="29" t="s">
        <v>170</v>
      </c>
      <c r="H276" s="29" t="s">
        <v>158</v>
      </c>
      <c r="I276" s="29" t="s">
        <v>59</v>
      </c>
      <c r="J276" s="34" t="s">
        <v>518</v>
      </c>
      <c r="K276" s="133">
        <v>0.0986111111111111</v>
      </c>
    </row>
    <row r="277" spans="1:11">
      <c r="A277" s="31">
        <f>VLOOKUP($C277,SKU!$A:$I,3,FALSE)</f>
        <v>10077</v>
      </c>
      <c r="B277" s="31" t="str">
        <f>VLOOKUP($C277,SKU!$A:$I,2,FALSE)</f>
        <v>多多文创原神第二弹卡砖—神眸再现</v>
      </c>
      <c r="C277" s="29" t="s">
        <v>296</v>
      </c>
      <c r="D277" s="29"/>
      <c r="E277" s="31">
        <f>D277*VLOOKUP(A277,Nhập入库!A:N,8,FALSE)</f>
        <v>0</v>
      </c>
      <c r="F277" s="29">
        <v>10</v>
      </c>
      <c r="G277" s="29" t="s">
        <v>174</v>
      </c>
      <c r="H277" s="29" t="s">
        <v>426</v>
      </c>
      <c r="I277" s="29" t="s">
        <v>65</v>
      </c>
      <c r="J277" s="34" t="s">
        <v>518</v>
      </c>
      <c r="K277" s="133">
        <v>0.502777777777778</v>
      </c>
    </row>
    <row r="278" spans="1:11">
      <c r="A278" s="31">
        <f>VLOOKUP($C278,SKU!$A:$I,3,FALSE)</f>
        <v>10080</v>
      </c>
      <c r="B278" s="31" t="str">
        <f>VLOOKUP($C278,SKU!$A:$I,2,FALSE)</f>
        <v>《小蘑菇》流荧版收藏卡-末世深渊</v>
      </c>
      <c r="C278" s="29" t="s">
        <v>305</v>
      </c>
      <c r="D278" s="29">
        <v>3</v>
      </c>
      <c r="E278" s="31">
        <f>D278*VLOOKUP(A278,Nhập入库!A:N,8,FALSE)</f>
        <v>30</v>
      </c>
      <c r="F278" s="29"/>
      <c r="G278" s="29" t="s">
        <v>433</v>
      </c>
      <c r="H278" s="29" t="s">
        <v>422</v>
      </c>
      <c r="I278" s="29" t="s">
        <v>65</v>
      </c>
      <c r="J278" s="34" t="s">
        <v>518</v>
      </c>
      <c r="K278" s="133">
        <v>0.508333333333333</v>
      </c>
    </row>
    <row r="279" spans="1:11">
      <c r="A279" s="31">
        <f>VLOOKUP($C279,SKU!$A:$I,3,FALSE)</f>
        <v>10074</v>
      </c>
      <c r="B279" s="31" t="str">
        <f>VLOOKUP($C279,SKU!$A:$I,2,FALSE)</f>
        <v>火萤文创【帷幕将倾】俊男唯美撕撕乐</v>
      </c>
      <c r="C279" s="34" t="s">
        <v>287</v>
      </c>
      <c r="D279" s="29"/>
      <c r="E279" s="31">
        <f>D279*VLOOKUP(A279,Nhập入库!A:N,8,FALSE)</f>
        <v>0</v>
      </c>
      <c r="F279" s="29">
        <v>14</v>
      </c>
      <c r="G279" s="29" t="s">
        <v>433</v>
      </c>
      <c r="H279" s="29" t="s">
        <v>130</v>
      </c>
      <c r="I279" s="29" t="s">
        <v>424</v>
      </c>
      <c r="J279" s="34" t="s">
        <v>518</v>
      </c>
      <c r="K279" s="133">
        <v>0.534027777777778</v>
      </c>
    </row>
    <row r="280" spans="1:11">
      <c r="A280" s="31">
        <f>VLOOKUP($C280,SKU!$A:$I,3,FALSE)</f>
        <v>10074</v>
      </c>
      <c r="B280" s="31" t="str">
        <f>VLOOKUP($C280,SKU!$A:$I,2,FALSE)</f>
        <v>火萤文创【帷幕将倾】俊男唯美撕撕乐</v>
      </c>
      <c r="C280" s="34" t="s">
        <v>287</v>
      </c>
      <c r="D280" s="29"/>
      <c r="E280" s="31">
        <f>D280*VLOOKUP(A280,Nhập入库!A:N,8,FALSE)</f>
        <v>0</v>
      </c>
      <c r="F280" s="29">
        <v>4</v>
      </c>
      <c r="G280" s="29" t="s">
        <v>166</v>
      </c>
      <c r="H280" s="29" t="s">
        <v>130</v>
      </c>
      <c r="I280" s="29" t="s">
        <v>424</v>
      </c>
      <c r="J280" s="34" t="s">
        <v>518</v>
      </c>
      <c r="K280" s="133">
        <v>0.561805555555556</v>
      </c>
    </row>
    <row r="281" spans="1:11">
      <c r="A281" s="31">
        <f>VLOOKUP($C281,SKU!$A:$I,3,FALSE)</f>
        <v>10074</v>
      </c>
      <c r="B281" s="31" t="str">
        <f>VLOOKUP($C281,SKU!$A:$I,2,FALSE)</f>
        <v>火萤文创【帷幕将倾】俊男唯美撕撕乐</v>
      </c>
      <c r="C281" s="34" t="s">
        <v>287</v>
      </c>
      <c r="D281" s="29"/>
      <c r="E281" s="31">
        <f>D281*VLOOKUP(A281,Nhập入库!A:N,8,FALSE)</f>
        <v>0</v>
      </c>
      <c r="F281" s="29">
        <v>2</v>
      </c>
      <c r="G281" s="29" t="s">
        <v>433</v>
      </c>
      <c r="H281" s="29" t="s">
        <v>130</v>
      </c>
      <c r="I281" s="29" t="s">
        <v>424</v>
      </c>
      <c r="J281" s="34" t="s">
        <v>518</v>
      </c>
      <c r="K281" s="133">
        <v>0.561805555555556</v>
      </c>
    </row>
    <row r="282" spans="1:11">
      <c r="A282" s="31">
        <f>VLOOKUP($C282,SKU!$A:$I,3,FALSE)</f>
        <v>10105</v>
      </c>
      <c r="B282" s="31" t="str">
        <f>VLOOKUP($C282,SKU!$A:$I,2,FALSE)</f>
        <v>木木卡舍·鬼灭之刃无限城篇</v>
      </c>
      <c r="C282" s="34" t="s">
        <v>371</v>
      </c>
      <c r="D282" s="29"/>
      <c r="E282" s="31">
        <f>D282*VLOOKUP(A282,Nhập入库!A:N,8,FALSE)</f>
        <v>0</v>
      </c>
      <c r="F282" s="29">
        <v>10</v>
      </c>
      <c r="G282" s="34" t="s">
        <v>430</v>
      </c>
      <c r="H282" s="34" t="s">
        <v>33</v>
      </c>
      <c r="I282" s="29" t="s">
        <v>424</v>
      </c>
      <c r="J282" s="34" t="s">
        <v>519</v>
      </c>
      <c r="K282" s="133">
        <v>0.386805555555556</v>
      </c>
    </row>
    <row r="283" spans="1:11">
      <c r="A283" s="31">
        <f>VLOOKUP($C283,SKU!$A:$I,3,FALSE)</f>
        <v>10039</v>
      </c>
      <c r="B283" s="31" t="str">
        <f>VLOOKUP($C283,SKU!$A:$I,2,FALSE)</f>
        <v>非凡航海王第五弹</v>
      </c>
      <c r="C283" s="34" t="s">
        <v>184</v>
      </c>
      <c r="D283" s="29">
        <v>1</v>
      </c>
      <c r="E283" s="31">
        <f>D283*VLOOKUP(A283,Nhập入库!A:N,8,FALSE)</f>
        <v>20</v>
      </c>
      <c r="F283" s="29"/>
      <c r="G283" s="34" t="s">
        <v>98</v>
      </c>
      <c r="H283" s="29" t="s">
        <v>130</v>
      </c>
      <c r="I283" s="29" t="s">
        <v>424</v>
      </c>
      <c r="J283" s="34" t="s">
        <v>519</v>
      </c>
      <c r="K283" s="133">
        <v>0.409722222222222</v>
      </c>
    </row>
    <row r="284" spans="1:11">
      <c r="A284" s="31">
        <f>VLOOKUP($C284,SKU!$A:$I,3,FALSE)</f>
        <v>10042</v>
      </c>
      <c r="B284" s="31" t="str">
        <f>VLOOKUP($C284,SKU!$A:$I,2,FALSE)</f>
        <v>黄油小熊系列收藏卡第二弹 小熊的观察日记</v>
      </c>
      <c r="C284" s="29" t="s">
        <v>196</v>
      </c>
      <c r="D284" s="29">
        <v>4</v>
      </c>
      <c r="E284" s="31">
        <f>D284*VLOOKUP(A284,Nhập入库!A:N,8,FALSE)</f>
        <v>64</v>
      </c>
      <c r="F284" s="29"/>
      <c r="G284" s="29" t="s">
        <v>187</v>
      </c>
      <c r="H284" s="29" t="s">
        <v>426</v>
      </c>
      <c r="I284" s="29" t="s">
        <v>65</v>
      </c>
      <c r="J284" s="34" t="s">
        <v>519</v>
      </c>
      <c r="K284" s="133">
        <v>0.550694444444444</v>
      </c>
    </row>
    <row r="285" spans="1:11">
      <c r="A285" s="31">
        <f>VLOOKUP($C285,SKU!$A:$I,3,FALSE)</f>
        <v>10076</v>
      </c>
      <c r="B285" s="31" t="str">
        <f>VLOOKUP($C285,SKU!$A:$I,2,FALSE)</f>
        <v>【Aikaho】鬼灭之刃第四弹 集结 【DS-04 Muster】</v>
      </c>
      <c r="C285" s="34" t="s">
        <v>293</v>
      </c>
      <c r="D285" s="29"/>
      <c r="E285" s="31">
        <f>D285*VLOOKUP(A285,Nhập入库!A:N,8,FALSE)</f>
        <v>0</v>
      </c>
      <c r="F285" s="29">
        <v>16</v>
      </c>
      <c r="G285" s="34" t="s">
        <v>430</v>
      </c>
      <c r="H285" s="34" t="s">
        <v>98</v>
      </c>
      <c r="I285" s="29" t="s">
        <v>424</v>
      </c>
      <c r="J285" s="34" t="s">
        <v>519</v>
      </c>
      <c r="K285" s="133">
        <v>0.0604166666666667</v>
      </c>
    </row>
    <row r="286" spans="1:11">
      <c r="A286" s="31">
        <f>VLOOKUP($C286,SKU!$A:$I,3,FALSE)</f>
        <v>10105</v>
      </c>
      <c r="B286" s="31" t="str">
        <f>VLOOKUP($C286,SKU!$A:$I,2,FALSE)</f>
        <v>木木卡舍·鬼灭之刃无限城篇</v>
      </c>
      <c r="C286" s="34" t="s">
        <v>371</v>
      </c>
      <c r="D286" s="29">
        <v>4</v>
      </c>
      <c r="E286" s="31">
        <f>D286*VLOOKUP(A286,Nhập入库!A:N,8,FALSE)</f>
        <v>20</v>
      </c>
      <c r="F286" s="29"/>
      <c r="G286" s="34" t="s">
        <v>430</v>
      </c>
      <c r="H286" s="34" t="s">
        <v>33</v>
      </c>
      <c r="I286" s="29" t="s">
        <v>424</v>
      </c>
      <c r="J286" s="34" t="s">
        <v>519</v>
      </c>
      <c r="K286" s="133">
        <v>0.0618055555555556</v>
      </c>
    </row>
    <row r="287" spans="1:11">
      <c r="A287" s="31">
        <f>VLOOKUP($C287,SKU!$A:$I,3,FALSE)</f>
        <v>10105</v>
      </c>
      <c r="B287" s="31" t="str">
        <f>VLOOKUP($C287,SKU!$A:$I,2,FALSE)</f>
        <v>木木卡舍·鬼灭之刃无限城篇</v>
      </c>
      <c r="C287" s="34" t="s">
        <v>371</v>
      </c>
      <c r="D287" s="29">
        <v>2</v>
      </c>
      <c r="E287" s="31">
        <f>D287*VLOOKUP(A287,Nhập入库!A:N,8,FALSE)</f>
        <v>10</v>
      </c>
      <c r="F287" s="29"/>
      <c r="G287" s="34" t="s">
        <v>33</v>
      </c>
      <c r="H287" s="34" t="s">
        <v>78</v>
      </c>
      <c r="I287" s="29" t="s">
        <v>428</v>
      </c>
      <c r="J287" s="34" t="s">
        <v>519</v>
      </c>
      <c r="K287" s="133">
        <v>0.754861111111111</v>
      </c>
    </row>
    <row r="288" spans="1:11">
      <c r="A288" s="31">
        <f>VLOOKUP($C288,SKU!$A:$I,3,FALSE)</f>
        <v>10105</v>
      </c>
      <c r="B288" s="31" t="str">
        <f>VLOOKUP($C288,SKU!$A:$I,2,FALSE)</f>
        <v>木木卡舍·鬼灭之刃无限城篇</v>
      </c>
      <c r="C288" s="34" t="s">
        <v>371</v>
      </c>
      <c r="D288" s="29"/>
      <c r="E288" s="31">
        <f>D288*VLOOKUP(A288,Nhập入库!A:N,8,FALSE)</f>
        <v>0</v>
      </c>
      <c r="F288" s="29">
        <v>6</v>
      </c>
      <c r="G288" s="34" t="s">
        <v>33</v>
      </c>
      <c r="H288" s="34" t="s">
        <v>430</v>
      </c>
      <c r="I288" s="29" t="s">
        <v>431</v>
      </c>
      <c r="J288" s="34" t="s">
        <v>519</v>
      </c>
      <c r="K288" s="133">
        <v>0.795138888888889</v>
      </c>
    </row>
    <row r="289" spans="1:11">
      <c r="A289" s="31">
        <f>VLOOKUP($C289,SKU!$A:$I,3,FALSE)</f>
        <v>10105</v>
      </c>
      <c r="B289" s="31" t="str">
        <f>VLOOKUP($C289,SKU!$A:$I,2,FALSE)</f>
        <v>木木卡舍·鬼灭之刃无限城篇</v>
      </c>
      <c r="C289" s="34" t="s">
        <v>371</v>
      </c>
      <c r="D289" s="29"/>
      <c r="E289" s="31">
        <f>D289*VLOOKUP(A289,Nhập入库!A:N,8,FALSE)</f>
        <v>0</v>
      </c>
      <c r="F289" s="29">
        <v>9</v>
      </c>
      <c r="G289" s="34" t="s">
        <v>429</v>
      </c>
      <c r="H289" s="34" t="s">
        <v>430</v>
      </c>
      <c r="I289" s="29" t="s">
        <v>431</v>
      </c>
      <c r="J289" s="34" t="s">
        <v>519</v>
      </c>
      <c r="K289" s="133">
        <v>0.795138888888889</v>
      </c>
    </row>
    <row r="290" spans="1:11">
      <c r="A290" s="31">
        <f>VLOOKUP($C290,SKU!$A:$I,3,FALSE)</f>
        <v>10105</v>
      </c>
      <c r="B290" s="31" t="str">
        <f>VLOOKUP($C290,SKU!$A:$I,2,FALSE)</f>
        <v>木木卡舍·鬼灭之刃无限城篇</v>
      </c>
      <c r="C290" s="34" t="s">
        <v>371</v>
      </c>
      <c r="D290" s="29"/>
      <c r="E290" s="31">
        <f>D290*VLOOKUP(A290,Nhập入库!A:N,8,FALSE)</f>
        <v>0</v>
      </c>
      <c r="F290" s="29">
        <v>6</v>
      </c>
      <c r="G290" s="34" t="s">
        <v>426</v>
      </c>
      <c r="H290" s="34" t="s">
        <v>187</v>
      </c>
      <c r="I290" s="29" t="s">
        <v>431</v>
      </c>
      <c r="J290" s="34" t="s">
        <v>519</v>
      </c>
      <c r="K290" s="133">
        <v>0.795138888888889</v>
      </c>
    </row>
    <row r="291" spans="1:11">
      <c r="A291" s="31">
        <f>VLOOKUP($C291,SKU!$A:$I,3,FALSE)</f>
        <v>10074</v>
      </c>
      <c r="B291" s="31" t="str">
        <f>VLOOKUP($C291,SKU!$A:$I,2,FALSE)</f>
        <v>火萤文创【帷幕将倾】俊男唯美撕撕乐</v>
      </c>
      <c r="C291" s="34" t="s">
        <v>287</v>
      </c>
      <c r="D291" s="29"/>
      <c r="E291" s="31">
        <f>D291*VLOOKUP(A291,Nhập入库!A:N,8,FALSE)</f>
        <v>0</v>
      </c>
      <c r="F291" s="29">
        <v>19</v>
      </c>
      <c r="G291" s="34" t="s">
        <v>130</v>
      </c>
      <c r="H291" s="34" t="s">
        <v>433</v>
      </c>
      <c r="I291" s="29" t="s">
        <v>431</v>
      </c>
      <c r="J291" s="34" t="s">
        <v>519</v>
      </c>
      <c r="K291" s="133">
        <v>0.804166666666667</v>
      </c>
    </row>
    <row r="292" spans="1:11">
      <c r="A292" s="31">
        <f>VLOOKUP($C292,SKU!$A:$I,3,FALSE)</f>
        <v>10074</v>
      </c>
      <c r="B292" s="31" t="str">
        <f>VLOOKUP($C292,SKU!$A:$I,2,FALSE)</f>
        <v>火萤文创【帷幕将倾】俊男唯美撕撕乐</v>
      </c>
      <c r="C292" s="34" t="s">
        <v>287</v>
      </c>
      <c r="D292" s="29"/>
      <c r="E292" s="31">
        <f>D292*VLOOKUP(A292,Nhập入库!A:N,8,FALSE)</f>
        <v>0</v>
      </c>
      <c r="F292" s="29">
        <v>12</v>
      </c>
      <c r="G292" s="34" t="s">
        <v>130</v>
      </c>
      <c r="H292" s="34" t="s">
        <v>433</v>
      </c>
      <c r="I292" s="29" t="s">
        <v>431</v>
      </c>
      <c r="J292" s="34" t="s">
        <v>547</v>
      </c>
      <c r="K292" s="133">
        <v>0.765277777777778</v>
      </c>
    </row>
    <row r="293" spans="1:11">
      <c r="A293" s="31">
        <f>VLOOKUP($C293,SKU!$A:$I,3,FALSE)</f>
        <v>10076</v>
      </c>
      <c r="B293" s="31" t="str">
        <f>VLOOKUP($C293,SKU!$A:$I,2,FALSE)</f>
        <v>【Aikaho】鬼灭之刃第四弹 集结 【DS-04 Muster】</v>
      </c>
      <c r="C293" s="34" t="s">
        <v>293</v>
      </c>
      <c r="D293" s="29"/>
      <c r="E293" s="31">
        <f>D293*VLOOKUP(A293,Nhập入库!A:N,8,FALSE)</f>
        <v>0</v>
      </c>
      <c r="F293" s="29">
        <v>15</v>
      </c>
      <c r="G293" s="34" t="s">
        <v>98</v>
      </c>
      <c r="H293" s="34" t="s">
        <v>430</v>
      </c>
      <c r="I293" s="29" t="s">
        <v>431</v>
      </c>
      <c r="J293" s="34" t="s">
        <v>519</v>
      </c>
      <c r="K293" s="133">
        <v>0.857638888888889</v>
      </c>
    </row>
    <row r="294" spans="1:11">
      <c r="A294" s="31">
        <f>VLOOKUP($C294,SKU!$A:$I,3,FALSE)</f>
        <v>10039</v>
      </c>
      <c r="B294" s="31" t="str">
        <f>VLOOKUP($C294,SKU!$A:$I,2,FALSE)</f>
        <v>非凡航海王第五弹</v>
      </c>
      <c r="C294" s="34" t="s">
        <v>184</v>
      </c>
      <c r="D294" s="29">
        <v>3</v>
      </c>
      <c r="E294" s="31">
        <f>D294*VLOOKUP(A294,Nhập入库!A:N,8,FALSE)</f>
        <v>60</v>
      </c>
      <c r="F294" s="29"/>
      <c r="G294" s="34" t="s">
        <v>432</v>
      </c>
      <c r="H294" s="34" t="s">
        <v>187</v>
      </c>
      <c r="I294" s="29" t="s">
        <v>431</v>
      </c>
      <c r="J294" s="34" t="s">
        <v>519</v>
      </c>
      <c r="K294" s="133">
        <v>0.793055555555556</v>
      </c>
    </row>
    <row r="295" spans="1:11">
      <c r="A295" s="31">
        <f>VLOOKUP($C295,SKU!$A:$I,3,FALSE)</f>
        <v>10039</v>
      </c>
      <c r="B295" s="31" t="str">
        <f>VLOOKUP($C295,SKU!$A:$I,2,FALSE)</f>
        <v>非凡航海王第五弹</v>
      </c>
      <c r="C295" s="34" t="s">
        <v>184</v>
      </c>
      <c r="D295" s="29">
        <v>1</v>
      </c>
      <c r="E295" s="31">
        <f>D295*VLOOKUP(A295,Nhập入库!A:N,8,FALSE)</f>
        <v>20</v>
      </c>
      <c r="F295" s="29"/>
      <c r="G295" s="34" t="s">
        <v>432</v>
      </c>
      <c r="H295" s="34" t="s">
        <v>187</v>
      </c>
      <c r="I295" s="29" t="s">
        <v>431</v>
      </c>
      <c r="J295" s="34" t="s">
        <v>519</v>
      </c>
      <c r="K295" s="133">
        <v>0.902083333333333</v>
      </c>
    </row>
    <row r="296" spans="1:11">
      <c r="A296" s="31">
        <f>VLOOKUP($C296,SKU!$A:$I,3,FALSE)</f>
        <v>10039</v>
      </c>
      <c r="B296" s="31" t="str">
        <f>VLOOKUP($C296,SKU!$A:$I,2,FALSE)</f>
        <v>非凡航海王第五弹</v>
      </c>
      <c r="C296" s="34" t="s">
        <v>184</v>
      </c>
      <c r="D296" s="29">
        <v>1</v>
      </c>
      <c r="E296" s="31">
        <f>D296*VLOOKUP(A296,Nhập入库!A:N,8,FALSE)</f>
        <v>20</v>
      </c>
      <c r="F296" s="29"/>
      <c r="G296" s="34" t="s">
        <v>430</v>
      </c>
      <c r="H296" s="34" t="s">
        <v>187</v>
      </c>
      <c r="I296" s="29" t="s">
        <v>431</v>
      </c>
      <c r="J296" s="34" t="s">
        <v>519</v>
      </c>
      <c r="K296" s="133">
        <v>0.910416666666667</v>
      </c>
    </row>
    <row r="297" spans="1:11">
      <c r="A297" s="31">
        <f>VLOOKUP($C297,SKU!$A:$I,3,FALSE)</f>
        <v>10105</v>
      </c>
      <c r="B297" s="31" t="str">
        <f>VLOOKUP($C297,SKU!$A:$I,2,FALSE)</f>
        <v>木木卡舍·鬼灭之刃无限城篇</v>
      </c>
      <c r="C297" s="34" t="s">
        <v>371</v>
      </c>
      <c r="D297" s="29"/>
      <c r="E297" s="31">
        <f>D297*VLOOKUP(A297,Nhập入库!A:N,8,FALSE)</f>
        <v>0</v>
      </c>
      <c r="F297" s="29">
        <v>8</v>
      </c>
      <c r="G297" s="34" t="s">
        <v>33</v>
      </c>
      <c r="H297" s="34" t="s">
        <v>78</v>
      </c>
      <c r="I297" s="29" t="s">
        <v>428</v>
      </c>
      <c r="J297" s="34" t="s">
        <v>519</v>
      </c>
      <c r="K297" s="133">
        <v>0.936805555555556</v>
      </c>
    </row>
    <row r="298" spans="1:11">
      <c r="A298" s="31">
        <f>VLOOKUP($C298,SKU!$A:$I,3,FALSE)</f>
        <v>10105</v>
      </c>
      <c r="B298" s="31" t="str">
        <f>VLOOKUP($C298,SKU!$A:$I,2,FALSE)</f>
        <v>木木卡舍·鬼灭之刃无限城篇</v>
      </c>
      <c r="C298" s="34" t="s">
        <v>371</v>
      </c>
      <c r="D298" s="29"/>
      <c r="E298" s="31">
        <f>D298*VLOOKUP(A298,Nhập入库!A:N,8,FALSE)</f>
        <v>0</v>
      </c>
      <c r="F298" s="29">
        <v>4</v>
      </c>
      <c r="G298" s="34" t="s">
        <v>430</v>
      </c>
      <c r="H298" s="34" t="s">
        <v>78</v>
      </c>
      <c r="I298" s="29" t="s">
        <v>428</v>
      </c>
      <c r="J298" s="34" t="s">
        <v>519</v>
      </c>
      <c r="K298" s="133">
        <v>0.936805555555556</v>
      </c>
    </row>
    <row r="299" spans="1:11">
      <c r="A299" s="31">
        <f>VLOOKUP($C299,SKU!$A:$I,3,FALSE)</f>
        <v>10105</v>
      </c>
      <c r="B299" s="31" t="str">
        <f>VLOOKUP($C299,SKU!$A:$I,2,FALSE)</f>
        <v>木木卡舍·鬼灭之刃无限城篇</v>
      </c>
      <c r="C299" s="34" t="s">
        <v>371</v>
      </c>
      <c r="D299" s="29"/>
      <c r="E299" s="31">
        <f>D299*VLOOKUP(A299,Nhập入库!A:N,8,FALSE)</f>
        <v>0</v>
      </c>
      <c r="F299" s="29">
        <v>6</v>
      </c>
      <c r="G299" s="34" t="s">
        <v>187</v>
      </c>
      <c r="H299" s="34" t="s">
        <v>78</v>
      </c>
      <c r="I299" s="29" t="s">
        <v>428</v>
      </c>
      <c r="J299" s="34" t="s">
        <v>519</v>
      </c>
      <c r="K299" s="133">
        <v>0.936805555555556</v>
      </c>
    </row>
    <row r="300" spans="1:11">
      <c r="A300" s="31">
        <f>VLOOKUP($C300,SKU!$A:$I,3,FALSE)</f>
        <v>10039</v>
      </c>
      <c r="B300" s="31" t="str">
        <f>VLOOKUP($C300,SKU!$A:$I,2,FALSE)</f>
        <v>非凡航海王第五弹</v>
      </c>
      <c r="C300" s="34" t="s">
        <v>184</v>
      </c>
      <c r="D300" s="29"/>
      <c r="E300" s="31">
        <f>D300*VLOOKUP(A300,Nhập入库!A:N,8,FALSE)</f>
        <v>0</v>
      </c>
      <c r="F300" s="29">
        <v>11</v>
      </c>
      <c r="G300" s="34" t="s">
        <v>432</v>
      </c>
      <c r="H300" s="34" t="s">
        <v>187</v>
      </c>
      <c r="I300" s="29" t="s">
        <v>431</v>
      </c>
      <c r="J300" s="34" t="s">
        <v>519</v>
      </c>
      <c r="K300" s="133">
        <v>0.966666666666667</v>
      </c>
    </row>
    <row r="301" spans="1:11">
      <c r="A301" s="31">
        <f>VLOOKUP($C301,SKU!$A:$I,3,FALSE)</f>
        <v>10107</v>
      </c>
      <c r="B301" s="31" t="str">
        <f>VLOOKUP($C301,SKU!$A:$I,2,FALSE)</f>
        <v>Hi卡柯南第四弹《一切都会大白于天下》</v>
      </c>
      <c r="C301" s="34" t="s">
        <v>377</v>
      </c>
      <c r="D301" s="29">
        <v>5</v>
      </c>
      <c r="E301" s="31">
        <f>D301*VLOOKUP(A301,Nhập入库!A:N,8,FALSE)</f>
        <v>75</v>
      </c>
      <c r="F301" s="29"/>
      <c r="G301" s="34" t="s">
        <v>33</v>
      </c>
      <c r="H301" s="34" t="s">
        <v>90</v>
      </c>
      <c r="I301" s="34" t="s">
        <v>59</v>
      </c>
      <c r="J301" s="34" t="s">
        <v>519</v>
      </c>
      <c r="K301" s="133">
        <v>0.966666666666667</v>
      </c>
    </row>
    <row r="302" spans="1:11">
      <c r="A302" s="31">
        <f>VLOOKUP($C302,SKU!$A:$I,3,FALSE)</f>
        <v>10107</v>
      </c>
      <c r="B302" s="31" t="str">
        <f>VLOOKUP($C302,SKU!$A:$I,2,FALSE)</f>
        <v>Hi卡柯南第四弹《一切都会大白于天下》</v>
      </c>
      <c r="C302" s="34" t="s">
        <v>377</v>
      </c>
      <c r="D302" s="29">
        <v>2</v>
      </c>
      <c r="E302" s="31">
        <f>D302*VLOOKUP(A302,Nhập入库!A:N,8,FALSE)</f>
        <v>30</v>
      </c>
      <c r="F302" s="29"/>
      <c r="G302" s="34" t="s">
        <v>78</v>
      </c>
      <c r="H302" s="34" t="s">
        <v>90</v>
      </c>
      <c r="I302" s="34" t="s">
        <v>59</v>
      </c>
      <c r="J302" s="34" t="s">
        <v>519</v>
      </c>
      <c r="K302" s="133">
        <v>0.966666666666667</v>
      </c>
    </row>
    <row r="303" spans="1:11">
      <c r="A303" s="31">
        <f>VLOOKUP($C303,SKU!$A:$I,3,FALSE)</f>
        <v>10105</v>
      </c>
      <c r="B303" s="31" t="str">
        <f>VLOOKUP($C303,SKU!$A:$I,2,FALSE)</f>
        <v>木木卡舍·鬼灭之刃无限城篇</v>
      </c>
      <c r="C303" s="34" t="s">
        <v>371</v>
      </c>
      <c r="D303" s="29"/>
      <c r="E303" s="31">
        <f>D303*VLOOKUP(A303,Nhập入库!A:N,8,FALSE)</f>
        <v>0</v>
      </c>
      <c r="F303" s="29">
        <v>1</v>
      </c>
      <c r="G303" s="34" t="s">
        <v>430</v>
      </c>
      <c r="H303" s="34" t="s">
        <v>78</v>
      </c>
      <c r="I303" s="29" t="s">
        <v>428</v>
      </c>
      <c r="J303" s="34" t="s">
        <v>519</v>
      </c>
      <c r="K303" s="133">
        <v>0.978472222222222</v>
      </c>
    </row>
    <row r="304" spans="1:11">
      <c r="A304" s="31">
        <f>VLOOKUP($C304,SKU!$A:$I,3,FALSE)</f>
        <v>10039</v>
      </c>
      <c r="B304" s="31" t="str">
        <f>VLOOKUP($C304,SKU!$A:$I,2,FALSE)</f>
        <v>非凡航海王第五弹</v>
      </c>
      <c r="C304" s="34" t="s">
        <v>184</v>
      </c>
      <c r="D304" s="29">
        <v>2</v>
      </c>
      <c r="E304" s="31">
        <f>D304*VLOOKUP(A304,Nhập入库!A:N,8,FALSE)</f>
        <v>40</v>
      </c>
      <c r="F304" s="29"/>
      <c r="G304" s="34" t="s">
        <v>98</v>
      </c>
      <c r="H304" s="34" t="s">
        <v>90</v>
      </c>
      <c r="I304" s="34" t="s">
        <v>59</v>
      </c>
      <c r="J304" s="34" t="s">
        <v>520</v>
      </c>
      <c r="K304" s="133">
        <v>0.11875</v>
      </c>
    </row>
    <row r="305" spans="1:11">
      <c r="A305" s="31">
        <f>VLOOKUP($C305,SKU!$A:$I,3,FALSE)</f>
        <v>10039</v>
      </c>
      <c r="B305" s="31" t="str">
        <f>VLOOKUP($C305,SKU!$A:$I,2,FALSE)</f>
        <v>非凡航海王第五弹</v>
      </c>
      <c r="C305" s="34" t="s">
        <v>184</v>
      </c>
      <c r="D305" s="29">
        <v>2</v>
      </c>
      <c r="E305" s="31">
        <f>D305*VLOOKUP(A305,Nhập入库!A:N,8,FALSE)</f>
        <v>40</v>
      </c>
      <c r="F305" s="29"/>
      <c r="G305" s="34" t="s">
        <v>98</v>
      </c>
      <c r="H305" s="34" t="s">
        <v>158</v>
      </c>
      <c r="I305" s="34" t="s">
        <v>59</v>
      </c>
      <c r="J305" s="34" t="s">
        <v>520</v>
      </c>
      <c r="K305" s="133">
        <v>0.11875</v>
      </c>
    </row>
    <row r="306" spans="1:11">
      <c r="A306" s="31">
        <f>VLOOKUP($C306,SKU!$A:$I,3,FALSE)</f>
        <v>10066</v>
      </c>
      <c r="B306" s="31" t="str">
        <f>VLOOKUP($C306,SKU!$A:$I,2,FALSE)</f>
        <v>卡游柯南揭秘包第2弹</v>
      </c>
      <c r="C306" s="34" t="s">
        <v>266</v>
      </c>
      <c r="D306" s="29"/>
      <c r="E306" s="31">
        <f>D306*VLOOKUP(A306,Nhập入库!A:N,8,FALSE)</f>
        <v>0</v>
      </c>
      <c r="F306" s="29">
        <v>128</v>
      </c>
      <c r="G306" s="34" t="s">
        <v>130</v>
      </c>
      <c r="H306" s="34" t="s">
        <v>90</v>
      </c>
      <c r="I306" s="34" t="s">
        <v>59</v>
      </c>
      <c r="J306" s="34" t="s">
        <v>520</v>
      </c>
      <c r="K306" s="133">
        <v>0.128472222222222</v>
      </c>
    </row>
    <row r="307" spans="1:11">
      <c r="A307" s="31">
        <f>VLOOKUP($C307,SKU!$A:$I,3,FALSE)</f>
        <v>10086</v>
      </c>
      <c r="B307" s="31" t="str">
        <f>VLOOKUP($C307,SKU!$A:$I,2,FALSE)</f>
        <v>【潮迷文创】名侦探柯南-危险排队-周边创意艺术色纸</v>
      </c>
      <c r="C307" s="34" t="s">
        <v>319</v>
      </c>
      <c r="D307" s="29"/>
      <c r="E307" s="31">
        <f>D307*VLOOKUP(A307,Nhập入库!A:N,8,FALSE)</f>
        <v>0</v>
      </c>
      <c r="F307" s="29">
        <v>4</v>
      </c>
      <c r="G307" s="34" t="s">
        <v>429</v>
      </c>
      <c r="H307" s="34" t="s">
        <v>33</v>
      </c>
      <c r="I307" s="29" t="s">
        <v>424</v>
      </c>
      <c r="J307" s="34" t="s">
        <v>520</v>
      </c>
      <c r="K307" s="133">
        <v>0.503472222222222</v>
      </c>
    </row>
    <row r="308" spans="1:11">
      <c r="A308" s="31">
        <f>VLOOKUP($C308,SKU!$A:$I,3,FALSE)</f>
        <v>10086</v>
      </c>
      <c r="B308" s="31" t="str">
        <f>VLOOKUP($C308,SKU!$A:$I,2,FALSE)</f>
        <v>【潮迷文创】名侦探柯南-危险排队-周边创意艺术色纸</v>
      </c>
      <c r="C308" s="34" t="s">
        <v>319</v>
      </c>
      <c r="D308" s="29"/>
      <c r="E308" s="31">
        <f>D308*VLOOKUP(A308,Nhập入库!A:N,8,FALSE)</f>
        <v>0</v>
      </c>
      <c r="F308" s="29">
        <v>9</v>
      </c>
      <c r="G308" s="34" t="s">
        <v>78</v>
      </c>
      <c r="H308" s="34" t="s">
        <v>33</v>
      </c>
      <c r="I308" s="29" t="s">
        <v>424</v>
      </c>
      <c r="J308" s="34" t="s">
        <v>520</v>
      </c>
      <c r="K308" s="133">
        <v>0.503472222222222</v>
      </c>
    </row>
    <row r="309" spans="1:11">
      <c r="A309" s="31">
        <f>VLOOKUP($C309,SKU!$A:$I,3,FALSE)</f>
        <v>10076</v>
      </c>
      <c r="B309" s="31" t="str">
        <f>VLOOKUP($C309,SKU!$A:$I,2,FALSE)</f>
        <v>【Aikaho】鬼灭之刃第四弹 集结 【DS-04 Muster】</v>
      </c>
      <c r="C309" s="34" t="s">
        <v>293</v>
      </c>
      <c r="D309" s="29"/>
      <c r="E309" s="31">
        <f>D309*VLOOKUP(A309,Nhập入库!A:N,8,FALSE)</f>
        <v>0</v>
      </c>
      <c r="F309" s="29">
        <v>5</v>
      </c>
      <c r="G309" s="34" t="s">
        <v>430</v>
      </c>
      <c r="H309" s="34" t="s">
        <v>98</v>
      </c>
      <c r="I309" s="29" t="s">
        <v>424</v>
      </c>
      <c r="J309" s="34" t="s">
        <v>520</v>
      </c>
      <c r="K309" s="133">
        <v>0.503472222222222</v>
      </c>
    </row>
    <row r="310" spans="1:11">
      <c r="A310" s="31">
        <f>VLOOKUP($C310,SKU!$A:$I,3,FALSE)</f>
        <v>10066</v>
      </c>
      <c r="B310" s="31" t="str">
        <f>VLOOKUP($C310,SKU!$A:$I,2,FALSE)</f>
        <v>卡游柯南揭秘包第2弹</v>
      </c>
      <c r="C310" s="34" t="s">
        <v>266</v>
      </c>
      <c r="D310" s="29"/>
      <c r="E310" s="31">
        <f>D310*VLOOKUP(A310,Nhập入库!A:N,8,FALSE)</f>
        <v>0</v>
      </c>
      <c r="F310" s="29">
        <v>110</v>
      </c>
      <c r="G310" s="34" t="s">
        <v>90</v>
      </c>
      <c r="H310" s="34" t="s">
        <v>98</v>
      </c>
      <c r="I310" s="29" t="s">
        <v>424</v>
      </c>
      <c r="J310" s="34" t="s">
        <v>520</v>
      </c>
      <c r="K310" s="133">
        <v>0.503472222222222</v>
      </c>
    </row>
    <row r="311" spans="1:11">
      <c r="A311" s="31">
        <f>VLOOKUP($C311,SKU!$A:$I,3,FALSE)</f>
        <v>10039</v>
      </c>
      <c r="B311" s="31" t="str">
        <f>VLOOKUP($C311,SKU!$A:$I,2,FALSE)</f>
        <v>非凡航海王第五弹</v>
      </c>
      <c r="C311" s="34" t="s">
        <v>184</v>
      </c>
      <c r="D311" s="29"/>
      <c r="E311" s="31">
        <f>D311*VLOOKUP(A311,Nhập入库!A:N,8,FALSE)</f>
        <v>0</v>
      </c>
      <c r="F311" s="29">
        <v>20</v>
      </c>
      <c r="G311" s="34" t="s">
        <v>130</v>
      </c>
      <c r="H311" s="34" t="s">
        <v>98</v>
      </c>
      <c r="I311" s="29" t="s">
        <v>424</v>
      </c>
      <c r="J311" s="34" t="s">
        <v>520</v>
      </c>
      <c r="K311" s="133">
        <v>0.503472222222222</v>
      </c>
    </row>
    <row r="312" spans="1:11">
      <c r="A312" s="31">
        <f>VLOOKUP($C312,SKU!$A:$I,3,FALSE)</f>
        <v>10039</v>
      </c>
      <c r="B312" s="31" t="str">
        <f>VLOOKUP($C312,SKU!$A:$I,2,FALSE)</f>
        <v>非凡航海王第五弹</v>
      </c>
      <c r="C312" s="34" t="s">
        <v>184</v>
      </c>
      <c r="D312" s="29">
        <v>18</v>
      </c>
      <c r="E312" s="31">
        <f>D312*VLOOKUP(A312,Nhập入库!A:N,8,FALSE)</f>
        <v>360</v>
      </c>
      <c r="F312" s="29"/>
      <c r="G312" s="34" t="s">
        <v>429</v>
      </c>
      <c r="H312" s="29" t="s">
        <v>98</v>
      </c>
      <c r="I312" s="29" t="s">
        <v>424</v>
      </c>
      <c r="J312" s="34" t="s">
        <v>520</v>
      </c>
      <c r="K312" s="133">
        <v>0.503472222222222</v>
      </c>
    </row>
    <row r="313" spans="1:11">
      <c r="A313" s="31">
        <f>VLOOKUP($C313,SKU!$A:$I,3,FALSE)</f>
        <v>10039</v>
      </c>
      <c r="B313" s="31" t="str">
        <f>VLOOKUP($C313,SKU!$A:$I,2,FALSE)</f>
        <v>非凡航海王第五弹</v>
      </c>
      <c r="C313" s="34" t="s">
        <v>184</v>
      </c>
      <c r="D313" s="29"/>
      <c r="E313" s="31">
        <f>D313*VLOOKUP(A313,Nhập入库!A:N,8,FALSE)</f>
        <v>0</v>
      </c>
      <c r="F313" s="29">
        <v>36</v>
      </c>
      <c r="G313" s="34" t="s">
        <v>78</v>
      </c>
      <c r="H313" s="29" t="s">
        <v>98</v>
      </c>
      <c r="I313" s="29" t="s">
        <v>424</v>
      </c>
      <c r="J313" s="34" t="s">
        <v>520</v>
      </c>
      <c r="K313" s="133">
        <v>0.503472222222222</v>
      </c>
    </row>
    <row r="314" spans="1:11">
      <c r="A314" s="31">
        <f>VLOOKUP($C314,SKU!$A:$I,3,FALSE)</f>
        <v>10102</v>
      </c>
      <c r="B314" s="31" t="str">
        <f>VLOOKUP($C314,SKU!$A:$I,2,FALSE)</f>
        <v>麒麟文创航海王第一弹-仙道天下</v>
      </c>
      <c r="C314" s="34" t="s">
        <v>364</v>
      </c>
      <c r="D314" s="29">
        <v>3</v>
      </c>
      <c r="E314" s="31">
        <f>D314*VLOOKUP(A314,Nhập入库!A:N,8,FALSE)</f>
        <v>39</v>
      </c>
      <c r="F314" s="29"/>
      <c r="G314" s="34" t="s">
        <v>78</v>
      </c>
      <c r="H314" s="34" t="s">
        <v>33</v>
      </c>
      <c r="I314" s="29" t="s">
        <v>424</v>
      </c>
      <c r="J314" s="34" t="s">
        <v>520</v>
      </c>
      <c r="K314" s="133">
        <v>0.503472222222222</v>
      </c>
    </row>
    <row r="315" spans="1:11">
      <c r="A315" s="31">
        <f>VLOOKUP($C315,SKU!$A:$I,3,FALSE)</f>
        <v>10102</v>
      </c>
      <c r="B315" s="31" t="str">
        <f>VLOOKUP($C315,SKU!$A:$I,2,FALSE)</f>
        <v>麒麟文创航海王第一弹-仙道天下</v>
      </c>
      <c r="C315" s="34" t="s">
        <v>364</v>
      </c>
      <c r="D315" s="29">
        <v>4</v>
      </c>
      <c r="E315" s="31">
        <f>D315*VLOOKUP(A315,Nhập入库!A:N,8,FALSE)</f>
        <v>52</v>
      </c>
      <c r="F315" s="29"/>
      <c r="G315" s="34" t="s">
        <v>430</v>
      </c>
      <c r="H315" s="34" t="s">
        <v>33</v>
      </c>
      <c r="I315" s="29" t="s">
        <v>424</v>
      </c>
      <c r="J315" s="34" t="s">
        <v>520</v>
      </c>
      <c r="K315" s="133">
        <v>0.503472222222222</v>
      </c>
    </row>
    <row r="316" spans="1:11">
      <c r="A316" s="31">
        <f>VLOOKUP($C316,SKU!$A:$I,3,FALSE)</f>
        <v>10103</v>
      </c>
      <c r="B316" s="31" t="str">
        <f>VLOOKUP($C316,SKU!$A:$I,2,FALSE)</f>
        <v>疯狂动物城白金收藏卡狐兔神探</v>
      </c>
      <c r="C316" s="34" t="s">
        <v>367</v>
      </c>
      <c r="D316" s="29"/>
      <c r="E316" s="31">
        <f>D316*VLOOKUP(A316,Nhập入库!A:N,8,FALSE)</f>
        <v>0</v>
      </c>
      <c r="F316" s="29">
        <v>25</v>
      </c>
      <c r="G316" s="34" t="s">
        <v>162</v>
      </c>
      <c r="H316" s="34" t="s">
        <v>33</v>
      </c>
      <c r="I316" s="29" t="s">
        <v>424</v>
      </c>
      <c r="J316" s="34" t="s">
        <v>520</v>
      </c>
      <c r="K316" s="133">
        <v>0.503472222222222</v>
      </c>
    </row>
    <row r="317" spans="1:11">
      <c r="A317" s="31">
        <f>VLOOKUP($C317,SKU!$A:$I,3,FALSE)</f>
        <v>10103</v>
      </c>
      <c r="B317" s="31" t="str">
        <f>VLOOKUP($C317,SKU!$A:$I,2,FALSE)</f>
        <v>疯狂动物城白金收藏卡狐兔神探</v>
      </c>
      <c r="C317" s="34" t="s">
        <v>367</v>
      </c>
      <c r="D317" s="29"/>
      <c r="E317" s="31">
        <f>D317*VLOOKUP(A317,Nhập入库!A:N,8,FALSE)</f>
        <v>0</v>
      </c>
      <c r="F317" s="29">
        <v>25</v>
      </c>
      <c r="G317" s="34" t="s">
        <v>146</v>
      </c>
      <c r="H317" s="34" t="s">
        <v>33</v>
      </c>
      <c r="I317" s="29" t="s">
        <v>424</v>
      </c>
      <c r="J317" s="34" t="s">
        <v>520</v>
      </c>
      <c r="K317" s="133">
        <v>0.503472222222222</v>
      </c>
    </row>
    <row r="318" spans="1:11">
      <c r="A318" s="31">
        <f>VLOOKUP($C318,SKU!$A:$I,3,FALSE)</f>
        <v>10039</v>
      </c>
      <c r="B318" s="31" t="str">
        <f>VLOOKUP($C318,SKU!$A:$I,2,FALSE)</f>
        <v>非凡航海王第五弹</v>
      </c>
      <c r="C318" s="34" t="s">
        <v>184</v>
      </c>
      <c r="D318" s="29">
        <v>3</v>
      </c>
      <c r="E318" s="31">
        <f>D318*VLOOKUP(A318,Nhập入库!A:N,8,FALSE)</f>
        <v>60</v>
      </c>
      <c r="F318" s="29"/>
      <c r="G318" s="34" t="s">
        <v>98</v>
      </c>
      <c r="H318" s="34" t="s">
        <v>130</v>
      </c>
      <c r="I318" s="29" t="s">
        <v>424</v>
      </c>
      <c r="J318" s="34" t="s">
        <v>520</v>
      </c>
      <c r="K318" s="133">
        <v>0.5375</v>
      </c>
    </row>
    <row r="319" spans="1:11">
      <c r="A319" s="31">
        <f>VLOOKUP($C319,SKU!$A:$I,3,FALSE)</f>
        <v>10039</v>
      </c>
      <c r="B319" s="31" t="str">
        <f>VLOOKUP($C319,SKU!$A:$I,2,FALSE)</f>
        <v>非凡航海王第五弹</v>
      </c>
      <c r="C319" s="29" t="s">
        <v>184</v>
      </c>
      <c r="D319" s="29">
        <v>5</v>
      </c>
      <c r="E319" s="31">
        <f>D319*VLOOKUP(A319,Nhập入库!A:N,8,FALSE)</f>
        <v>100</v>
      </c>
      <c r="F319" s="29">
        <v>5</v>
      </c>
      <c r="G319" s="29" t="s">
        <v>78</v>
      </c>
      <c r="H319" s="29" t="s">
        <v>422</v>
      </c>
      <c r="I319" s="29" t="s">
        <v>65</v>
      </c>
      <c r="J319" s="34" t="s">
        <v>520</v>
      </c>
      <c r="K319" s="133">
        <v>0.576388888888889</v>
      </c>
    </row>
    <row r="320" spans="1:11">
      <c r="A320" s="31">
        <f>VLOOKUP($C320,SKU!$A:$I,3,FALSE)</f>
        <v>10039</v>
      </c>
      <c r="B320" s="31" t="str">
        <f>VLOOKUP($C320,SKU!$A:$I,2,FALSE)</f>
        <v>非凡航海王第五弹</v>
      </c>
      <c r="C320" s="34" t="s">
        <v>184</v>
      </c>
      <c r="D320" s="29">
        <v>5</v>
      </c>
      <c r="E320" s="31">
        <f>D320*VLOOKUP(A320,Nhập入库!A:N,8,FALSE)</f>
        <v>100</v>
      </c>
      <c r="F320" s="29"/>
      <c r="G320" s="34" t="s">
        <v>78</v>
      </c>
      <c r="H320" s="34" t="s">
        <v>130</v>
      </c>
      <c r="I320" s="29" t="s">
        <v>424</v>
      </c>
      <c r="J320" s="34" t="s">
        <v>520</v>
      </c>
      <c r="K320" s="133">
        <v>0.09375</v>
      </c>
    </row>
    <row r="321" spans="1:11">
      <c r="A321" s="31">
        <f>VLOOKUP($C321,SKU!$A:$I,3,FALSE)</f>
        <v>10087</v>
      </c>
      <c r="B321" s="31" t="str">
        <f>VLOOKUP($C321,SKU!$A:$I,2,FALSE)</f>
        <v>世界杯足球2026</v>
      </c>
      <c r="C321" s="34" t="s">
        <v>322</v>
      </c>
      <c r="D321" s="29">
        <v>2</v>
      </c>
      <c r="E321" s="31">
        <f>D321*VLOOKUP(A321,Nhập入库!A:N,8,FALSE)</f>
        <v>72</v>
      </c>
      <c r="F321" s="29"/>
      <c r="G321" s="34" t="s">
        <v>130</v>
      </c>
      <c r="H321" s="34" t="s">
        <v>98</v>
      </c>
      <c r="I321" s="29" t="s">
        <v>424</v>
      </c>
      <c r="J321" s="34" t="s">
        <v>520</v>
      </c>
      <c r="K321" s="133">
        <v>0.09375</v>
      </c>
    </row>
    <row r="322" spans="1:11">
      <c r="A322" s="31">
        <f>VLOOKUP($C322,SKU!$A:$I,3,FALSE)</f>
        <v>10103</v>
      </c>
      <c r="B322" s="31" t="str">
        <f>VLOOKUP($C322,SKU!$A:$I,2,FALSE)</f>
        <v>疯狂动物城白金收藏卡狐兔神探</v>
      </c>
      <c r="C322" s="34" t="s">
        <v>367</v>
      </c>
      <c r="D322" s="29">
        <v>1</v>
      </c>
      <c r="E322" s="31">
        <f>D322*VLOOKUP(A322,Nhập入库!A:N,8,FALSE)</f>
        <v>20</v>
      </c>
      <c r="F322" s="29"/>
      <c r="G322" s="34" t="s">
        <v>146</v>
      </c>
      <c r="H322" s="34" t="s">
        <v>98</v>
      </c>
      <c r="I322" s="29" t="s">
        <v>424</v>
      </c>
      <c r="J322" s="34" t="s">
        <v>520</v>
      </c>
      <c r="K322" s="133">
        <v>0.09375</v>
      </c>
    </row>
    <row r="323" spans="1:11">
      <c r="A323" s="31">
        <f>VLOOKUP($C323,SKU!$A:$I,3,FALSE)</f>
        <v>10039</v>
      </c>
      <c r="B323" s="31" t="str">
        <f>VLOOKUP($C323,SKU!$A:$I,2,FALSE)</f>
        <v>非凡航海王第五弹</v>
      </c>
      <c r="C323" s="34" t="s">
        <v>184</v>
      </c>
      <c r="D323" s="29">
        <v>5</v>
      </c>
      <c r="E323" s="31">
        <f>D323*VLOOKUP(A323,Nhập入库!A:N,8,FALSE)</f>
        <v>100</v>
      </c>
      <c r="F323" s="29"/>
      <c r="G323" s="29" t="s">
        <v>78</v>
      </c>
      <c r="H323" s="34" t="s">
        <v>130</v>
      </c>
      <c r="I323" s="29" t="s">
        <v>424</v>
      </c>
      <c r="J323" s="34" t="s">
        <v>520</v>
      </c>
      <c r="K323" s="133">
        <v>0.1625</v>
      </c>
    </row>
    <row r="324" spans="1:11">
      <c r="A324" s="31">
        <f>VLOOKUP($C324,SKU!$A:$I,3,FALSE)</f>
        <v>10105</v>
      </c>
      <c r="B324" s="31" t="str">
        <f>VLOOKUP($C324,SKU!$A:$I,2,FALSE)</f>
        <v>木木卡舍·鬼灭之刃无限城篇</v>
      </c>
      <c r="C324" s="29" t="s">
        <v>371</v>
      </c>
      <c r="D324" s="29"/>
      <c r="E324" s="31">
        <f>D324*VLOOKUP(A324,Nhập入库!A:N,8,FALSE)</f>
        <v>0</v>
      </c>
      <c r="F324" s="29">
        <v>14</v>
      </c>
      <c r="G324" s="29" t="s">
        <v>430</v>
      </c>
      <c r="H324" s="29" t="s">
        <v>33</v>
      </c>
      <c r="I324" s="29" t="s">
        <v>424</v>
      </c>
      <c r="J324" s="34" t="s">
        <v>520</v>
      </c>
      <c r="K324" s="133">
        <v>0.698611111111111</v>
      </c>
    </row>
    <row r="325" spans="1:11">
      <c r="A325" s="31">
        <f>VLOOKUP($C325,SKU!$A:$I,3,FALSE)</f>
        <v>10105</v>
      </c>
      <c r="B325" s="31" t="str">
        <f>VLOOKUP($C325,SKU!$A:$I,2,FALSE)</f>
        <v>木木卡舍·鬼灭之刃无限城篇</v>
      </c>
      <c r="C325" s="29" t="s">
        <v>371</v>
      </c>
      <c r="D325" s="29"/>
      <c r="E325" s="31">
        <f>D325*VLOOKUP(A325,Nhập入库!A:N,8,FALSE)</f>
        <v>0</v>
      </c>
      <c r="F325" s="29">
        <v>14</v>
      </c>
      <c r="G325" s="29" t="s">
        <v>33</v>
      </c>
      <c r="H325" s="29" t="s">
        <v>430</v>
      </c>
      <c r="I325" s="29" t="s">
        <v>424</v>
      </c>
      <c r="J325" s="34" t="s">
        <v>520</v>
      </c>
      <c r="K325" s="133">
        <v>0.745833333333333</v>
      </c>
    </row>
    <row r="326" spans="1:11">
      <c r="A326" s="31">
        <f>VLOOKUP($C326,SKU!$A:$I,3,FALSE)</f>
        <v>10039</v>
      </c>
      <c r="B326" s="31" t="str">
        <f>VLOOKUP($C326,SKU!$A:$I,2,FALSE)</f>
        <v>非凡航海王第五弹</v>
      </c>
      <c r="C326" s="34" t="s">
        <v>184</v>
      </c>
      <c r="D326" s="29">
        <v>6</v>
      </c>
      <c r="E326" s="31">
        <f>D326*VLOOKUP(A326,Nhập入库!A:N,8,FALSE)</f>
        <v>120</v>
      </c>
      <c r="F326" s="29"/>
      <c r="G326" s="29" t="s">
        <v>130</v>
      </c>
      <c r="H326" s="34" t="s">
        <v>78</v>
      </c>
      <c r="I326" s="29" t="s">
        <v>428</v>
      </c>
      <c r="J326" s="34" t="s">
        <v>520</v>
      </c>
      <c r="K326" s="133">
        <v>0.752777777777778</v>
      </c>
    </row>
    <row r="327" spans="1:11">
      <c r="A327" s="31">
        <f>VLOOKUP($C327,SKU!$A:$I,3,FALSE)</f>
        <v>10086</v>
      </c>
      <c r="B327" s="31" t="str">
        <f>VLOOKUP($C327,SKU!$A:$I,2,FALSE)</f>
        <v>【潮迷文创】名侦探柯南-危险排队-周边创意艺术色纸</v>
      </c>
      <c r="C327" s="34" t="s">
        <v>319</v>
      </c>
      <c r="D327" s="29">
        <v>20</v>
      </c>
      <c r="E327" s="31">
        <f>D327*VLOOKUP(A327,Nhập入库!A:N,8,FALSE)</f>
        <v>20</v>
      </c>
      <c r="F327" s="29"/>
      <c r="G327" s="29" t="s">
        <v>33</v>
      </c>
      <c r="H327" s="34" t="s">
        <v>429</v>
      </c>
      <c r="I327" s="29" t="s">
        <v>428</v>
      </c>
      <c r="J327" s="34" t="s">
        <v>520</v>
      </c>
      <c r="K327" s="133">
        <v>0.752777777777778</v>
      </c>
    </row>
    <row r="328" spans="1:11">
      <c r="A328" s="31">
        <f>VLOOKUP($C328,SKU!$A:$I,3,FALSE)</f>
        <v>10086</v>
      </c>
      <c r="B328" s="31" t="str">
        <f>VLOOKUP($C328,SKU!$A:$I,2,FALSE)</f>
        <v>【潮迷文创】名侦探柯南-危险排队-周边创意艺术色纸</v>
      </c>
      <c r="C328" s="34" t="s">
        <v>319</v>
      </c>
      <c r="D328" s="29">
        <v>17</v>
      </c>
      <c r="E328" s="31">
        <f>D328*VLOOKUP(A328,Nhập入库!A:N,8,FALSE)</f>
        <v>17</v>
      </c>
      <c r="F328" s="29"/>
      <c r="G328" s="29" t="s">
        <v>90</v>
      </c>
      <c r="H328" s="34" t="s">
        <v>78</v>
      </c>
      <c r="I328" s="29" t="s">
        <v>428</v>
      </c>
      <c r="J328" s="34" t="s">
        <v>520</v>
      </c>
      <c r="K328" s="133">
        <v>0.752777777777778</v>
      </c>
    </row>
    <row r="329" spans="1:11">
      <c r="A329" s="31">
        <f>VLOOKUP($C329,SKU!$A:$I,3,FALSE)</f>
        <v>10016</v>
      </c>
      <c r="B329" s="31" t="str">
        <f>VLOOKUP($C329,SKU!$A:$I,2,FALSE)</f>
        <v>思梨普文创《hey!国王陛下》集换式艺术家典藏卡</v>
      </c>
      <c r="C329" s="34" t="s">
        <v>91</v>
      </c>
      <c r="D329" s="29"/>
      <c r="E329" s="31">
        <f>D329*VLOOKUP(A329,Nhập入库!A:N,8,FALSE)</f>
        <v>0</v>
      </c>
      <c r="F329" s="29">
        <v>10</v>
      </c>
      <c r="G329" s="29" t="s">
        <v>430</v>
      </c>
      <c r="H329" s="34" t="s">
        <v>433</v>
      </c>
      <c r="I329" s="29" t="s">
        <v>431</v>
      </c>
      <c r="J329" s="34" t="s">
        <v>520</v>
      </c>
      <c r="K329" s="133">
        <v>0.852777777777778</v>
      </c>
    </row>
    <row r="330" spans="1:11">
      <c r="A330" s="31">
        <f>VLOOKUP($C330,SKU!$A:$I,3,FALSE)</f>
        <v>10039</v>
      </c>
      <c r="B330" s="31" t="str">
        <f>VLOOKUP($C330,SKU!$A:$I,2,FALSE)</f>
        <v>非凡航海王第五弹</v>
      </c>
      <c r="C330" s="34" t="s">
        <v>184</v>
      </c>
      <c r="D330" s="29">
        <v>4</v>
      </c>
      <c r="E330" s="31">
        <f>D330*VLOOKUP(A330,Nhập入库!A:N,8,FALSE)</f>
        <v>80</v>
      </c>
      <c r="F330" s="29"/>
      <c r="G330" s="29" t="s">
        <v>422</v>
      </c>
      <c r="H330" s="34" t="s">
        <v>78</v>
      </c>
      <c r="I330" s="29" t="s">
        <v>428</v>
      </c>
      <c r="J330" s="34" t="s">
        <v>520</v>
      </c>
      <c r="K330" s="133">
        <v>0.873611111111111</v>
      </c>
    </row>
    <row r="331" spans="1:11">
      <c r="A331" s="31">
        <f>VLOOKUP($C331,SKU!$A:$I,3,FALSE)</f>
        <v>10102</v>
      </c>
      <c r="B331" s="31" t="str">
        <f>VLOOKUP($C331,SKU!$A:$I,2,FALSE)</f>
        <v>麒麟文创航海王第一弹-仙道天下</v>
      </c>
      <c r="C331" s="34" t="s">
        <v>364</v>
      </c>
      <c r="D331" s="29">
        <v>4</v>
      </c>
      <c r="E331" s="31">
        <f>D331*VLOOKUP(A331,Nhập入库!A:N,8,FALSE)</f>
        <v>52</v>
      </c>
      <c r="F331" s="29"/>
      <c r="G331" s="29" t="s">
        <v>429</v>
      </c>
      <c r="H331" s="34" t="s">
        <v>430</v>
      </c>
      <c r="I331" s="29" t="s">
        <v>431</v>
      </c>
      <c r="J331" s="34" t="s">
        <v>520</v>
      </c>
      <c r="K331" s="133">
        <v>0.873611111111111</v>
      </c>
    </row>
    <row r="332" spans="1:11">
      <c r="A332" s="31">
        <f>VLOOKUP($C332,SKU!$A:$I,3,FALSE)</f>
        <v>10105</v>
      </c>
      <c r="B332" s="31" t="str">
        <f>VLOOKUP($C332,SKU!$A:$I,2,FALSE)</f>
        <v>木木卡舍·鬼灭之刃无限城篇</v>
      </c>
      <c r="C332" s="34" t="s">
        <v>371</v>
      </c>
      <c r="D332" s="29"/>
      <c r="E332" s="31">
        <f>D332*VLOOKUP(A332,Nhập入库!A:N,8,FALSE)</f>
        <v>0</v>
      </c>
      <c r="F332" s="29">
        <v>12</v>
      </c>
      <c r="G332" s="29" t="s">
        <v>430</v>
      </c>
      <c r="H332" s="34" t="s">
        <v>78</v>
      </c>
      <c r="I332" s="29" t="s">
        <v>428</v>
      </c>
      <c r="J332" s="34" t="s">
        <v>520</v>
      </c>
      <c r="K332" s="133">
        <v>0.895138888888889</v>
      </c>
    </row>
    <row r="333" spans="1:11">
      <c r="A333" s="31">
        <f>VLOOKUP($C333,SKU!$A:$I,3,FALSE)</f>
        <v>10105</v>
      </c>
      <c r="B333" s="31" t="str">
        <f>VLOOKUP($C333,SKU!$A:$I,2,FALSE)</f>
        <v>木木卡舍·鬼灭之刃无限城篇</v>
      </c>
      <c r="C333" s="34" t="s">
        <v>371</v>
      </c>
      <c r="D333" s="29"/>
      <c r="E333" s="31">
        <f>D333*VLOOKUP(A333,Nhập入库!A:N,8,FALSE)</f>
        <v>0</v>
      </c>
      <c r="F333" s="29">
        <v>1</v>
      </c>
      <c r="G333" s="29" t="s">
        <v>430</v>
      </c>
      <c r="H333" s="29" t="s">
        <v>90</v>
      </c>
      <c r="I333" s="34" t="s">
        <v>59</v>
      </c>
      <c r="J333" s="34" t="s">
        <v>521</v>
      </c>
      <c r="K333" s="133">
        <v>0.0201388888888889</v>
      </c>
    </row>
    <row r="334" spans="1:11">
      <c r="A334" s="31">
        <f>VLOOKUP($C334,SKU!$A:$I,3,FALSE)</f>
        <v>10029</v>
      </c>
      <c r="B334" s="31" t="str">
        <f>VLOOKUP($C334,SKU!$A:$I,2,FALSE)</f>
        <v>樱花屋魔卡少女樱</v>
      </c>
      <c r="C334" s="34" t="s">
        <v>143</v>
      </c>
      <c r="D334" s="29"/>
      <c r="E334" s="31">
        <f>D334*VLOOKUP(A334,Nhập入库!A:N,8,FALSE)</f>
        <v>0</v>
      </c>
      <c r="F334" s="29">
        <v>31</v>
      </c>
      <c r="G334" s="29" t="s">
        <v>422</v>
      </c>
      <c r="H334" s="29" t="s">
        <v>158</v>
      </c>
      <c r="I334" s="34" t="s">
        <v>59</v>
      </c>
      <c r="J334" s="34" t="s">
        <v>521</v>
      </c>
      <c r="K334" s="133">
        <v>0.0618055555555556</v>
      </c>
    </row>
    <row r="335" spans="1:11">
      <c r="A335" s="31">
        <f>VLOOKUP($C335,SKU!$A:$I,3,FALSE)</f>
        <v>10039</v>
      </c>
      <c r="B335" s="31" t="str">
        <f>VLOOKUP($C335,SKU!$A:$I,2,FALSE)</f>
        <v>非凡航海王第五弹</v>
      </c>
      <c r="C335" s="34" t="s">
        <v>184</v>
      </c>
      <c r="D335" s="29">
        <v>1</v>
      </c>
      <c r="E335" s="31">
        <f>D335*VLOOKUP(A335,Nhập入库!A:N,8,FALSE)</f>
        <v>20</v>
      </c>
      <c r="F335" s="29"/>
      <c r="G335" s="29" t="s">
        <v>432</v>
      </c>
      <c r="H335" s="29" t="s">
        <v>90</v>
      </c>
      <c r="I335" s="34" t="s">
        <v>59</v>
      </c>
      <c r="J335" s="34" t="s">
        <v>521</v>
      </c>
      <c r="K335" s="133">
        <v>0.0618055555555556</v>
      </c>
    </row>
    <row r="336" spans="1:11">
      <c r="A336" s="31">
        <f>VLOOKUP($C336,SKU!$A:$I,3,FALSE)</f>
        <v>10008</v>
      </c>
      <c r="B336" s="31" t="str">
        <f>VLOOKUP($C336,SKU!$A:$I,2,FALSE)</f>
        <v>XWork美少女战士-璀璨之梦</v>
      </c>
      <c r="C336" s="29" t="s">
        <v>55</v>
      </c>
      <c r="D336" s="29">
        <v>4</v>
      </c>
      <c r="E336" s="31">
        <f>D336*VLOOKUP(A336,Nhập入库!A:N,8,FALSE)</f>
        <v>40</v>
      </c>
      <c r="F336" s="29"/>
      <c r="G336" s="29" t="s">
        <v>146</v>
      </c>
      <c r="H336" s="29" t="s">
        <v>426</v>
      </c>
      <c r="I336" s="29" t="s">
        <v>65</v>
      </c>
      <c r="J336" s="34" t="s">
        <v>521</v>
      </c>
      <c r="K336" s="133">
        <v>0.506944444444444</v>
      </c>
    </row>
    <row r="337" spans="1:11">
      <c r="A337" s="31">
        <f>VLOOKUP($C337,SKU!$A:$I,3,FALSE)</f>
        <v>10008</v>
      </c>
      <c r="B337" s="31" t="str">
        <f>VLOOKUP($C337,SKU!$A:$I,2,FALSE)</f>
        <v>XWork美少女战士-璀璨之梦</v>
      </c>
      <c r="C337" s="29" t="s">
        <v>55</v>
      </c>
      <c r="D337" s="29">
        <v>3</v>
      </c>
      <c r="E337" s="31">
        <f>D337*VLOOKUP(A337,Nhập入库!A:N,8,FALSE)</f>
        <v>30</v>
      </c>
      <c r="F337" s="29"/>
      <c r="G337" s="29" t="s">
        <v>130</v>
      </c>
      <c r="H337" s="29" t="s">
        <v>426</v>
      </c>
      <c r="I337" s="29" t="s">
        <v>65</v>
      </c>
      <c r="J337" s="34" t="s">
        <v>521</v>
      </c>
      <c r="K337" s="133">
        <v>0.506944444444444</v>
      </c>
    </row>
    <row r="338" spans="1:11">
      <c r="A338" s="31">
        <f>VLOOKUP($C338,SKU!$A:$I,3,FALSE)</f>
        <v>10102</v>
      </c>
      <c r="B338" s="31" t="str">
        <f>VLOOKUP($C338,SKU!$A:$I,2,FALSE)</f>
        <v>麒麟文创航海王第一弹-仙道天下</v>
      </c>
      <c r="C338" s="29" t="s">
        <v>364</v>
      </c>
      <c r="D338" s="29">
        <v>5</v>
      </c>
      <c r="E338" s="31">
        <f>D338*VLOOKUP(A338,Nhập入库!A:N,8,FALSE)</f>
        <v>65</v>
      </c>
      <c r="F338" s="29"/>
      <c r="G338" s="34" t="s">
        <v>33</v>
      </c>
      <c r="H338" s="29" t="s">
        <v>426</v>
      </c>
      <c r="I338" s="29" t="s">
        <v>65</v>
      </c>
      <c r="J338" s="34" t="s">
        <v>521</v>
      </c>
      <c r="K338" s="133">
        <v>0.520833333333333</v>
      </c>
    </row>
    <row r="339" spans="1:11">
      <c r="A339" s="31">
        <f>VLOOKUP($C339,SKU!$A:$I,3,FALSE)</f>
        <v>10039</v>
      </c>
      <c r="B339" s="31" t="str">
        <f>VLOOKUP($C339,SKU!$A:$I,2,FALSE)</f>
        <v>非凡航海王第五弹</v>
      </c>
      <c r="C339" s="29" t="s">
        <v>184</v>
      </c>
      <c r="D339" s="29"/>
      <c r="E339" s="31">
        <f>D339*VLOOKUP(A339,Nhập入库!A:N,8,FALSE)</f>
        <v>0</v>
      </c>
      <c r="F339" s="29">
        <v>80</v>
      </c>
      <c r="G339" s="29" t="s">
        <v>429</v>
      </c>
      <c r="H339" s="29" t="s">
        <v>98</v>
      </c>
      <c r="I339" s="29" t="s">
        <v>424</v>
      </c>
      <c r="J339" s="34" t="s">
        <v>521</v>
      </c>
      <c r="K339" s="133">
        <v>0.418055555555556</v>
      </c>
    </row>
    <row r="340" spans="1:11">
      <c r="A340" s="31">
        <f>VLOOKUP($C340,SKU!$A:$I,3,FALSE)</f>
        <v>10039</v>
      </c>
      <c r="B340" s="31" t="str">
        <f>VLOOKUP($C340,SKU!$A:$I,2,FALSE)</f>
        <v>非凡航海王第五弹</v>
      </c>
      <c r="C340" s="29" t="s">
        <v>184</v>
      </c>
      <c r="D340" s="29"/>
      <c r="E340" s="31">
        <f>D340*VLOOKUP(A340,Nhập入库!A:N,8,FALSE)</f>
        <v>0</v>
      </c>
      <c r="F340" s="29">
        <v>60</v>
      </c>
      <c r="G340" s="29" t="s">
        <v>33</v>
      </c>
      <c r="H340" s="29" t="s">
        <v>130</v>
      </c>
      <c r="I340" s="29" t="s">
        <v>424</v>
      </c>
      <c r="J340" s="34" t="s">
        <v>521</v>
      </c>
      <c r="K340" s="133">
        <v>0.418055555555556</v>
      </c>
    </row>
    <row r="341" spans="1:11">
      <c r="A341" s="31">
        <f>VLOOKUP($C341,SKU!$A:$I,3,FALSE)</f>
        <v>10039</v>
      </c>
      <c r="B341" s="31" t="str">
        <f>VLOOKUP($C341,SKU!$A:$I,2,FALSE)</f>
        <v>非凡航海王第五弹</v>
      </c>
      <c r="C341" s="29" t="s">
        <v>184</v>
      </c>
      <c r="D341" s="29">
        <v>2</v>
      </c>
      <c r="E341" s="31">
        <f>D341*VLOOKUP(A341,Nhập入库!A:N,8,FALSE)</f>
        <v>40</v>
      </c>
      <c r="F341" s="29"/>
      <c r="G341" s="29" t="s">
        <v>430</v>
      </c>
      <c r="H341" s="29" t="s">
        <v>130</v>
      </c>
      <c r="I341" s="29" t="s">
        <v>424</v>
      </c>
      <c r="J341" s="34" t="s">
        <v>521</v>
      </c>
      <c r="K341" s="133">
        <v>0.463194444444444</v>
      </c>
    </row>
    <row r="342" spans="1:11">
      <c r="A342" s="31">
        <f>VLOOKUP($C342,SKU!$A:$I,3,FALSE)</f>
        <v>10039</v>
      </c>
      <c r="B342" s="31" t="str">
        <f>VLOOKUP($C342,SKU!$A:$I,2,FALSE)</f>
        <v>非凡航海王第五弹</v>
      </c>
      <c r="C342" s="29" t="s">
        <v>184</v>
      </c>
      <c r="D342" s="29">
        <v>2</v>
      </c>
      <c r="E342" s="31">
        <f>D342*VLOOKUP(A342,Nhập入库!A:N,8,FALSE)</f>
        <v>40</v>
      </c>
      <c r="F342" s="29"/>
      <c r="G342" s="29" t="s">
        <v>98</v>
      </c>
      <c r="H342" s="29" t="s">
        <v>130</v>
      </c>
      <c r="I342" s="29" t="s">
        <v>424</v>
      </c>
      <c r="J342" s="34" t="s">
        <v>521</v>
      </c>
      <c r="K342" s="133">
        <v>0.463194444444444</v>
      </c>
    </row>
    <row r="343" spans="1:11">
      <c r="A343" s="31">
        <f>VLOOKUP($C343,SKU!$A:$I,3,FALSE)</f>
        <v>10039</v>
      </c>
      <c r="B343" s="31" t="str">
        <f>VLOOKUP($C343,SKU!$A:$I,2,FALSE)</f>
        <v>非凡航海王第五弹</v>
      </c>
      <c r="C343" s="29" t="s">
        <v>184</v>
      </c>
      <c r="D343" s="29"/>
      <c r="E343" s="31">
        <f>D343*VLOOKUP(A343,Nhập入库!A:N,8,FALSE)</f>
        <v>0</v>
      </c>
      <c r="F343" s="29">
        <v>9</v>
      </c>
      <c r="G343" s="29" t="s">
        <v>90</v>
      </c>
      <c r="H343" s="29" t="s">
        <v>98</v>
      </c>
      <c r="I343" s="29" t="s">
        <v>424</v>
      </c>
      <c r="J343" s="34" t="s">
        <v>521</v>
      </c>
      <c r="K343" s="133">
        <v>0.463194444444444</v>
      </c>
    </row>
    <row r="344" spans="1:11">
      <c r="A344" s="31">
        <f>VLOOKUP($C344,SKU!$A:$I,3,FALSE)</f>
        <v>10039</v>
      </c>
      <c r="B344" s="31" t="str">
        <f>VLOOKUP($C344,SKU!$A:$I,2,FALSE)</f>
        <v>非凡航海王第五弹</v>
      </c>
      <c r="C344" s="29" t="s">
        <v>184</v>
      </c>
      <c r="D344" s="29"/>
      <c r="E344" s="31">
        <f>D344*VLOOKUP(A344,Nhập入库!A:N,8,FALSE)</f>
        <v>0</v>
      </c>
      <c r="F344" s="29">
        <v>34</v>
      </c>
      <c r="G344" s="29" t="s">
        <v>174</v>
      </c>
      <c r="H344" s="29" t="s">
        <v>98</v>
      </c>
      <c r="I344" s="29" t="s">
        <v>424</v>
      </c>
      <c r="J344" s="34" t="s">
        <v>521</v>
      </c>
      <c r="K344" s="133">
        <v>0.582638888888889</v>
      </c>
    </row>
    <row r="345" spans="1:11">
      <c r="A345" s="31">
        <f>VLOOKUP($C345,SKU!$A:$I,3,FALSE)</f>
        <v>10012</v>
      </c>
      <c r="B345" s="31" t="str">
        <f>VLOOKUP($C345,SKU!$A:$I,2,FALSE)</f>
        <v>卡文化进击的巨人</v>
      </c>
      <c r="C345" s="29" t="s">
        <v>75</v>
      </c>
      <c r="D345" s="29"/>
      <c r="E345" s="31">
        <f>D345*VLOOKUP(A345,Nhập入库!A:N,8,FALSE)</f>
        <v>0</v>
      </c>
      <c r="F345" s="29">
        <v>10</v>
      </c>
      <c r="G345" s="29" t="s">
        <v>33</v>
      </c>
      <c r="H345" s="29" t="s">
        <v>98</v>
      </c>
      <c r="I345" s="29" t="s">
        <v>424</v>
      </c>
      <c r="J345" s="34" t="s">
        <v>521</v>
      </c>
      <c r="K345" s="133">
        <v>0.582638888888889</v>
      </c>
    </row>
    <row r="346" spans="1:11">
      <c r="A346" s="31">
        <f>VLOOKUP($C346,SKU!$A:$I,3,FALSE)</f>
        <v>10071</v>
      </c>
      <c r="B346" s="31" t="str">
        <f>VLOOKUP($C346,SKU!$A:$I,2,FALSE)</f>
        <v>咒术回战-术士收藏卡-高专篇</v>
      </c>
      <c r="C346" s="29" t="s">
        <v>280</v>
      </c>
      <c r="D346" s="29"/>
      <c r="E346" s="31">
        <f>D346*VLOOKUP(A346,Nhập入库!A:N,8,FALSE)</f>
        <v>0</v>
      </c>
      <c r="F346" s="29">
        <v>38</v>
      </c>
      <c r="G346" s="29" t="s">
        <v>146</v>
      </c>
      <c r="H346" s="29" t="s">
        <v>98</v>
      </c>
      <c r="I346" s="29" t="s">
        <v>424</v>
      </c>
      <c r="J346" s="34" t="s">
        <v>521</v>
      </c>
      <c r="K346" s="133">
        <v>0.582638888888889</v>
      </c>
    </row>
    <row r="347" spans="1:11">
      <c r="A347" s="31">
        <f>VLOOKUP($C347,SKU!$A:$I,3,FALSE)</f>
        <v>10039</v>
      </c>
      <c r="B347" s="31" t="str">
        <f>VLOOKUP($C347,SKU!$A:$I,2,FALSE)</f>
        <v>非凡航海王第五弹</v>
      </c>
      <c r="C347" s="29" t="s">
        <v>184</v>
      </c>
      <c r="D347" s="29">
        <v>2</v>
      </c>
      <c r="E347" s="31">
        <f>D347*VLOOKUP(A347,Nhập入库!A:N,8,FALSE)</f>
        <v>40</v>
      </c>
      <c r="F347" s="29"/>
      <c r="G347" s="29" t="s">
        <v>429</v>
      </c>
      <c r="H347" s="29" t="s">
        <v>98</v>
      </c>
      <c r="I347" s="29" t="s">
        <v>424</v>
      </c>
      <c r="J347" s="34" t="s">
        <v>521</v>
      </c>
      <c r="K347" s="133">
        <v>0.618055555555556</v>
      </c>
    </row>
    <row r="348" spans="1:11">
      <c r="A348" s="31">
        <f>VLOOKUP($C348,SKU!$A:$I,3,FALSE)</f>
        <v>10039</v>
      </c>
      <c r="B348" s="31" t="str">
        <f>VLOOKUP($C348,SKU!$A:$I,2,FALSE)</f>
        <v>非凡航海王第五弹</v>
      </c>
      <c r="C348" s="29" t="s">
        <v>184</v>
      </c>
      <c r="D348" s="29"/>
      <c r="E348" s="31">
        <f>D348*VLOOKUP(A348,Nhập入库!A:N,8,FALSE)</f>
        <v>0</v>
      </c>
      <c r="F348" s="29">
        <v>6</v>
      </c>
      <c r="G348" s="29" t="s">
        <v>429</v>
      </c>
      <c r="H348" s="29" t="s">
        <v>130</v>
      </c>
      <c r="I348" s="29" t="s">
        <v>424</v>
      </c>
      <c r="J348" s="34" t="s">
        <v>521</v>
      </c>
      <c r="K348" s="133">
        <v>0.618055555555556</v>
      </c>
    </row>
    <row r="349" spans="1:11">
      <c r="A349" s="31">
        <f>VLOOKUP($C349,SKU!$A:$I,3,FALSE)</f>
        <v>10039</v>
      </c>
      <c r="B349" s="31" t="str">
        <f>VLOOKUP($C349,SKU!$A:$I,2,FALSE)</f>
        <v>非凡航海王第五弹</v>
      </c>
      <c r="C349" s="29" t="s">
        <v>184</v>
      </c>
      <c r="D349" s="29"/>
      <c r="E349" s="31">
        <f>D349*VLOOKUP(A349,Nhập入库!A:N,8,FALSE)</f>
        <v>0</v>
      </c>
      <c r="F349" s="29">
        <v>12</v>
      </c>
      <c r="G349" s="29" t="s">
        <v>429</v>
      </c>
      <c r="H349" s="29" t="s">
        <v>78</v>
      </c>
      <c r="I349" s="29" t="s">
        <v>428</v>
      </c>
      <c r="J349" s="34" t="s">
        <v>521</v>
      </c>
      <c r="K349" s="133">
        <v>0.854166666666667</v>
      </c>
    </row>
    <row r="350" spans="1:11">
      <c r="A350" s="31">
        <f>VLOOKUP($C350,SKU!$A:$I,3,FALSE)</f>
        <v>10039</v>
      </c>
      <c r="B350" s="31" t="str">
        <f>VLOOKUP($C350,SKU!$A:$I,2,FALSE)</f>
        <v>非凡航海王第五弹</v>
      </c>
      <c r="C350" s="29" t="s">
        <v>184</v>
      </c>
      <c r="D350" s="29"/>
      <c r="E350" s="31">
        <f>D350*VLOOKUP(A350,Nhập入库!A:N,8,FALSE)</f>
        <v>0</v>
      </c>
      <c r="F350" s="29">
        <v>14</v>
      </c>
      <c r="G350" s="29" t="s">
        <v>432</v>
      </c>
      <c r="H350" s="29" t="s">
        <v>78</v>
      </c>
      <c r="I350" s="29" t="s">
        <v>428</v>
      </c>
      <c r="J350" s="34" t="s">
        <v>521</v>
      </c>
      <c r="K350" s="133">
        <v>0.854166666666667</v>
      </c>
    </row>
    <row r="351" spans="1:11">
      <c r="A351" s="31">
        <f>VLOOKUP($C351,SKU!$A:$I,3,FALSE)</f>
        <v>10039</v>
      </c>
      <c r="B351" s="31" t="str">
        <f>VLOOKUP($C351,SKU!$A:$I,2,FALSE)</f>
        <v>非凡航海王第五弹</v>
      </c>
      <c r="C351" s="29" t="s">
        <v>184</v>
      </c>
      <c r="D351" s="29"/>
      <c r="E351" s="31">
        <f>D351*VLOOKUP(A351,Nhập入库!A:N,8,FALSE)</f>
        <v>0</v>
      </c>
      <c r="F351" s="29">
        <v>4</v>
      </c>
      <c r="G351" s="29" t="s">
        <v>422</v>
      </c>
      <c r="H351" s="29" t="s">
        <v>78</v>
      </c>
      <c r="I351" s="29" t="s">
        <v>428</v>
      </c>
      <c r="J351" s="34" t="s">
        <v>521</v>
      </c>
      <c r="K351" s="133">
        <v>0.854166666666667</v>
      </c>
    </row>
    <row r="352" spans="1:11">
      <c r="A352" s="31">
        <f>VLOOKUP($C352,SKU!$A:$I,3,FALSE)</f>
        <v>10039</v>
      </c>
      <c r="B352" s="31" t="str">
        <f>VLOOKUP($C352,SKU!$A:$I,2,FALSE)</f>
        <v>非凡航海王第五弹</v>
      </c>
      <c r="C352" s="29" t="s">
        <v>184</v>
      </c>
      <c r="D352" s="29"/>
      <c r="E352" s="31">
        <f>D352*VLOOKUP(A352,Nhập入库!A:N,8,FALSE)</f>
        <v>0</v>
      </c>
      <c r="F352" s="29">
        <v>29</v>
      </c>
      <c r="G352" s="29" t="s">
        <v>98</v>
      </c>
      <c r="H352" s="29" t="s">
        <v>78</v>
      </c>
      <c r="I352" s="29" t="s">
        <v>428</v>
      </c>
      <c r="J352" s="34" t="s">
        <v>521</v>
      </c>
      <c r="K352" s="133">
        <v>0.854166666666667</v>
      </c>
    </row>
    <row r="353" spans="1:11">
      <c r="A353" s="31">
        <f>VLOOKUP($C353,SKU!$A:$I,3,FALSE)</f>
        <v>10039</v>
      </c>
      <c r="B353" s="31" t="str">
        <f>VLOOKUP($C353,SKU!$A:$I,2,FALSE)</f>
        <v>非凡航海王第五弹</v>
      </c>
      <c r="C353" s="29" t="s">
        <v>184</v>
      </c>
      <c r="D353" s="29"/>
      <c r="E353" s="31">
        <f>D353*VLOOKUP(A353,Nhập入库!A:N,8,FALSE)</f>
        <v>0</v>
      </c>
      <c r="F353" s="29">
        <v>6</v>
      </c>
      <c r="G353" s="29" t="s">
        <v>158</v>
      </c>
      <c r="H353" s="29" t="s">
        <v>78</v>
      </c>
      <c r="I353" s="29" t="s">
        <v>428</v>
      </c>
      <c r="J353" s="34" t="s">
        <v>521</v>
      </c>
      <c r="K353" s="133">
        <v>0.854166666666667</v>
      </c>
    </row>
    <row r="354" spans="1:11">
      <c r="A354" s="31">
        <f>VLOOKUP($C354,SKU!$A:$I,3,FALSE)</f>
        <v>10039</v>
      </c>
      <c r="B354" s="31" t="str">
        <f>VLOOKUP($C354,SKU!$A:$I,2,FALSE)</f>
        <v>非凡航海王第五弹</v>
      </c>
      <c r="C354" s="29" t="s">
        <v>184</v>
      </c>
      <c r="D354" s="29"/>
      <c r="E354" s="31">
        <f>D354*VLOOKUP(A354,Nhập入库!A:N,8,FALSE)</f>
        <v>0</v>
      </c>
      <c r="F354" s="29">
        <v>18</v>
      </c>
      <c r="G354" s="29" t="s">
        <v>166</v>
      </c>
      <c r="H354" s="29" t="s">
        <v>78</v>
      </c>
      <c r="I354" s="29" t="s">
        <v>428</v>
      </c>
      <c r="J354" s="34" t="s">
        <v>521</v>
      </c>
      <c r="K354" s="133">
        <v>0.854166666666667</v>
      </c>
    </row>
    <row r="355" spans="1:11">
      <c r="A355" s="31" t="e">
        <f>VLOOKUP($C355,SKU!$A:$I,3,FALSE)</f>
        <v>#N/A</v>
      </c>
      <c r="B355" s="31" t="e">
        <f>VLOOKUP($C355,SKU!$A:$I,2,FALSE)</f>
        <v>#N/A</v>
      </c>
      <c r="C355" s="29"/>
      <c r="D355" s="29"/>
      <c r="E355" s="31" t="e">
        <f>D355*VLOOKUP(A355,Nhập入库!A:N,8,FALSE)</f>
        <v>#N/A</v>
      </c>
      <c r="F355" s="29"/>
      <c r="G355" s="29"/>
      <c r="H355" s="29"/>
      <c r="I355" s="29"/>
      <c r="J355" s="34"/>
      <c r="K355" s="133"/>
    </row>
    <row r="356" spans="1:11">
      <c r="A356" s="31" t="e">
        <f>VLOOKUP($C356,SKU!$A:$I,3,FALSE)</f>
        <v>#N/A</v>
      </c>
      <c r="B356" s="31" t="e">
        <f>VLOOKUP($C356,SKU!$A:$I,2,FALSE)</f>
        <v>#N/A</v>
      </c>
      <c r="C356" s="29"/>
      <c r="D356" s="29"/>
      <c r="E356" s="31" t="e">
        <f>D356*VLOOKUP(A356,Nhập入库!A:N,8,FALSE)</f>
        <v>#N/A</v>
      </c>
      <c r="F356" s="29"/>
      <c r="G356" s="29"/>
      <c r="H356" s="29"/>
      <c r="I356" s="29"/>
      <c r="J356" s="34"/>
      <c r="K356" s="133"/>
    </row>
    <row r="357" spans="1:11">
      <c r="A357" s="31" t="e">
        <f>VLOOKUP($C357,SKU!$A:$I,3,FALSE)</f>
        <v>#N/A</v>
      </c>
      <c r="B357" s="31" t="e">
        <f>VLOOKUP($C357,SKU!$A:$I,2,FALSE)</f>
        <v>#N/A</v>
      </c>
      <c r="C357" s="29"/>
      <c r="D357" s="29"/>
      <c r="E357" s="31" t="e">
        <f>D357*VLOOKUP(A357,Nhập入库!A:N,8,FALSE)</f>
        <v>#N/A</v>
      </c>
      <c r="F357" s="29"/>
      <c r="G357" s="29"/>
      <c r="H357" s="29"/>
      <c r="I357" s="29"/>
      <c r="J357" s="34"/>
      <c r="K357" s="133"/>
    </row>
    <row r="358" spans="1:11">
      <c r="A358" s="31" t="e">
        <f>VLOOKUP($C358,SKU!$A:$I,3,FALSE)</f>
        <v>#N/A</v>
      </c>
      <c r="B358" s="31" t="e">
        <f>VLOOKUP($C358,SKU!$A:$I,2,FALSE)</f>
        <v>#N/A</v>
      </c>
      <c r="C358" s="29"/>
      <c r="D358" s="29"/>
      <c r="E358" s="31" t="e">
        <f>D358*VLOOKUP(A358,Nhập入库!A:N,8,FALSE)</f>
        <v>#N/A</v>
      </c>
      <c r="F358" s="29"/>
      <c r="G358" s="29"/>
      <c r="H358" s="29"/>
      <c r="I358" s="29"/>
      <c r="J358" s="34"/>
      <c r="K358" s="133"/>
    </row>
    <row r="359" spans="1:11">
      <c r="A359" s="31" t="e">
        <f>VLOOKUP($C359,SKU!$A:$I,3,FALSE)</f>
        <v>#N/A</v>
      </c>
      <c r="B359" s="31" t="e">
        <f>VLOOKUP($C359,SKU!$A:$I,2,FALSE)</f>
        <v>#N/A</v>
      </c>
      <c r="C359" s="29"/>
      <c r="D359" s="29"/>
      <c r="E359" s="31" t="e">
        <f>D359*VLOOKUP(A359,Nhập入库!A:N,8,FALSE)</f>
        <v>#N/A</v>
      </c>
      <c r="F359" s="29"/>
      <c r="G359" s="29"/>
      <c r="H359" s="29"/>
      <c r="I359" s="29"/>
      <c r="J359" s="34"/>
      <c r="K359" s="133"/>
    </row>
    <row r="360" spans="1:11">
      <c r="A360" s="31" t="e">
        <f>VLOOKUP($C360,SKU!$A:$I,3,FALSE)</f>
        <v>#N/A</v>
      </c>
      <c r="B360" s="31" t="e">
        <f>VLOOKUP($C360,SKU!$A:$I,2,FALSE)</f>
        <v>#N/A</v>
      </c>
      <c r="C360" s="29"/>
      <c r="D360" s="29"/>
      <c r="E360" s="31" t="e">
        <f>D360*VLOOKUP(A360,Nhập入库!A:N,8,FALSE)</f>
        <v>#N/A</v>
      </c>
      <c r="F360" s="29"/>
      <c r="G360" s="29"/>
      <c r="H360" s="29"/>
      <c r="I360" s="29"/>
      <c r="J360" s="34"/>
      <c r="K360" s="133"/>
    </row>
    <row r="361" spans="1:11">
      <c r="A361" s="31" t="e">
        <f>VLOOKUP($C361,SKU!$A:$I,3,FALSE)</f>
        <v>#N/A</v>
      </c>
      <c r="B361" s="31" t="e">
        <f>VLOOKUP($C361,SKU!$A:$I,2,FALSE)</f>
        <v>#N/A</v>
      </c>
      <c r="C361" s="29"/>
      <c r="D361" s="29"/>
      <c r="E361" s="31" t="e">
        <f>D361*VLOOKUP(A361,Nhập入库!A:N,8,FALSE)</f>
        <v>#N/A</v>
      </c>
      <c r="F361" s="29"/>
      <c r="G361" s="29"/>
      <c r="H361" s="29"/>
      <c r="I361" s="29"/>
      <c r="J361" s="34"/>
      <c r="K361" s="133"/>
    </row>
    <row r="362" spans="1:11">
      <c r="A362" s="31" t="e">
        <f>VLOOKUP($C362,SKU!$A:$I,3,FALSE)</f>
        <v>#N/A</v>
      </c>
      <c r="B362" s="31" t="e">
        <f>VLOOKUP($C362,SKU!$A:$I,2,FALSE)</f>
        <v>#N/A</v>
      </c>
      <c r="C362" s="29"/>
      <c r="D362" s="29"/>
      <c r="E362" s="31" t="e">
        <f>D362*VLOOKUP(A362,Nhập入库!A:N,8,FALSE)</f>
        <v>#N/A</v>
      </c>
      <c r="F362" s="29"/>
      <c r="G362" s="29"/>
      <c r="H362" s="29"/>
      <c r="I362" s="29"/>
      <c r="J362" s="34"/>
      <c r="K362" s="133"/>
    </row>
    <row r="363" spans="1:11">
      <c r="A363" s="31" t="e">
        <f>VLOOKUP($C363,SKU!$A:$I,3,FALSE)</f>
        <v>#N/A</v>
      </c>
      <c r="B363" s="31" t="e">
        <f>VLOOKUP($C363,SKU!$A:$I,2,FALSE)</f>
        <v>#N/A</v>
      </c>
      <c r="C363" s="29"/>
      <c r="D363" s="29"/>
      <c r="E363" s="31" t="e">
        <f>D363*VLOOKUP(A363,Nhập入库!A:N,8,FALSE)</f>
        <v>#N/A</v>
      </c>
      <c r="F363" s="29"/>
      <c r="G363" s="29"/>
      <c r="H363" s="29"/>
      <c r="I363" s="29"/>
      <c r="J363" s="34"/>
      <c r="K363" s="133"/>
    </row>
    <row r="364" spans="1:11">
      <c r="A364" s="31" t="e">
        <f>VLOOKUP($C364,SKU!$A:$I,3,FALSE)</f>
        <v>#N/A</v>
      </c>
      <c r="B364" s="31" t="e">
        <f>VLOOKUP($C364,SKU!$A:$I,2,FALSE)</f>
        <v>#N/A</v>
      </c>
      <c r="C364" s="29"/>
      <c r="D364" s="29"/>
      <c r="E364" s="31" t="e">
        <f>D364*VLOOKUP(A364,Nhập入库!A:N,8,FALSE)</f>
        <v>#N/A</v>
      </c>
      <c r="F364" s="29"/>
      <c r="G364" s="29"/>
      <c r="H364" s="29"/>
      <c r="I364" s="29"/>
      <c r="J364" s="34"/>
      <c r="K364" s="133"/>
    </row>
    <row r="365" spans="1:11">
      <c r="A365" s="31" t="e">
        <f>VLOOKUP($C365,SKU!$A:$I,3,FALSE)</f>
        <v>#N/A</v>
      </c>
      <c r="B365" s="31" t="e">
        <f>VLOOKUP($C365,SKU!$A:$I,2,FALSE)</f>
        <v>#N/A</v>
      </c>
      <c r="C365" s="29"/>
      <c r="D365" s="29"/>
      <c r="E365" s="31" t="e">
        <f>D365*VLOOKUP(A365,Nhập入库!A:N,8,FALSE)</f>
        <v>#N/A</v>
      </c>
      <c r="F365" s="29"/>
      <c r="G365" s="29"/>
      <c r="H365" s="29"/>
      <c r="I365" s="29"/>
      <c r="J365" s="34"/>
      <c r="K365" s="133"/>
    </row>
    <row r="366" spans="1:11">
      <c r="A366" s="31" t="e">
        <f>VLOOKUP($C366,SKU!$A:$I,3,FALSE)</f>
        <v>#N/A</v>
      </c>
      <c r="B366" s="31" t="e">
        <f>VLOOKUP($C366,SKU!$A:$I,2,FALSE)</f>
        <v>#N/A</v>
      </c>
      <c r="C366" s="29"/>
      <c r="D366" s="29"/>
      <c r="E366" s="31" t="e">
        <f>D366*VLOOKUP(A366,Nhập入库!A:N,8,FALSE)</f>
        <v>#N/A</v>
      </c>
      <c r="F366" s="29"/>
      <c r="G366" s="29"/>
      <c r="H366" s="29"/>
      <c r="I366" s="29"/>
      <c r="J366" s="34"/>
      <c r="K366" s="133"/>
    </row>
    <row r="367" spans="1:11">
      <c r="A367" s="31" t="e">
        <f>VLOOKUP($C367,SKU!$A:$I,3,FALSE)</f>
        <v>#N/A</v>
      </c>
      <c r="B367" s="31" t="e">
        <f>VLOOKUP($C367,SKU!$A:$I,2,FALSE)</f>
        <v>#N/A</v>
      </c>
      <c r="C367" s="29"/>
      <c r="D367" s="29"/>
      <c r="E367" s="31" t="e">
        <f>D367*VLOOKUP(A367,Nhập入库!A:N,8,FALSE)</f>
        <v>#N/A</v>
      </c>
      <c r="F367" s="29"/>
      <c r="G367" s="29"/>
      <c r="H367" s="29"/>
      <c r="I367" s="29"/>
      <c r="J367" s="34"/>
      <c r="K367" s="133"/>
    </row>
    <row r="368" spans="1:11">
      <c r="A368" s="31" t="e">
        <f>VLOOKUP($C368,SKU!$A:$I,3,FALSE)</f>
        <v>#N/A</v>
      </c>
      <c r="B368" s="31" t="e">
        <f>VLOOKUP($C368,SKU!$A:$I,2,FALSE)</f>
        <v>#N/A</v>
      </c>
      <c r="C368" s="29"/>
      <c r="D368" s="29"/>
      <c r="E368" s="31" t="e">
        <f>D368*VLOOKUP(A368,Nhập入库!A:N,8,FALSE)</f>
        <v>#N/A</v>
      </c>
      <c r="F368" s="29"/>
      <c r="G368" s="29"/>
      <c r="H368" s="29"/>
      <c r="I368" s="29"/>
      <c r="J368" s="34"/>
      <c r="K368" s="133"/>
    </row>
    <row r="369" spans="1:11">
      <c r="A369" s="31" t="e">
        <f>VLOOKUP($C369,SKU!$A:$I,3,FALSE)</f>
        <v>#N/A</v>
      </c>
      <c r="B369" s="31" t="e">
        <f>VLOOKUP($C369,SKU!$A:$I,2,FALSE)</f>
        <v>#N/A</v>
      </c>
      <c r="C369" s="29"/>
      <c r="D369" s="29"/>
      <c r="E369" s="31" t="e">
        <f>D369*VLOOKUP(A369,Nhập入库!A:N,8,FALSE)</f>
        <v>#N/A</v>
      </c>
      <c r="F369" s="29"/>
      <c r="G369" s="29"/>
      <c r="H369" s="29"/>
      <c r="I369" s="29"/>
      <c r="J369" s="34"/>
      <c r="K369" s="133"/>
    </row>
    <row r="370" spans="1:11">
      <c r="A370" s="31" t="e">
        <f>VLOOKUP($C370,SKU!$A:$I,3,FALSE)</f>
        <v>#N/A</v>
      </c>
      <c r="B370" s="31" t="e">
        <f>VLOOKUP($C370,SKU!$A:$I,2,FALSE)</f>
        <v>#N/A</v>
      </c>
      <c r="C370" s="29"/>
      <c r="D370" s="29"/>
      <c r="E370" s="31" t="e">
        <f>D370*VLOOKUP(A370,Nhập入库!A:N,8,FALSE)</f>
        <v>#N/A</v>
      </c>
      <c r="F370" s="29"/>
      <c r="G370" s="29"/>
      <c r="H370" s="29"/>
      <c r="I370" s="29"/>
      <c r="J370" s="34"/>
      <c r="K370" s="133"/>
    </row>
    <row r="371" spans="1:11">
      <c r="A371" s="31" t="e">
        <f>VLOOKUP($C371,SKU!$A:$I,3,FALSE)</f>
        <v>#N/A</v>
      </c>
      <c r="B371" s="31" t="e">
        <f>VLOOKUP($C371,SKU!$A:$I,2,FALSE)</f>
        <v>#N/A</v>
      </c>
      <c r="C371" s="29"/>
      <c r="D371" s="29"/>
      <c r="E371" s="31" t="e">
        <f>D371*VLOOKUP(A371,Nhập入库!A:N,8,FALSE)</f>
        <v>#N/A</v>
      </c>
      <c r="F371" s="29"/>
      <c r="G371" s="29"/>
      <c r="H371" s="29"/>
      <c r="I371" s="29"/>
      <c r="J371" s="34"/>
      <c r="K371" s="133"/>
    </row>
    <row r="372" spans="1:11">
      <c r="A372" s="31" t="e">
        <f>VLOOKUP($C372,SKU!$A:$I,3,FALSE)</f>
        <v>#N/A</v>
      </c>
      <c r="B372" s="31" t="e">
        <f>VLOOKUP($C372,SKU!$A:$I,2,FALSE)</f>
        <v>#N/A</v>
      </c>
      <c r="C372" s="29"/>
      <c r="D372" s="29"/>
      <c r="E372" s="31" t="e">
        <f>D372*VLOOKUP(A372,Nhập入库!A:N,8,FALSE)</f>
        <v>#N/A</v>
      </c>
      <c r="F372" s="29"/>
      <c r="G372" s="29"/>
      <c r="H372" s="29"/>
      <c r="I372" s="29"/>
      <c r="J372" s="34"/>
      <c r="K372" s="133"/>
    </row>
    <row r="373" spans="1:11">
      <c r="A373" s="31" t="e">
        <f>VLOOKUP($C373,SKU!$A:$I,3,FALSE)</f>
        <v>#N/A</v>
      </c>
      <c r="B373" s="31" t="e">
        <f>VLOOKUP($C373,SKU!$A:$I,2,FALSE)</f>
        <v>#N/A</v>
      </c>
      <c r="C373" s="29"/>
      <c r="D373" s="29"/>
      <c r="E373" s="31" t="e">
        <f>D373*VLOOKUP(A373,Nhập入库!A:N,8,FALSE)</f>
        <v>#N/A</v>
      </c>
      <c r="F373" s="29"/>
      <c r="G373" s="29"/>
      <c r="H373" s="29"/>
      <c r="I373" s="29"/>
      <c r="J373" s="34"/>
      <c r="K373" s="133"/>
    </row>
    <row r="374" spans="1:11">
      <c r="A374" s="31" t="e">
        <f>VLOOKUP($C374,SKU!$A:$I,3,FALSE)</f>
        <v>#N/A</v>
      </c>
      <c r="B374" s="31" t="e">
        <f>VLOOKUP($C374,SKU!$A:$I,2,FALSE)</f>
        <v>#N/A</v>
      </c>
      <c r="C374" s="29"/>
      <c r="D374" s="29"/>
      <c r="E374" s="31" t="e">
        <f>D374*VLOOKUP(A374,Nhập入库!A:N,8,FALSE)</f>
        <v>#N/A</v>
      </c>
      <c r="F374" s="29"/>
      <c r="G374" s="29"/>
      <c r="H374" s="29"/>
      <c r="I374" s="29"/>
      <c r="J374" s="34"/>
      <c r="K374" s="133"/>
    </row>
    <row r="375" spans="1:11">
      <c r="A375" s="31" t="e">
        <f>VLOOKUP($C375,SKU!$A:$I,3,FALSE)</f>
        <v>#N/A</v>
      </c>
      <c r="B375" s="31" t="e">
        <f>VLOOKUP($C375,SKU!$A:$I,2,FALSE)</f>
        <v>#N/A</v>
      </c>
      <c r="C375" s="29"/>
      <c r="D375" s="29"/>
      <c r="E375" s="31" t="e">
        <f>D375*VLOOKUP(A375,Nhập入库!A:N,8,FALSE)</f>
        <v>#N/A</v>
      </c>
      <c r="F375" s="29"/>
      <c r="G375" s="29"/>
      <c r="H375" s="29"/>
      <c r="I375" s="29"/>
      <c r="J375" s="34"/>
      <c r="K375" s="133"/>
    </row>
    <row r="376" spans="1:11">
      <c r="A376" s="31" t="e">
        <f>VLOOKUP($C376,SKU!$A:$I,3,FALSE)</f>
        <v>#N/A</v>
      </c>
      <c r="B376" s="31" t="e">
        <f>VLOOKUP($C376,SKU!$A:$I,2,FALSE)</f>
        <v>#N/A</v>
      </c>
      <c r="C376" s="29"/>
      <c r="D376" s="29"/>
      <c r="E376" s="31" t="e">
        <f>D376*VLOOKUP(A376,Nhập入库!A:N,8,FALSE)</f>
        <v>#N/A</v>
      </c>
      <c r="F376" s="29"/>
      <c r="G376" s="29"/>
      <c r="H376" s="29"/>
      <c r="I376" s="29"/>
      <c r="J376" s="34"/>
      <c r="K376" s="133"/>
    </row>
    <row r="377" spans="1:11">
      <c r="A377" s="31" t="e">
        <f>VLOOKUP($C377,SKU!$A:$I,3,FALSE)</f>
        <v>#N/A</v>
      </c>
      <c r="B377" s="31" t="e">
        <f>VLOOKUP($C377,SKU!$A:$I,2,FALSE)</f>
        <v>#N/A</v>
      </c>
      <c r="C377" s="29"/>
      <c r="D377" s="29"/>
      <c r="E377" s="31" t="e">
        <f>D377*VLOOKUP(A377,Nhập入库!A:N,8,FALSE)</f>
        <v>#N/A</v>
      </c>
      <c r="F377" s="29"/>
      <c r="G377" s="29"/>
      <c r="H377" s="29"/>
      <c r="I377" s="29"/>
      <c r="J377" s="34"/>
      <c r="K377" s="133"/>
    </row>
    <row r="378" spans="1:11">
      <c r="A378" s="31" t="e">
        <f>VLOOKUP($C378,SKU!$A:$I,3,FALSE)</f>
        <v>#N/A</v>
      </c>
      <c r="B378" s="31" t="e">
        <f>VLOOKUP($C378,SKU!$A:$I,2,FALSE)</f>
        <v>#N/A</v>
      </c>
      <c r="C378" s="29"/>
      <c r="D378" s="29"/>
      <c r="E378" s="31" t="e">
        <f>D378*VLOOKUP(A378,Nhập入库!A:N,8,FALSE)</f>
        <v>#N/A</v>
      </c>
      <c r="F378" s="29"/>
      <c r="G378" s="29"/>
      <c r="H378" s="29"/>
      <c r="I378" s="29"/>
      <c r="J378" s="34"/>
      <c r="K378" s="133"/>
    </row>
    <row r="379" spans="1:11">
      <c r="A379" s="31" t="e">
        <f>VLOOKUP($C379,SKU!$A:$I,3,FALSE)</f>
        <v>#N/A</v>
      </c>
      <c r="B379" s="31" t="e">
        <f>VLOOKUP($C379,SKU!$A:$I,2,FALSE)</f>
        <v>#N/A</v>
      </c>
      <c r="C379" s="29"/>
      <c r="D379" s="29"/>
      <c r="E379" s="31" t="e">
        <f>D379*VLOOKUP(A379,Nhập入库!A:N,8,FALSE)</f>
        <v>#N/A</v>
      </c>
      <c r="F379" s="29"/>
      <c r="G379" s="29"/>
      <c r="H379" s="29"/>
      <c r="I379" s="29"/>
      <c r="J379" s="34"/>
      <c r="K379" s="133"/>
    </row>
    <row r="380" spans="1:11">
      <c r="A380" s="31" t="e">
        <f>VLOOKUP($C380,SKU!$A:$I,3,FALSE)</f>
        <v>#N/A</v>
      </c>
      <c r="B380" s="31" t="e">
        <f>VLOOKUP($C380,SKU!$A:$I,2,FALSE)</f>
        <v>#N/A</v>
      </c>
      <c r="C380" s="29"/>
      <c r="D380" s="29"/>
      <c r="E380" s="31" t="e">
        <f>D380*VLOOKUP(A380,Nhập入库!A:N,8,FALSE)</f>
        <v>#N/A</v>
      </c>
      <c r="F380" s="29"/>
      <c r="G380" s="29"/>
      <c r="H380" s="29"/>
      <c r="I380" s="29"/>
      <c r="J380" s="34"/>
      <c r="K380" s="133"/>
    </row>
    <row r="381" spans="1:11">
      <c r="A381" s="31" t="e">
        <f>VLOOKUP($C381,SKU!$A:$I,3,FALSE)</f>
        <v>#N/A</v>
      </c>
      <c r="B381" s="31" t="e">
        <f>VLOOKUP($C381,SKU!$A:$I,2,FALSE)</f>
        <v>#N/A</v>
      </c>
      <c r="C381" s="29"/>
      <c r="D381" s="29"/>
      <c r="E381" s="31" t="e">
        <f>D381*VLOOKUP(A381,Nhập入库!A:N,8,FALSE)</f>
        <v>#N/A</v>
      </c>
      <c r="F381" s="29"/>
      <c r="G381" s="29"/>
      <c r="H381" s="29"/>
      <c r="I381" s="29"/>
      <c r="J381" s="34"/>
      <c r="K381" s="133"/>
    </row>
    <row r="382" spans="1:11">
      <c r="A382" s="31" t="e">
        <f>VLOOKUP($C382,SKU!$A:$I,3,FALSE)</f>
        <v>#N/A</v>
      </c>
      <c r="B382" s="31" t="e">
        <f>VLOOKUP($C382,SKU!$A:$I,2,FALSE)</f>
        <v>#N/A</v>
      </c>
      <c r="C382" s="29"/>
      <c r="D382" s="29"/>
      <c r="E382" s="31" t="e">
        <f>D382*VLOOKUP(A382,Nhập入库!A:N,8,FALSE)</f>
        <v>#N/A</v>
      </c>
      <c r="F382" s="29"/>
      <c r="G382" s="29"/>
      <c r="H382" s="29"/>
      <c r="I382" s="29"/>
      <c r="J382" s="34"/>
      <c r="K382" s="133"/>
    </row>
    <row r="383" spans="1:11">
      <c r="A383" s="31" t="e">
        <f>VLOOKUP($C383,SKU!$A:$I,3,FALSE)</f>
        <v>#N/A</v>
      </c>
      <c r="B383" s="31" t="e">
        <f>VLOOKUP($C383,SKU!$A:$I,2,FALSE)</f>
        <v>#N/A</v>
      </c>
      <c r="C383" s="29"/>
      <c r="D383" s="29"/>
      <c r="E383" s="31" t="e">
        <f>D383*VLOOKUP(A383,Nhập入库!A:N,8,FALSE)</f>
        <v>#N/A</v>
      </c>
      <c r="F383" s="29"/>
      <c r="G383" s="29"/>
      <c r="H383" s="29"/>
      <c r="I383" s="29"/>
      <c r="J383" s="34"/>
      <c r="K383" s="133"/>
    </row>
    <row r="384" spans="1:11">
      <c r="A384" s="31" t="e">
        <f>VLOOKUP($C384,SKU!$A:$I,3,FALSE)</f>
        <v>#N/A</v>
      </c>
      <c r="B384" s="31" t="e">
        <f>VLOOKUP($C384,SKU!$A:$I,2,FALSE)</f>
        <v>#N/A</v>
      </c>
      <c r="C384" s="29"/>
      <c r="D384" s="29"/>
      <c r="E384" s="31" t="e">
        <f>D384*VLOOKUP(A384,Nhập入库!A:N,8,FALSE)</f>
        <v>#N/A</v>
      </c>
      <c r="F384" s="29"/>
      <c r="G384" s="29"/>
      <c r="H384" s="29"/>
      <c r="I384" s="29"/>
      <c r="J384" s="34"/>
      <c r="K384" s="133"/>
    </row>
    <row r="385" spans="1:11">
      <c r="A385" s="31" t="e">
        <f>VLOOKUP($C385,SKU!$A:$I,3,FALSE)</f>
        <v>#N/A</v>
      </c>
      <c r="B385" s="31" t="e">
        <f>VLOOKUP($C385,SKU!$A:$I,2,FALSE)</f>
        <v>#N/A</v>
      </c>
      <c r="C385" s="29"/>
      <c r="D385" s="29"/>
      <c r="E385" s="31" t="e">
        <f>D385*VLOOKUP(A385,Nhập入库!A:N,8,FALSE)</f>
        <v>#N/A</v>
      </c>
      <c r="F385" s="29"/>
      <c r="G385" s="29"/>
      <c r="H385" s="29"/>
      <c r="I385" s="29"/>
      <c r="J385" s="34"/>
      <c r="K385" s="133"/>
    </row>
    <row r="386" spans="1:11">
      <c r="A386" s="31" t="e">
        <f>VLOOKUP($C386,SKU!$A:$I,3,FALSE)</f>
        <v>#N/A</v>
      </c>
      <c r="B386" s="31" t="e">
        <f>VLOOKUP($C386,SKU!$A:$I,2,FALSE)</f>
        <v>#N/A</v>
      </c>
      <c r="C386" s="29"/>
      <c r="D386" s="29"/>
      <c r="E386" s="31" t="e">
        <f>D386*VLOOKUP(A386,Nhập入库!A:N,8,FALSE)</f>
        <v>#N/A</v>
      </c>
      <c r="F386" s="29"/>
      <c r="G386" s="29"/>
      <c r="H386" s="29"/>
      <c r="I386" s="29"/>
      <c r="J386" s="34"/>
      <c r="K386" s="133"/>
    </row>
    <row r="387" spans="1:11">
      <c r="A387" s="31" t="e">
        <f>VLOOKUP($C387,SKU!$A:$I,3,FALSE)</f>
        <v>#N/A</v>
      </c>
      <c r="B387" s="31" t="e">
        <f>VLOOKUP($C387,SKU!$A:$I,2,FALSE)</f>
        <v>#N/A</v>
      </c>
      <c r="C387" s="29"/>
      <c r="D387" s="29"/>
      <c r="E387" s="31" t="e">
        <f>D387*VLOOKUP(A387,Nhập入库!A:N,8,FALSE)</f>
        <v>#N/A</v>
      </c>
      <c r="F387" s="29"/>
      <c r="G387" s="29"/>
      <c r="H387" s="29"/>
      <c r="I387" s="29"/>
      <c r="J387" s="34"/>
      <c r="K387" s="133"/>
    </row>
    <row r="388" spans="1:11">
      <c r="A388" s="31" t="e">
        <f>VLOOKUP($C388,SKU!$A:$I,3,FALSE)</f>
        <v>#N/A</v>
      </c>
      <c r="B388" s="31" t="e">
        <f>VLOOKUP($C388,SKU!$A:$I,2,FALSE)</f>
        <v>#N/A</v>
      </c>
      <c r="C388" s="29"/>
      <c r="D388" s="29"/>
      <c r="E388" s="31" t="e">
        <f>D388*VLOOKUP(A388,Nhập入库!A:N,8,FALSE)</f>
        <v>#N/A</v>
      </c>
      <c r="F388" s="29"/>
      <c r="G388" s="29"/>
      <c r="H388" s="29"/>
      <c r="I388" s="29"/>
      <c r="J388" s="34"/>
      <c r="K388" s="133"/>
    </row>
    <row r="389" spans="1:11">
      <c r="A389" s="31" t="e">
        <f>VLOOKUP($C389,SKU!$A:$I,3,FALSE)</f>
        <v>#N/A</v>
      </c>
      <c r="B389" s="31" t="e">
        <f>VLOOKUP($C389,SKU!$A:$I,2,FALSE)</f>
        <v>#N/A</v>
      </c>
      <c r="C389" s="29"/>
      <c r="D389" s="29"/>
      <c r="E389" s="31" t="e">
        <f>D389*VLOOKUP(A389,Nhập入库!A:N,8,FALSE)</f>
        <v>#N/A</v>
      </c>
      <c r="F389" s="29"/>
      <c r="G389" s="29"/>
      <c r="H389" s="29"/>
      <c r="I389" s="29"/>
      <c r="J389" s="34"/>
      <c r="K389" s="133"/>
    </row>
    <row r="390" spans="1:11">
      <c r="A390" s="31" t="e">
        <f>VLOOKUP($C390,SKU!$A:$I,3,FALSE)</f>
        <v>#N/A</v>
      </c>
      <c r="B390" s="31" t="e">
        <f>VLOOKUP($C390,SKU!$A:$I,2,FALSE)</f>
        <v>#N/A</v>
      </c>
      <c r="C390" s="29"/>
      <c r="D390" s="29"/>
      <c r="E390" s="31" t="e">
        <f>D390*VLOOKUP(A390,Nhập入库!A:N,8,FALSE)</f>
        <v>#N/A</v>
      </c>
      <c r="F390" s="29"/>
      <c r="G390" s="29"/>
      <c r="H390" s="29"/>
      <c r="I390" s="29"/>
      <c r="J390" s="34"/>
      <c r="K390" s="133"/>
    </row>
    <row r="391" spans="1:11">
      <c r="A391" s="31" t="e">
        <f>VLOOKUP($C391,SKU!$A:$I,3,FALSE)</f>
        <v>#N/A</v>
      </c>
      <c r="B391" s="31" t="e">
        <f>VLOOKUP($C391,SKU!$A:$I,2,FALSE)</f>
        <v>#N/A</v>
      </c>
      <c r="C391" s="29"/>
      <c r="D391" s="29"/>
      <c r="E391" s="31" t="e">
        <f>D391*VLOOKUP(A391,Nhập入库!A:N,8,FALSE)</f>
        <v>#N/A</v>
      </c>
      <c r="F391" s="29"/>
      <c r="G391" s="29"/>
      <c r="H391" s="29"/>
      <c r="I391" s="29"/>
      <c r="J391" s="34"/>
      <c r="K391" s="133"/>
    </row>
    <row r="392" spans="1:11">
      <c r="A392" s="31" t="e">
        <f>VLOOKUP($C392,SKU!$A:$I,3,FALSE)</f>
        <v>#N/A</v>
      </c>
      <c r="B392" s="31" t="e">
        <f>VLOOKUP($C392,SKU!$A:$I,2,FALSE)</f>
        <v>#N/A</v>
      </c>
      <c r="C392" s="29"/>
      <c r="D392" s="29"/>
      <c r="E392" s="31" t="e">
        <f>D392*VLOOKUP(A392,Nhập入库!A:N,8,FALSE)</f>
        <v>#N/A</v>
      </c>
      <c r="F392" s="29"/>
      <c r="G392" s="29"/>
      <c r="H392" s="29"/>
      <c r="I392" s="29"/>
      <c r="J392" s="34"/>
      <c r="K392" s="133"/>
    </row>
    <row r="393" spans="1:11">
      <c r="A393" s="31" t="e">
        <f>VLOOKUP($C393,SKU!$A:$I,3,FALSE)</f>
        <v>#N/A</v>
      </c>
      <c r="B393" s="31" t="e">
        <f>VLOOKUP($C393,SKU!$A:$I,2,FALSE)</f>
        <v>#N/A</v>
      </c>
      <c r="C393" s="29"/>
      <c r="D393" s="29"/>
      <c r="E393" s="31" t="e">
        <f>D393*VLOOKUP(A393,Nhập入库!A:N,8,FALSE)</f>
        <v>#N/A</v>
      </c>
      <c r="F393" s="29"/>
      <c r="G393" s="29"/>
      <c r="H393" s="29"/>
      <c r="I393" s="29"/>
      <c r="J393" s="34"/>
      <c r="K393" s="133"/>
    </row>
    <row r="394" spans="1:11">
      <c r="A394" s="31" t="e">
        <f>VLOOKUP($C394,SKU!$A:$I,3,FALSE)</f>
        <v>#N/A</v>
      </c>
      <c r="B394" s="31" t="e">
        <f>VLOOKUP($C394,SKU!$A:$I,2,FALSE)</f>
        <v>#N/A</v>
      </c>
      <c r="C394" s="29"/>
      <c r="D394" s="29"/>
      <c r="E394" s="31" t="e">
        <f>D394*VLOOKUP(A394,Nhập入库!A:N,8,FALSE)</f>
        <v>#N/A</v>
      </c>
      <c r="F394" s="29"/>
      <c r="G394" s="29"/>
      <c r="H394" s="29"/>
      <c r="I394" s="29"/>
      <c r="J394" s="34"/>
      <c r="K394" s="133"/>
    </row>
    <row r="395" spans="1:11">
      <c r="A395" s="31" t="e">
        <f>VLOOKUP($C395,SKU!$A:$I,3,FALSE)</f>
        <v>#N/A</v>
      </c>
      <c r="B395" s="31" t="e">
        <f>VLOOKUP($C395,SKU!$A:$I,2,FALSE)</f>
        <v>#N/A</v>
      </c>
      <c r="C395" s="29"/>
      <c r="D395" s="29"/>
      <c r="E395" s="31" t="e">
        <f>D395*VLOOKUP(A395,Nhập入库!A:N,8,FALSE)</f>
        <v>#N/A</v>
      </c>
      <c r="F395" s="29"/>
      <c r="G395" s="29"/>
      <c r="H395" s="29"/>
      <c r="I395" s="29"/>
      <c r="J395" s="34"/>
      <c r="K395" s="133"/>
    </row>
    <row r="396" spans="1:11">
      <c r="A396" s="31" t="e">
        <f>VLOOKUP($C396,SKU!$A:$I,3,FALSE)</f>
        <v>#N/A</v>
      </c>
      <c r="B396" s="31" t="e">
        <f>VLOOKUP($C396,SKU!$A:$I,2,FALSE)</f>
        <v>#N/A</v>
      </c>
      <c r="C396" s="29"/>
      <c r="D396" s="29"/>
      <c r="E396" s="31" t="e">
        <f>D396*VLOOKUP(A396,Nhập入库!A:N,8,FALSE)</f>
        <v>#N/A</v>
      </c>
      <c r="F396" s="29"/>
      <c r="G396" s="29"/>
      <c r="H396" s="29"/>
      <c r="I396" s="29"/>
      <c r="J396" s="34"/>
      <c r="K396" s="133"/>
    </row>
    <row r="397" spans="1:11">
      <c r="A397" s="31" t="e">
        <f>VLOOKUP($C397,SKU!$A:$I,3,FALSE)</f>
        <v>#N/A</v>
      </c>
      <c r="B397" s="31" t="e">
        <f>VLOOKUP($C397,SKU!$A:$I,2,FALSE)</f>
        <v>#N/A</v>
      </c>
      <c r="C397" s="29"/>
      <c r="D397" s="29"/>
      <c r="E397" s="31" t="e">
        <f>D397*VLOOKUP(A397,Nhập入库!A:N,8,FALSE)</f>
        <v>#N/A</v>
      </c>
      <c r="F397" s="29"/>
      <c r="G397" s="29"/>
      <c r="H397" s="29"/>
      <c r="I397" s="29"/>
      <c r="J397" s="34"/>
      <c r="K397" s="133"/>
    </row>
    <row r="398" spans="1:11">
      <c r="A398" s="31" t="e">
        <f>VLOOKUP($C398,SKU!$A:$I,3,FALSE)</f>
        <v>#N/A</v>
      </c>
      <c r="B398" s="31" t="e">
        <f>VLOOKUP($C398,SKU!$A:$I,2,FALSE)</f>
        <v>#N/A</v>
      </c>
      <c r="C398" s="29"/>
      <c r="D398" s="29"/>
      <c r="E398" s="31" t="e">
        <f>D398*VLOOKUP(A398,Nhập入库!A:N,8,FALSE)</f>
        <v>#N/A</v>
      </c>
      <c r="F398" s="29"/>
      <c r="G398" s="29"/>
      <c r="H398" s="29"/>
      <c r="I398" s="29"/>
      <c r="J398" s="34"/>
      <c r="K398" s="133"/>
    </row>
    <row r="399" spans="1:11">
      <c r="A399" s="31" t="e">
        <f>VLOOKUP($C399,SKU!$A:$I,3,FALSE)</f>
        <v>#N/A</v>
      </c>
      <c r="B399" s="31" t="e">
        <f>VLOOKUP($C399,SKU!$A:$I,2,FALSE)</f>
        <v>#N/A</v>
      </c>
      <c r="C399" s="29"/>
      <c r="D399" s="29"/>
      <c r="E399" s="31" t="e">
        <f>D399*VLOOKUP(A399,Nhập入库!A:N,8,FALSE)</f>
        <v>#N/A</v>
      </c>
      <c r="F399" s="29"/>
      <c r="G399" s="29"/>
      <c r="H399" s="29"/>
      <c r="I399" s="29"/>
      <c r="J399" s="34"/>
      <c r="K399" s="133"/>
    </row>
    <row r="400" spans="1:11">
      <c r="A400" s="31" t="e">
        <f>VLOOKUP($C400,SKU!$A:$I,3,FALSE)</f>
        <v>#N/A</v>
      </c>
      <c r="B400" s="31" t="e">
        <f>VLOOKUP($C400,SKU!$A:$I,2,FALSE)</f>
        <v>#N/A</v>
      </c>
      <c r="C400" s="29"/>
      <c r="D400" s="29"/>
      <c r="E400" s="31" t="e">
        <f>D400*VLOOKUP(A400,Nhập入库!A:N,8,FALSE)</f>
        <v>#N/A</v>
      </c>
      <c r="F400" s="29"/>
      <c r="G400" s="29"/>
      <c r="H400" s="29"/>
      <c r="I400" s="29"/>
      <c r="J400" s="34"/>
      <c r="K400" s="133"/>
    </row>
    <row r="401" spans="1:11">
      <c r="A401" s="31" t="e">
        <f>VLOOKUP($C401,SKU!$A:$I,3,FALSE)</f>
        <v>#N/A</v>
      </c>
      <c r="B401" s="31" t="e">
        <f>VLOOKUP($C401,SKU!$A:$I,2,FALSE)</f>
        <v>#N/A</v>
      </c>
      <c r="C401" s="29"/>
      <c r="D401" s="29"/>
      <c r="E401" s="31" t="e">
        <f>D401*VLOOKUP(A401,Nhập入库!A:N,8,FALSE)</f>
        <v>#N/A</v>
      </c>
      <c r="F401" s="29"/>
      <c r="G401" s="29"/>
      <c r="H401" s="29"/>
      <c r="I401" s="29"/>
      <c r="J401" s="34"/>
      <c r="K401" s="133"/>
    </row>
    <row r="402" spans="1:11">
      <c r="A402" s="31" t="e">
        <f>VLOOKUP($C402,SKU!$A:$I,3,FALSE)</f>
        <v>#N/A</v>
      </c>
      <c r="B402" s="31" t="e">
        <f>VLOOKUP($C402,SKU!$A:$I,2,FALSE)</f>
        <v>#N/A</v>
      </c>
      <c r="C402" s="29"/>
      <c r="D402" s="29"/>
      <c r="E402" s="31" t="e">
        <f>D402*VLOOKUP(A402,Nhập入库!A:N,8,FALSE)</f>
        <v>#N/A</v>
      </c>
      <c r="F402" s="29"/>
      <c r="G402" s="29"/>
      <c r="H402" s="29"/>
      <c r="I402" s="29"/>
      <c r="J402" s="34"/>
      <c r="K402" s="133"/>
    </row>
    <row r="403" spans="1:11">
      <c r="A403" s="31" t="e">
        <f>VLOOKUP($C403,SKU!$A:$I,3,FALSE)</f>
        <v>#N/A</v>
      </c>
      <c r="B403" s="31" t="e">
        <f>VLOOKUP($C403,SKU!$A:$I,2,FALSE)</f>
        <v>#N/A</v>
      </c>
      <c r="C403" s="29"/>
      <c r="D403" s="29"/>
      <c r="E403" s="31" t="e">
        <f>D403*VLOOKUP(A403,Nhập入库!A:N,8,FALSE)</f>
        <v>#N/A</v>
      </c>
      <c r="F403" s="29"/>
      <c r="G403" s="29"/>
      <c r="H403" s="29"/>
      <c r="I403" s="29"/>
      <c r="J403" s="34"/>
      <c r="K403" s="133"/>
    </row>
    <row r="404" spans="1:11">
      <c r="A404" s="31" t="e">
        <f>VLOOKUP($C404,SKU!$A:$I,3,FALSE)</f>
        <v>#N/A</v>
      </c>
      <c r="B404" s="31" t="e">
        <f>VLOOKUP($C404,SKU!$A:$I,2,FALSE)</f>
        <v>#N/A</v>
      </c>
      <c r="C404" s="29"/>
      <c r="D404" s="29"/>
      <c r="E404" s="31" t="e">
        <f>D404*VLOOKUP(A404,Nhập入库!A:N,8,FALSE)</f>
        <v>#N/A</v>
      </c>
      <c r="F404" s="29"/>
      <c r="G404" s="29"/>
      <c r="H404" s="29"/>
      <c r="I404" s="29"/>
      <c r="J404" s="34"/>
      <c r="K404" s="133"/>
    </row>
    <row r="405" spans="1:11">
      <c r="A405" s="31" t="e">
        <f>VLOOKUP($C405,SKU!$A:$I,3,FALSE)</f>
        <v>#N/A</v>
      </c>
      <c r="B405" s="31" t="e">
        <f>VLOOKUP($C405,SKU!$A:$I,2,FALSE)</f>
        <v>#N/A</v>
      </c>
      <c r="C405" s="29"/>
      <c r="D405" s="29"/>
      <c r="E405" s="31" t="e">
        <f>D405*VLOOKUP(A405,Nhập入库!A:N,8,FALSE)</f>
        <v>#N/A</v>
      </c>
      <c r="F405" s="29"/>
      <c r="G405" s="29"/>
      <c r="H405" s="29"/>
      <c r="I405" s="29"/>
      <c r="J405" s="34"/>
      <c r="K405" s="133"/>
    </row>
    <row r="406" spans="1:11">
      <c r="A406" s="31" t="e">
        <f>VLOOKUP($C406,SKU!$A:$I,3,FALSE)</f>
        <v>#N/A</v>
      </c>
      <c r="B406" s="31" t="e">
        <f>VLOOKUP($C406,SKU!$A:$I,2,FALSE)</f>
        <v>#N/A</v>
      </c>
      <c r="C406" s="29"/>
      <c r="D406" s="29"/>
      <c r="E406" s="31" t="e">
        <f>D406*VLOOKUP(A406,Nhập入库!A:N,8,FALSE)</f>
        <v>#N/A</v>
      </c>
      <c r="F406" s="29"/>
      <c r="G406" s="29"/>
      <c r="H406" s="29"/>
      <c r="I406" s="29"/>
      <c r="J406" s="34"/>
      <c r="K406" s="133"/>
    </row>
    <row r="407" spans="1:11">
      <c r="A407" s="31" t="e">
        <f>VLOOKUP($C407,SKU!$A:$I,3,FALSE)</f>
        <v>#N/A</v>
      </c>
      <c r="B407" s="31" t="e">
        <f>VLOOKUP($C407,SKU!$A:$I,2,FALSE)</f>
        <v>#N/A</v>
      </c>
      <c r="C407" s="29"/>
      <c r="D407" s="29"/>
      <c r="E407" s="31" t="e">
        <f>D407*VLOOKUP(A407,Nhập入库!A:N,8,FALSE)</f>
        <v>#N/A</v>
      </c>
      <c r="F407" s="29"/>
      <c r="G407" s="29"/>
      <c r="H407" s="29"/>
      <c r="I407" s="29"/>
      <c r="J407" s="34"/>
      <c r="K407" s="133"/>
    </row>
    <row r="408" spans="1:11">
      <c r="A408" s="31" t="e">
        <f>VLOOKUP($C408,SKU!$A:$I,3,FALSE)</f>
        <v>#N/A</v>
      </c>
      <c r="B408" s="31" t="e">
        <f>VLOOKUP($C408,SKU!$A:$I,2,FALSE)</f>
        <v>#N/A</v>
      </c>
      <c r="C408" s="29"/>
      <c r="D408" s="29"/>
      <c r="E408" s="31" t="e">
        <f>D408*VLOOKUP(A408,Nhập入库!A:N,8,FALSE)</f>
        <v>#N/A</v>
      </c>
      <c r="F408" s="29"/>
      <c r="G408" s="29"/>
      <c r="H408" s="29"/>
      <c r="I408" s="29"/>
      <c r="J408" s="34"/>
      <c r="K408" s="133"/>
    </row>
    <row r="409" spans="1:11">
      <c r="A409" s="31" t="e">
        <f>VLOOKUP($C409,SKU!$A:$I,3,FALSE)</f>
        <v>#N/A</v>
      </c>
      <c r="B409" s="31" t="e">
        <f>VLOOKUP($C409,SKU!$A:$I,2,FALSE)</f>
        <v>#N/A</v>
      </c>
      <c r="C409" s="29"/>
      <c r="D409" s="29"/>
      <c r="E409" s="31" t="e">
        <f>D409*VLOOKUP(A409,Nhập入库!A:N,8,FALSE)</f>
        <v>#N/A</v>
      </c>
      <c r="F409" s="29"/>
      <c r="G409" s="29"/>
      <c r="H409" s="29"/>
      <c r="I409" s="29"/>
      <c r="J409" s="34"/>
      <c r="K409" s="133"/>
    </row>
    <row r="410" spans="1:11">
      <c r="A410" s="31" t="e">
        <f>VLOOKUP($C410,SKU!$A:$I,3,FALSE)</f>
        <v>#N/A</v>
      </c>
      <c r="B410" s="31" t="e">
        <f>VLOOKUP($C410,SKU!$A:$I,2,FALSE)</f>
        <v>#N/A</v>
      </c>
      <c r="C410" s="29"/>
      <c r="D410" s="29"/>
      <c r="E410" s="31" t="e">
        <f>D410*VLOOKUP(A410,Nhập入库!A:N,8,FALSE)</f>
        <v>#N/A</v>
      </c>
      <c r="F410" s="29"/>
      <c r="G410" s="29"/>
      <c r="H410" s="29"/>
      <c r="I410" s="29"/>
      <c r="J410" s="34"/>
      <c r="K410" s="133"/>
    </row>
    <row r="411" spans="1:11">
      <c r="A411" s="31" t="e">
        <f>VLOOKUP($C411,SKU!$A:$I,3,FALSE)</f>
        <v>#N/A</v>
      </c>
      <c r="B411" s="31" t="e">
        <f>VLOOKUP($C411,SKU!$A:$I,2,FALSE)</f>
        <v>#N/A</v>
      </c>
      <c r="C411" s="29"/>
      <c r="D411" s="29"/>
      <c r="E411" s="31" t="e">
        <f>D411*VLOOKUP(A411,Nhập入库!A:N,8,FALSE)</f>
        <v>#N/A</v>
      </c>
      <c r="F411" s="29"/>
      <c r="G411" s="29"/>
      <c r="H411" s="29"/>
      <c r="I411" s="29"/>
      <c r="J411" s="34"/>
      <c r="K411" s="133"/>
    </row>
    <row r="412" spans="1:11">
      <c r="A412" s="31" t="e">
        <f>VLOOKUP($C412,SKU!$A:$I,3,FALSE)</f>
        <v>#N/A</v>
      </c>
      <c r="B412" s="31" t="e">
        <f>VLOOKUP($C412,SKU!$A:$I,2,FALSE)</f>
        <v>#N/A</v>
      </c>
      <c r="C412" s="29"/>
      <c r="D412" s="29"/>
      <c r="E412" s="31" t="e">
        <f>D412*VLOOKUP(A412,Nhập入库!A:N,8,FALSE)</f>
        <v>#N/A</v>
      </c>
      <c r="F412" s="29"/>
      <c r="G412" s="29"/>
      <c r="H412" s="29"/>
      <c r="I412" s="29"/>
      <c r="J412" s="34"/>
      <c r="K412" s="133"/>
    </row>
    <row r="413" spans="1:11">
      <c r="A413" s="31" t="e">
        <f>VLOOKUP($C413,SKU!$A:$I,3,FALSE)</f>
        <v>#N/A</v>
      </c>
      <c r="B413" s="31" t="e">
        <f>VLOOKUP($C413,SKU!$A:$I,2,FALSE)</f>
        <v>#N/A</v>
      </c>
      <c r="C413" s="29"/>
      <c r="D413" s="29"/>
      <c r="E413" s="31" t="e">
        <f>D413*VLOOKUP(A413,Nhập入库!A:N,8,FALSE)</f>
        <v>#N/A</v>
      </c>
      <c r="F413" s="29"/>
      <c r="G413" s="29"/>
      <c r="H413" s="29"/>
      <c r="I413" s="29"/>
      <c r="J413" s="34"/>
      <c r="K413" s="133"/>
    </row>
    <row r="414" spans="1:11">
      <c r="A414" s="31" t="e">
        <f>VLOOKUP($C414,SKU!$A:$I,3,FALSE)</f>
        <v>#N/A</v>
      </c>
      <c r="B414" s="31" t="e">
        <f>VLOOKUP($C414,SKU!$A:$I,2,FALSE)</f>
        <v>#N/A</v>
      </c>
      <c r="C414" s="29"/>
      <c r="D414" s="29"/>
      <c r="E414" s="31" t="e">
        <f>D414*VLOOKUP(A414,Nhập入库!A:N,8,FALSE)</f>
        <v>#N/A</v>
      </c>
      <c r="F414" s="29"/>
      <c r="G414" s="29"/>
      <c r="H414" s="29"/>
      <c r="I414" s="29"/>
      <c r="J414" s="34"/>
      <c r="K414" s="133"/>
    </row>
    <row r="415" spans="1:11">
      <c r="A415" s="31" t="e">
        <f>VLOOKUP($C415,SKU!$A:$I,3,FALSE)</f>
        <v>#N/A</v>
      </c>
      <c r="B415" s="31" t="e">
        <f>VLOOKUP($C415,SKU!$A:$I,2,FALSE)</f>
        <v>#N/A</v>
      </c>
      <c r="C415" s="29"/>
      <c r="D415" s="29"/>
      <c r="E415" s="31" t="e">
        <f>D415*VLOOKUP(A415,Nhập入库!A:N,8,FALSE)</f>
        <v>#N/A</v>
      </c>
      <c r="F415" s="29"/>
      <c r="G415" s="29"/>
      <c r="H415" s="29"/>
      <c r="I415" s="29"/>
      <c r="J415" s="34"/>
      <c r="K415" s="133"/>
    </row>
    <row r="416" spans="1:11">
      <c r="A416" s="31" t="e">
        <f>VLOOKUP($C416,SKU!$A:$I,3,FALSE)</f>
        <v>#N/A</v>
      </c>
      <c r="B416" s="31" t="e">
        <f>VLOOKUP($C416,SKU!$A:$I,2,FALSE)</f>
        <v>#N/A</v>
      </c>
      <c r="C416" s="29"/>
      <c r="D416" s="29"/>
      <c r="E416" s="31" t="e">
        <f>D416*VLOOKUP(A416,Nhập入库!A:N,8,FALSE)</f>
        <v>#N/A</v>
      </c>
      <c r="F416" s="29"/>
      <c r="G416" s="29"/>
      <c r="H416" s="29"/>
      <c r="I416" s="29"/>
      <c r="J416" s="34"/>
      <c r="K416" s="133"/>
    </row>
    <row r="417" spans="1:11">
      <c r="A417" s="31" t="e">
        <f>VLOOKUP($C417,SKU!$A:$I,3,FALSE)</f>
        <v>#N/A</v>
      </c>
      <c r="B417" s="31" t="e">
        <f>VLOOKUP($C417,SKU!$A:$I,2,FALSE)</f>
        <v>#N/A</v>
      </c>
      <c r="C417" s="29"/>
      <c r="D417" s="29"/>
      <c r="E417" s="31" t="e">
        <f>D417*VLOOKUP(A417,Nhập入库!A:N,8,FALSE)</f>
        <v>#N/A</v>
      </c>
      <c r="F417" s="29"/>
      <c r="G417" s="29"/>
      <c r="H417" s="29"/>
      <c r="I417" s="29"/>
      <c r="J417" s="34"/>
      <c r="K417" s="133"/>
    </row>
    <row r="418" spans="1:11">
      <c r="A418" s="31" t="e">
        <f>VLOOKUP($C418,SKU!$A:$I,3,FALSE)</f>
        <v>#N/A</v>
      </c>
      <c r="B418" s="31" t="e">
        <f>VLOOKUP($C418,SKU!$A:$I,2,FALSE)</f>
        <v>#N/A</v>
      </c>
      <c r="C418" s="29"/>
      <c r="D418" s="29"/>
      <c r="E418" s="31" t="e">
        <f>D418*VLOOKUP(A418,Nhập入库!A:N,8,FALSE)</f>
        <v>#N/A</v>
      </c>
      <c r="F418" s="29"/>
      <c r="G418" s="29"/>
      <c r="H418" s="29"/>
      <c r="I418" s="29"/>
      <c r="J418" s="34"/>
      <c r="K418" s="133"/>
    </row>
    <row r="419" spans="1:11">
      <c r="A419" s="31" t="e">
        <f>VLOOKUP($C419,SKU!$A:$I,3,FALSE)</f>
        <v>#N/A</v>
      </c>
      <c r="B419" s="31" t="e">
        <f>VLOOKUP($C419,SKU!$A:$I,2,FALSE)</f>
        <v>#N/A</v>
      </c>
      <c r="C419" s="29"/>
      <c r="D419" s="29"/>
      <c r="E419" s="31" t="e">
        <f>D419*VLOOKUP(A419,Nhập入库!A:N,8,FALSE)</f>
        <v>#N/A</v>
      </c>
      <c r="F419" s="29"/>
      <c r="G419" s="29"/>
      <c r="H419" s="29"/>
      <c r="I419" s="29"/>
      <c r="J419" s="34"/>
      <c r="K419" s="133"/>
    </row>
    <row r="420" spans="1:11">
      <c r="A420" s="31" t="e">
        <f>VLOOKUP($C420,SKU!$A:$I,3,FALSE)</f>
        <v>#N/A</v>
      </c>
      <c r="B420" s="31" t="e">
        <f>VLOOKUP($C420,SKU!$A:$I,2,FALSE)</f>
        <v>#N/A</v>
      </c>
      <c r="C420" s="29"/>
      <c r="D420" s="29"/>
      <c r="E420" s="31" t="e">
        <f>D420*VLOOKUP(A420,Nhập入库!A:N,8,FALSE)</f>
        <v>#N/A</v>
      </c>
      <c r="F420" s="29"/>
      <c r="G420" s="29"/>
      <c r="H420" s="29"/>
      <c r="I420" s="29"/>
      <c r="J420" s="34"/>
      <c r="K420" s="133"/>
    </row>
    <row r="421" spans="1:11">
      <c r="A421" s="31" t="e">
        <f>VLOOKUP($C421,SKU!$A:$I,3,FALSE)</f>
        <v>#N/A</v>
      </c>
      <c r="B421" s="31" t="e">
        <f>VLOOKUP($C421,SKU!$A:$I,2,FALSE)</f>
        <v>#N/A</v>
      </c>
      <c r="C421" s="29"/>
      <c r="D421" s="29"/>
      <c r="E421" s="31" t="e">
        <f>D421*VLOOKUP(A421,Nhập入库!A:N,8,FALSE)</f>
        <v>#N/A</v>
      </c>
      <c r="F421" s="29"/>
      <c r="G421" s="29"/>
      <c r="H421" s="29"/>
      <c r="I421" s="29"/>
      <c r="J421" s="34"/>
      <c r="K421" s="133"/>
    </row>
    <row r="422" spans="1:11">
      <c r="A422" s="31" t="e">
        <f>VLOOKUP($C422,SKU!$A:$I,3,FALSE)</f>
        <v>#N/A</v>
      </c>
      <c r="B422" s="31" t="e">
        <f>VLOOKUP($C422,SKU!$A:$I,2,FALSE)</f>
        <v>#N/A</v>
      </c>
      <c r="C422" s="29"/>
      <c r="D422" s="29"/>
      <c r="E422" s="31" t="e">
        <f>D422*VLOOKUP(A422,Nhập入库!A:N,8,FALSE)</f>
        <v>#N/A</v>
      </c>
      <c r="F422" s="29"/>
      <c r="G422" s="29"/>
      <c r="H422" s="29"/>
      <c r="I422" s="29"/>
      <c r="J422" s="34"/>
      <c r="K422" s="133"/>
    </row>
    <row r="423" spans="1:11">
      <c r="A423" s="31" t="e">
        <f>VLOOKUP($C423,SKU!$A:$I,3,FALSE)</f>
        <v>#N/A</v>
      </c>
      <c r="B423" s="31" t="e">
        <f>VLOOKUP($C423,SKU!$A:$I,2,FALSE)</f>
        <v>#N/A</v>
      </c>
      <c r="C423" s="29"/>
      <c r="D423" s="29"/>
      <c r="E423" s="31" t="e">
        <f>D423*VLOOKUP(A423,Nhập入库!A:N,8,FALSE)</f>
        <v>#N/A</v>
      </c>
      <c r="F423" s="29"/>
      <c r="G423" s="29"/>
      <c r="H423" s="29"/>
      <c r="I423" s="29"/>
      <c r="J423" s="34"/>
      <c r="K423" s="133"/>
    </row>
    <row r="424" spans="1:11">
      <c r="A424" s="31" t="e">
        <f>VLOOKUP($C424,SKU!$A:$I,3,FALSE)</f>
        <v>#N/A</v>
      </c>
      <c r="B424" s="31" t="e">
        <f>VLOOKUP($C424,SKU!$A:$I,2,FALSE)</f>
        <v>#N/A</v>
      </c>
      <c r="C424" s="29"/>
      <c r="D424" s="29"/>
      <c r="E424" s="31" t="e">
        <f>D424*VLOOKUP(A424,Nhập入库!A:N,8,FALSE)</f>
        <v>#N/A</v>
      </c>
      <c r="F424" s="29"/>
      <c r="G424" s="29"/>
      <c r="H424" s="29"/>
      <c r="I424" s="29"/>
      <c r="J424" s="34"/>
      <c r="K424" s="133"/>
    </row>
    <row r="425" spans="1:11">
      <c r="A425" s="31" t="e">
        <f>VLOOKUP($C425,SKU!$A:$I,3,FALSE)</f>
        <v>#N/A</v>
      </c>
      <c r="B425" s="31" t="e">
        <f>VLOOKUP($C425,SKU!$A:$I,2,FALSE)</f>
        <v>#N/A</v>
      </c>
      <c r="C425" s="29"/>
      <c r="D425" s="29"/>
      <c r="E425" s="31" t="e">
        <f>D425*VLOOKUP(A425,Nhập入库!A:N,8,FALSE)</f>
        <v>#N/A</v>
      </c>
      <c r="F425" s="29"/>
      <c r="G425" s="29"/>
      <c r="H425" s="29"/>
      <c r="I425" s="29"/>
      <c r="J425" s="34"/>
      <c r="K425" s="133"/>
    </row>
    <row r="426" spans="1:11">
      <c r="A426" s="31" t="e">
        <f>VLOOKUP($C426,SKU!$A:$I,3,FALSE)</f>
        <v>#N/A</v>
      </c>
      <c r="B426" s="31" t="e">
        <f>VLOOKUP($C426,SKU!$A:$I,2,FALSE)</f>
        <v>#N/A</v>
      </c>
      <c r="C426" s="29"/>
      <c r="D426" s="29"/>
      <c r="E426" s="31" t="e">
        <f>D426*VLOOKUP(A426,Nhập入库!A:N,8,FALSE)</f>
        <v>#N/A</v>
      </c>
      <c r="F426" s="29"/>
      <c r="G426" s="29"/>
      <c r="H426" s="29"/>
      <c r="I426" s="29"/>
      <c r="J426" s="34"/>
      <c r="K426" s="133"/>
    </row>
    <row r="427" spans="1:11">
      <c r="A427" s="31" t="e">
        <f>VLOOKUP($C427,SKU!$A:$I,3,FALSE)</f>
        <v>#N/A</v>
      </c>
      <c r="B427" s="31" t="e">
        <f>VLOOKUP($C427,SKU!$A:$I,2,FALSE)</f>
        <v>#N/A</v>
      </c>
      <c r="C427" s="29"/>
      <c r="D427" s="29"/>
      <c r="E427" s="31" t="e">
        <f>D427*VLOOKUP(A427,Nhập入库!A:N,8,FALSE)</f>
        <v>#N/A</v>
      </c>
      <c r="F427" s="29"/>
      <c r="G427" s="29"/>
      <c r="H427" s="29"/>
      <c r="I427" s="29"/>
      <c r="J427" s="34"/>
      <c r="K427" s="133"/>
    </row>
    <row r="428" spans="1:11">
      <c r="A428" s="31" t="e">
        <f>VLOOKUP($C428,SKU!$A:$I,3,FALSE)</f>
        <v>#N/A</v>
      </c>
      <c r="B428" s="31" t="e">
        <f>VLOOKUP($C428,SKU!$A:$I,2,FALSE)</f>
        <v>#N/A</v>
      </c>
      <c r="C428" s="29"/>
      <c r="D428" s="29"/>
      <c r="E428" s="31" t="e">
        <f>D428*VLOOKUP(A428,Nhập入库!A:N,8,FALSE)</f>
        <v>#N/A</v>
      </c>
      <c r="F428" s="29"/>
      <c r="G428" s="29"/>
      <c r="H428" s="29"/>
      <c r="I428" s="29"/>
      <c r="J428" s="34"/>
      <c r="K428" s="133"/>
    </row>
    <row r="429" spans="1:11">
      <c r="A429" s="31" t="e">
        <f>VLOOKUP($C429,SKU!$A:$I,3,FALSE)</f>
        <v>#N/A</v>
      </c>
      <c r="B429" s="31" t="e">
        <f>VLOOKUP($C429,SKU!$A:$I,2,FALSE)</f>
        <v>#N/A</v>
      </c>
      <c r="C429" s="29"/>
      <c r="D429" s="29"/>
      <c r="E429" s="31" t="e">
        <f>D429*VLOOKUP(A429,Nhập入库!A:N,8,FALSE)</f>
        <v>#N/A</v>
      </c>
      <c r="F429" s="29"/>
      <c r="G429" s="29"/>
      <c r="H429" s="29"/>
      <c r="I429" s="29"/>
      <c r="J429" s="34"/>
      <c r="K429" s="133"/>
    </row>
    <row r="430" spans="1:11">
      <c r="A430" s="31" t="e">
        <f>VLOOKUP($C430,SKU!$A:$I,3,FALSE)</f>
        <v>#N/A</v>
      </c>
      <c r="B430" s="31" t="e">
        <f>VLOOKUP($C430,SKU!$A:$I,2,FALSE)</f>
        <v>#N/A</v>
      </c>
      <c r="C430" s="29"/>
      <c r="D430" s="29"/>
      <c r="E430" s="31" t="e">
        <f>D430*VLOOKUP(A430,Nhập入库!A:N,8,FALSE)</f>
        <v>#N/A</v>
      </c>
      <c r="F430" s="29"/>
      <c r="G430" s="29"/>
      <c r="H430" s="29"/>
      <c r="I430" s="29"/>
      <c r="J430" s="34"/>
      <c r="K430" s="133"/>
    </row>
    <row r="431" spans="1:11">
      <c r="A431" s="31" t="e">
        <f>VLOOKUP($C431,SKU!$A:$I,3,FALSE)</f>
        <v>#N/A</v>
      </c>
      <c r="B431" s="31" t="e">
        <f>VLOOKUP($C431,SKU!$A:$I,2,FALSE)</f>
        <v>#N/A</v>
      </c>
      <c r="C431" s="29"/>
      <c r="D431" s="29"/>
      <c r="E431" s="31" t="e">
        <f>D431*VLOOKUP(A431,Nhập入库!A:N,8,FALSE)</f>
        <v>#N/A</v>
      </c>
      <c r="F431" s="29"/>
      <c r="G431" s="29"/>
      <c r="H431" s="29"/>
      <c r="I431" s="29"/>
      <c r="J431" s="34"/>
      <c r="K431" s="133"/>
    </row>
    <row r="432" spans="1:11">
      <c r="A432" s="31" t="e">
        <f>VLOOKUP($C432,SKU!$A:$I,3,FALSE)</f>
        <v>#N/A</v>
      </c>
      <c r="B432" s="31" t="e">
        <f>VLOOKUP($C432,SKU!$A:$I,2,FALSE)</f>
        <v>#N/A</v>
      </c>
      <c r="C432" s="29"/>
      <c r="D432" s="29"/>
      <c r="E432" s="31" t="e">
        <f>D432*VLOOKUP(A432,Nhập入库!A:N,8,FALSE)</f>
        <v>#N/A</v>
      </c>
      <c r="F432" s="29"/>
      <c r="G432" s="29"/>
      <c r="H432" s="29"/>
      <c r="I432" s="29"/>
      <c r="J432" s="34"/>
      <c r="K432" s="133"/>
    </row>
    <row r="433" spans="1:11">
      <c r="A433" s="31" t="e">
        <f>VLOOKUP($C433,SKU!$A:$I,3,FALSE)</f>
        <v>#N/A</v>
      </c>
      <c r="B433" s="31" t="e">
        <f>VLOOKUP($C433,SKU!$A:$I,2,FALSE)</f>
        <v>#N/A</v>
      </c>
      <c r="C433" s="29"/>
      <c r="D433" s="29"/>
      <c r="E433" s="31" t="e">
        <f>D433*VLOOKUP(A433,Nhập入库!A:N,8,FALSE)</f>
        <v>#N/A</v>
      </c>
      <c r="F433" s="29"/>
      <c r="G433" s="29"/>
      <c r="H433" s="29"/>
      <c r="I433" s="29"/>
      <c r="J433" s="34"/>
      <c r="K433" s="133"/>
    </row>
    <row r="434" spans="1:11">
      <c r="A434" s="31" t="e">
        <f>VLOOKUP($C434,SKU!$A:$I,3,FALSE)</f>
        <v>#N/A</v>
      </c>
      <c r="B434" s="31" t="e">
        <f>VLOOKUP($C434,SKU!$A:$I,2,FALSE)</f>
        <v>#N/A</v>
      </c>
      <c r="C434" s="29"/>
      <c r="D434" s="29"/>
      <c r="E434" s="31" t="e">
        <f>D434*VLOOKUP(A434,Nhập入库!A:N,8,FALSE)</f>
        <v>#N/A</v>
      </c>
      <c r="F434" s="29"/>
      <c r="G434" s="29"/>
      <c r="H434" s="29"/>
      <c r="I434" s="29"/>
      <c r="J434" s="34"/>
      <c r="K434" s="133"/>
    </row>
    <row r="435" spans="1:11">
      <c r="A435" s="31" t="e">
        <f>VLOOKUP($C435,SKU!$A:$I,3,FALSE)</f>
        <v>#N/A</v>
      </c>
      <c r="B435" s="31" t="e">
        <f>VLOOKUP($C435,SKU!$A:$I,2,FALSE)</f>
        <v>#N/A</v>
      </c>
      <c r="C435" s="29"/>
      <c r="D435" s="29"/>
      <c r="E435" s="31" t="e">
        <f>D435*VLOOKUP(A435,Nhập入库!A:N,8,FALSE)</f>
        <v>#N/A</v>
      </c>
      <c r="F435" s="29"/>
      <c r="G435" s="29"/>
      <c r="H435" s="29"/>
      <c r="I435" s="29"/>
      <c r="J435" s="34"/>
      <c r="K435" s="133"/>
    </row>
    <row r="436" spans="1:11">
      <c r="A436" s="31" t="e">
        <f>VLOOKUP($C436,SKU!$A:$I,3,FALSE)</f>
        <v>#N/A</v>
      </c>
      <c r="B436" s="31" t="e">
        <f>VLOOKUP($C436,SKU!$A:$I,2,FALSE)</f>
        <v>#N/A</v>
      </c>
      <c r="C436" s="29"/>
      <c r="D436" s="29"/>
      <c r="E436" s="31" t="e">
        <f>D436*VLOOKUP(A436,Nhập入库!A:N,8,FALSE)</f>
        <v>#N/A</v>
      </c>
      <c r="F436" s="29"/>
      <c r="G436" s="29"/>
      <c r="H436" s="29"/>
      <c r="I436" s="29"/>
      <c r="J436" s="34"/>
      <c r="K436" s="133"/>
    </row>
    <row r="437" spans="1:11">
      <c r="A437" s="31" t="e">
        <f>VLOOKUP($C437,SKU!$A:$I,3,FALSE)</f>
        <v>#N/A</v>
      </c>
      <c r="B437" s="31" t="e">
        <f>VLOOKUP($C437,SKU!$A:$I,2,FALSE)</f>
        <v>#N/A</v>
      </c>
      <c r="C437" s="29"/>
      <c r="D437" s="29"/>
      <c r="E437" s="31" t="e">
        <f>D437*VLOOKUP(A437,Nhập入库!A:N,8,FALSE)</f>
        <v>#N/A</v>
      </c>
      <c r="F437" s="29"/>
      <c r="G437" s="29"/>
      <c r="H437" s="29"/>
      <c r="I437" s="29"/>
      <c r="J437" s="34"/>
      <c r="K437" s="133"/>
    </row>
    <row r="438" spans="1:11">
      <c r="A438" s="31" t="e">
        <f>VLOOKUP($C438,SKU!$A:$I,3,FALSE)</f>
        <v>#N/A</v>
      </c>
      <c r="B438" s="31" t="e">
        <f>VLOOKUP($C438,SKU!$A:$I,2,FALSE)</f>
        <v>#N/A</v>
      </c>
      <c r="C438" s="29"/>
      <c r="D438" s="29"/>
      <c r="E438" s="31" t="e">
        <f>D438*VLOOKUP(A438,Nhập入库!A:N,8,FALSE)</f>
        <v>#N/A</v>
      </c>
      <c r="F438" s="29"/>
      <c r="G438" s="29"/>
      <c r="H438" s="29"/>
      <c r="I438" s="29"/>
      <c r="J438" s="34"/>
      <c r="K438" s="133"/>
    </row>
    <row r="439" spans="1:11">
      <c r="A439" s="31" t="e">
        <f>VLOOKUP($C439,SKU!$A:$I,3,FALSE)</f>
        <v>#N/A</v>
      </c>
      <c r="B439" s="31" t="e">
        <f>VLOOKUP($C439,SKU!$A:$I,2,FALSE)</f>
        <v>#N/A</v>
      </c>
      <c r="C439" s="29"/>
      <c r="D439" s="29"/>
      <c r="E439" s="31" t="e">
        <f>D439*VLOOKUP(A439,Nhập入库!A:N,8,FALSE)</f>
        <v>#N/A</v>
      </c>
      <c r="F439" s="29"/>
      <c r="G439" s="29"/>
      <c r="H439" s="29"/>
      <c r="I439" s="29"/>
      <c r="J439" s="34"/>
      <c r="K439" s="133"/>
    </row>
    <row r="440" spans="1:11">
      <c r="A440" s="31" t="e">
        <f>VLOOKUP($C440,SKU!$A:$I,3,FALSE)</f>
        <v>#N/A</v>
      </c>
      <c r="B440" s="31" t="e">
        <f>VLOOKUP($C440,SKU!$A:$I,2,FALSE)</f>
        <v>#N/A</v>
      </c>
      <c r="C440" s="29"/>
      <c r="D440" s="29"/>
      <c r="E440" s="31" t="e">
        <f>D440*VLOOKUP(A440,Nhập入库!A:N,8,FALSE)</f>
        <v>#N/A</v>
      </c>
      <c r="F440" s="29"/>
      <c r="G440" s="29"/>
      <c r="H440" s="29"/>
      <c r="I440" s="29"/>
      <c r="J440" s="34"/>
      <c r="K440" s="133"/>
    </row>
    <row r="441" spans="1:11">
      <c r="A441" s="31" t="e">
        <f>VLOOKUP($C441,SKU!$A:$I,3,FALSE)</f>
        <v>#N/A</v>
      </c>
      <c r="B441" s="31" t="e">
        <f>VLOOKUP($C441,SKU!$A:$I,2,FALSE)</f>
        <v>#N/A</v>
      </c>
      <c r="C441" s="29"/>
      <c r="D441" s="29"/>
      <c r="E441" s="31" t="e">
        <f>D441*VLOOKUP(A441,Nhập入库!A:N,8,FALSE)</f>
        <v>#N/A</v>
      </c>
      <c r="F441" s="29"/>
      <c r="G441" s="29"/>
      <c r="H441" s="29"/>
      <c r="I441" s="29"/>
      <c r="J441" s="34"/>
      <c r="K441" s="133"/>
    </row>
    <row r="442" spans="1:11">
      <c r="A442" s="31" t="e">
        <f>VLOOKUP($C442,SKU!$A:$I,3,FALSE)</f>
        <v>#N/A</v>
      </c>
      <c r="B442" s="31" t="e">
        <f>VLOOKUP($C442,SKU!$A:$I,2,FALSE)</f>
        <v>#N/A</v>
      </c>
      <c r="C442" s="29"/>
      <c r="D442" s="29"/>
      <c r="E442" s="31" t="e">
        <f>D442*VLOOKUP(A442,Nhập入库!A:N,8,FALSE)</f>
        <v>#N/A</v>
      </c>
      <c r="F442" s="29"/>
      <c r="G442" s="29"/>
      <c r="H442" s="29"/>
      <c r="I442" s="29"/>
      <c r="J442" s="34"/>
      <c r="K442" s="133"/>
    </row>
    <row r="443" spans="1:11">
      <c r="A443" s="31" t="e">
        <f>VLOOKUP($C443,SKU!$A:$I,3,FALSE)</f>
        <v>#N/A</v>
      </c>
      <c r="B443" s="31" t="e">
        <f>VLOOKUP($C443,SKU!$A:$I,2,FALSE)</f>
        <v>#N/A</v>
      </c>
      <c r="C443" s="29"/>
      <c r="D443" s="29"/>
      <c r="E443" s="31" t="e">
        <f>D443*VLOOKUP(A443,Nhập入库!A:N,8,FALSE)</f>
        <v>#N/A</v>
      </c>
      <c r="F443" s="29"/>
      <c r="G443" s="29"/>
      <c r="H443" s="29"/>
      <c r="I443" s="29"/>
      <c r="J443" s="34"/>
      <c r="K443" s="133"/>
    </row>
    <row r="444" spans="1:11">
      <c r="A444" s="31" t="e">
        <f>VLOOKUP($C444,SKU!$A:$I,3,FALSE)</f>
        <v>#N/A</v>
      </c>
      <c r="B444" s="31" t="e">
        <f>VLOOKUP($C444,SKU!$A:$I,2,FALSE)</f>
        <v>#N/A</v>
      </c>
      <c r="C444" s="29"/>
      <c r="D444" s="29"/>
      <c r="E444" s="31" t="e">
        <f>D444*VLOOKUP(A444,Nhập入库!A:N,8,FALSE)</f>
        <v>#N/A</v>
      </c>
      <c r="F444" s="29"/>
      <c r="G444" s="29"/>
      <c r="H444" s="29"/>
      <c r="I444" s="29"/>
      <c r="J444" s="34"/>
      <c r="K444" s="133"/>
    </row>
    <row r="445" spans="1:11">
      <c r="A445" s="31" t="e">
        <f>VLOOKUP($C445,SKU!$A:$I,3,FALSE)</f>
        <v>#N/A</v>
      </c>
      <c r="B445" s="31" t="e">
        <f>VLOOKUP($C445,SKU!$A:$I,2,FALSE)</f>
        <v>#N/A</v>
      </c>
      <c r="C445" s="29"/>
      <c r="D445" s="29"/>
      <c r="E445" s="31" t="e">
        <f>D445*VLOOKUP(A445,Nhập入库!A:N,8,FALSE)</f>
        <v>#N/A</v>
      </c>
      <c r="F445" s="29"/>
      <c r="G445" s="29"/>
      <c r="H445" s="29"/>
      <c r="I445" s="29"/>
      <c r="J445" s="34"/>
      <c r="K445" s="133"/>
    </row>
    <row r="446" spans="1:11">
      <c r="A446" s="31" t="e">
        <f>VLOOKUP($C446,SKU!$A:$I,3,FALSE)</f>
        <v>#N/A</v>
      </c>
      <c r="B446" s="31" t="e">
        <f>VLOOKUP($C446,SKU!$A:$I,2,FALSE)</f>
        <v>#N/A</v>
      </c>
      <c r="C446" s="29"/>
      <c r="D446" s="29"/>
      <c r="E446" s="31" t="e">
        <f>D446*VLOOKUP(A446,Nhập入库!A:N,8,FALSE)</f>
        <v>#N/A</v>
      </c>
      <c r="F446" s="29"/>
      <c r="G446" s="29"/>
      <c r="H446" s="29"/>
      <c r="I446" s="29"/>
      <c r="J446" s="34"/>
      <c r="K446" s="133"/>
    </row>
    <row r="447" spans="1:11">
      <c r="A447" s="31" t="e">
        <f>VLOOKUP($C447,SKU!$A:$I,3,FALSE)</f>
        <v>#N/A</v>
      </c>
      <c r="B447" s="31" t="e">
        <f>VLOOKUP($C447,SKU!$A:$I,2,FALSE)</f>
        <v>#N/A</v>
      </c>
      <c r="C447" s="29"/>
      <c r="D447" s="29"/>
      <c r="E447" s="31" t="e">
        <f>D447*VLOOKUP(A447,Nhập入库!A:N,8,FALSE)</f>
        <v>#N/A</v>
      </c>
      <c r="F447" s="29"/>
      <c r="G447" s="29"/>
      <c r="H447" s="29"/>
      <c r="I447" s="29"/>
      <c r="J447" s="34"/>
      <c r="K447" s="133"/>
    </row>
    <row r="448" spans="1:11">
      <c r="A448" s="31" t="e">
        <f>VLOOKUP($C448,SKU!$A:$I,3,FALSE)</f>
        <v>#N/A</v>
      </c>
      <c r="B448" s="31" t="e">
        <f>VLOOKUP($C448,SKU!$A:$I,2,FALSE)</f>
        <v>#N/A</v>
      </c>
      <c r="C448" s="29"/>
      <c r="D448" s="29"/>
      <c r="E448" s="31" t="e">
        <f>D448*VLOOKUP(A448,Nhập入库!A:N,8,FALSE)</f>
        <v>#N/A</v>
      </c>
      <c r="F448" s="29"/>
      <c r="G448" s="29"/>
      <c r="H448" s="29"/>
      <c r="I448" s="29"/>
      <c r="J448" s="34"/>
      <c r="K448" s="133"/>
    </row>
    <row r="449" spans="1:11">
      <c r="A449" s="31" t="e">
        <f>VLOOKUP($C449,SKU!$A:$I,3,FALSE)</f>
        <v>#N/A</v>
      </c>
      <c r="B449" s="31" t="e">
        <f>VLOOKUP($C449,SKU!$A:$I,2,FALSE)</f>
        <v>#N/A</v>
      </c>
      <c r="C449" s="29"/>
      <c r="D449" s="29"/>
      <c r="E449" s="31" t="e">
        <f>D449*VLOOKUP(A449,Nhập入库!A:N,8,FALSE)</f>
        <v>#N/A</v>
      </c>
      <c r="F449" s="29"/>
      <c r="G449" s="29"/>
      <c r="H449" s="29"/>
      <c r="I449" s="29"/>
      <c r="J449" s="34"/>
      <c r="K449" s="133"/>
    </row>
    <row r="450" spans="1:11">
      <c r="A450" s="31" t="e">
        <f>VLOOKUP($C450,SKU!$A:$I,3,FALSE)</f>
        <v>#N/A</v>
      </c>
      <c r="B450" s="31" t="e">
        <f>VLOOKUP($C450,SKU!$A:$I,2,FALSE)</f>
        <v>#N/A</v>
      </c>
      <c r="C450" s="29"/>
      <c r="D450" s="29"/>
      <c r="E450" s="31" t="e">
        <f>D450*VLOOKUP(A450,Nhập入库!A:N,8,FALSE)</f>
        <v>#N/A</v>
      </c>
      <c r="F450" s="29"/>
      <c r="G450" s="29"/>
      <c r="H450" s="29"/>
      <c r="I450" s="29"/>
      <c r="J450" s="34"/>
      <c r="K450" s="133"/>
    </row>
    <row r="451" spans="1:11">
      <c r="A451" s="31" t="e">
        <f>VLOOKUP($C451,SKU!$A:$I,3,FALSE)</f>
        <v>#N/A</v>
      </c>
      <c r="B451" s="31" t="e">
        <f>VLOOKUP($C451,SKU!$A:$I,2,FALSE)</f>
        <v>#N/A</v>
      </c>
      <c r="C451" s="29"/>
      <c r="D451" s="29"/>
      <c r="E451" s="31" t="e">
        <f>D451*VLOOKUP(A451,Nhập入库!A:N,8,FALSE)</f>
        <v>#N/A</v>
      </c>
      <c r="F451" s="29"/>
      <c r="G451" s="29"/>
      <c r="H451" s="29"/>
      <c r="I451" s="29"/>
      <c r="J451" s="34"/>
      <c r="K451" s="133"/>
    </row>
    <row r="452" spans="1:11">
      <c r="A452" s="31" t="e">
        <f>VLOOKUP($C452,SKU!$A:$I,3,FALSE)</f>
        <v>#N/A</v>
      </c>
      <c r="B452" s="31" t="e">
        <f>VLOOKUP($C452,SKU!$A:$I,2,FALSE)</f>
        <v>#N/A</v>
      </c>
      <c r="C452" s="29"/>
      <c r="D452" s="29"/>
      <c r="E452" s="31" t="e">
        <f>D452*VLOOKUP(A452,Nhập入库!A:N,8,FALSE)</f>
        <v>#N/A</v>
      </c>
      <c r="F452" s="29"/>
      <c r="G452" s="29"/>
      <c r="H452" s="29"/>
      <c r="I452" s="29"/>
      <c r="J452" s="34"/>
      <c r="K452" s="133"/>
    </row>
    <row r="453" spans="1:11">
      <c r="A453" s="31" t="e">
        <f>VLOOKUP($C453,SKU!$A:$I,3,FALSE)</f>
        <v>#N/A</v>
      </c>
      <c r="B453" s="31" t="e">
        <f>VLOOKUP($C453,SKU!$A:$I,2,FALSE)</f>
        <v>#N/A</v>
      </c>
      <c r="C453" s="29"/>
      <c r="D453" s="29"/>
      <c r="E453" s="31" t="e">
        <f>D453*VLOOKUP(A453,Nhập入库!A:N,8,FALSE)</f>
        <v>#N/A</v>
      </c>
      <c r="F453" s="29"/>
      <c r="G453" s="29"/>
      <c r="H453" s="29"/>
      <c r="I453" s="29"/>
      <c r="J453" s="34"/>
      <c r="K453" s="133"/>
    </row>
    <row r="454" spans="1:11">
      <c r="A454" s="31" t="e">
        <f>VLOOKUP($C454,SKU!$A:$I,3,FALSE)</f>
        <v>#N/A</v>
      </c>
      <c r="B454" s="31" t="e">
        <f>VLOOKUP($C454,SKU!$A:$I,2,FALSE)</f>
        <v>#N/A</v>
      </c>
      <c r="C454" s="29"/>
      <c r="D454" s="29"/>
      <c r="E454" s="31" t="e">
        <f>D454*VLOOKUP(A454,Nhập入库!A:N,8,FALSE)</f>
        <v>#N/A</v>
      </c>
      <c r="F454" s="29"/>
      <c r="G454" s="29"/>
      <c r="H454" s="29"/>
      <c r="I454" s="29"/>
      <c r="J454" s="34"/>
      <c r="K454" s="133"/>
    </row>
    <row r="455" spans="1:11">
      <c r="A455" s="31" t="e">
        <f>VLOOKUP($C455,SKU!$A:$I,3,FALSE)</f>
        <v>#N/A</v>
      </c>
      <c r="B455" s="31" t="e">
        <f>VLOOKUP($C455,SKU!$A:$I,2,FALSE)</f>
        <v>#N/A</v>
      </c>
      <c r="C455" s="29"/>
      <c r="D455" s="29"/>
      <c r="E455" s="31" t="e">
        <f>D455*VLOOKUP(A455,Nhập入库!A:N,8,FALSE)</f>
        <v>#N/A</v>
      </c>
      <c r="F455" s="29"/>
      <c r="G455" s="29"/>
      <c r="H455" s="29"/>
      <c r="I455" s="29"/>
      <c r="J455" s="34"/>
      <c r="K455" s="133"/>
    </row>
    <row r="456" spans="1:11">
      <c r="A456" s="31" t="e">
        <f>VLOOKUP($C456,SKU!$A:$I,3,FALSE)</f>
        <v>#N/A</v>
      </c>
      <c r="B456" s="31" t="e">
        <f>VLOOKUP($C456,SKU!$A:$I,2,FALSE)</f>
        <v>#N/A</v>
      </c>
      <c r="C456" s="29"/>
      <c r="D456" s="29"/>
      <c r="E456" s="31" t="e">
        <f>D456*VLOOKUP(A456,Nhập入库!A:N,8,FALSE)</f>
        <v>#N/A</v>
      </c>
      <c r="F456" s="29"/>
      <c r="G456" s="29"/>
      <c r="H456" s="29"/>
      <c r="I456" s="29"/>
      <c r="J456" s="34"/>
      <c r="K456" s="133"/>
    </row>
    <row r="457" spans="1:11">
      <c r="A457" s="31" t="e">
        <f>VLOOKUP($C457,SKU!$A:$I,3,FALSE)</f>
        <v>#N/A</v>
      </c>
      <c r="B457" s="31" t="e">
        <f>VLOOKUP($C457,SKU!$A:$I,2,FALSE)</f>
        <v>#N/A</v>
      </c>
      <c r="C457" s="29"/>
      <c r="D457" s="29"/>
      <c r="E457" s="31" t="e">
        <f>D457*VLOOKUP(A457,Nhập入库!A:N,8,FALSE)</f>
        <v>#N/A</v>
      </c>
      <c r="F457" s="29"/>
      <c r="G457" s="29"/>
      <c r="H457" s="29"/>
      <c r="I457" s="29"/>
      <c r="J457" s="34"/>
      <c r="K457" s="133"/>
    </row>
    <row r="458" spans="1:11">
      <c r="A458" s="31" t="e">
        <f>VLOOKUP($C458,SKU!$A:$I,3,FALSE)</f>
        <v>#N/A</v>
      </c>
      <c r="B458" s="31" t="e">
        <f>VLOOKUP($C458,SKU!$A:$I,2,FALSE)</f>
        <v>#N/A</v>
      </c>
      <c r="C458" s="29"/>
      <c r="D458" s="29"/>
      <c r="E458" s="31" t="e">
        <f>D458*VLOOKUP(A458,Nhập入库!A:N,8,FALSE)</f>
        <v>#N/A</v>
      </c>
      <c r="F458" s="29"/>
      <c r="G458" s="29"/>
      <c r="H458" s="29"/>
      <c r="I458" s="29"/>
      <c r="J458" s="34"/>
      <c r="K458" s="133"/>
    </row>
    <row r="459" spans="1:11">
      <c r="A459" s="31" t="e">
        <f>VLOOKUP($C459,SKU!$A:$I,3,FALSE)</f>
        <v>#N/A</v>
      </c>
      <c r="B459" s="31" t="e">
        <f>VLOOKUP($C459,SKU!$A:$I,2,FALSE)</f>
        <v>#N/A</v>
      </c>
      <c r="C459" s="29"/>
      <c r="D459" s="29"/>
      <c r="E459" s="31" t="e">
        <f>D459*VLOOKUP(A459,Nhập入库!A:N,8,FALSE)</f>
        <v>#N/A</v>
      </c>
      <c r="F459" s="29"/>
      <c r="G459" s="29"/>
      <c r="H459" s="29"/>
      <c r="I459" s="29"/>
      <c r="J459" s="34"/>
      <c r="K459" s="133"/>
    </row>
    <row r="460" spans="1:11">
      <c r="A460" s="31" t="e">
        <f>VLOOKUP($C460,SKU!$A:$I,3,FALSE)</f>
        <v>#N/A</v>
      </c>
      <c r="B460" s="31" t="e">
        <f>VLOOKUP($C460,SKU!$A:$I,2,FALSE)</f>
        <v>#N/A</v>
      </c>
      <c r="C460" s="29"/>
      <c r="D460" s="29"/>
      <c r="E460" s="31" t="e">
        <f>D460*VLOOKUP(A460,Nhập入库!A:N,8,FALSE)</f>
        <v>#N/A</v>
      </c>
      <c r="F460" s="29"/>
      <c r="G460" s="29"/>
      <c r="H460" s="29"/>
      <c r="I460" s="29"/>
      <c r="J460" s="34"/>
      <c r="K460" s="133"/>
    </row>
    <row r="461" spans="1:11">
      <c r="A461" s="31" t="e">
        <f>VLOOKUP($C461,SKU!$A:$I,3,FALSE)</f>
        <v>#N/A</v>
      </c>
      <c r="B461" s="31" t="e">
        <f>VLOOKUP($C461,SKU!$A:$I,2,FALSE)</f>
        <v>#N/A</v>
      </c>
      <c r="C461" s="29"/>
      <c r="D461" s="29"/>
      <c r="E461" s="31" t="e">
        <f>D461*VLOOKUP(A461,Nhập入库!A:N,8,FALSE)</f>
        <v>#N/A</v>
      </c>
      <c r="F461" s="29"/>
      <c r="G461" s="29"/>
      <c r="H461" s="29"/>
      <c r="I461" s="29"/>
      <c r="J461" s="34"/>
      <c r="K461" s="133"/>
    </row>
    <row r="462" spans="1:11">
      <c r="A462" s="31" t="e">
        <f>VLOOKUP($C462,SKU!$A:$I,3,FALSE)</f>
        <v>#N/A</v>
      </c>
      <c r="B462" s="31" t="e">
        <f>VLOOKUP($C462,SKU!$A:$I,2,FALSE)</f>
        <v>#N/A</v>
      </c>
      <c r="C462" s="29"/>
      <c r="D462" s="29"/>
      <c r="E462" s="31" t="e">
        <f>D462*VLOOKUP(A462,Nhập入库!A:N,8,FALSE)</f>
        <v>#N/A</v>
      </c>
      <c r="F462" s="29"/>
      <c r="G462" s="29"/>
      <c r="H462" s="29"/>
      <c r="I462" s="29"/>
      <c r="J462" s="34"/>
      <c r="K462" s="133"/>
    </row>
    <row r="463" spans="1:11">
      <c r="A463" s="31" t="e">
        <f>VLOOKUP($C463,SKU!$A:$I,3,FALSE)</f>
        <v>#N/A</v>
      </c>
      <c r="B463" s="31" t="e">
        <f>VLOOKUP($C463,SKU!$A:$I,2,FALSE)</f>
        <v>#N/A</v>
      </c>
      <c r="C463" s="29"/>
      <c r="D463" s="29"/>
      <c r="E463" s="31" t="e">
        <f>D463*VLOOKUP(A463,Nhập入库!A:N,8,FALSE)</f>
        <v>#N/A</v>
      </c>
      <c r="F463" s="29"/>
      <c r="G463" s="29"/>
      <c r="H463" s="29"/>
      <c r="I463" s="29"/>
      <c r="J463" s="34"/>
      <c r="K463" s="133"/>
    </row>
    <row r="464" spans="1:11">
      <c r="A464" s="31" t="e">
        <f>VLOOKUP($C464,SKU!$A:$I,3,FALSE)</f>
        <v>#N/A</v>
      </c>
      <c r="B464" s="31" t="e">
        <f>VLOOKUP($C464,SKU!$A:$I,2,FALSE)</f>
        <v>#N/A</v>
      </c>
      <c r="C464" s="29"/>
      <c r="D464" s="29"/>
      <c r="E464" s="31" t="e">
        <f>D464*VLOOKUP(A464,Nhập入库!A:N,8,FALSE)</f>
        <v>#N/A</v>
      </c>
      <c r="F464" s="29"/>
      <c r="G464" s="29"/>
      <c r="H464" s="29"/>
      <c r="I464" s="29"/>
      <c r="J464" s="34"/>
      <c r="K464" s="133"/>
    </row>
    <row r="465" spans="1:11">
      <c r="A465" s="31" t="e">
        <f>VLOOKUP($C465,SKU!$A:$I,3,FALSE)</f>
        <v>#N/A</v>
      </c>
      <c r="B465" s="31" t="e">
        <f>VLOOKUP($C465,SKU!$A:$I,2,FALSE)</f>
        <v>#N/A</v>
      </c>
      <c r="C465" s="29"/>
      <c r="D465" s="29"/>
      <c r="E465" s="31" t="e">
        <f>D465*VLOOKUP(A465,Nhập入库!A:N,8,FALSE)</f>
        <v>#N/A</v>
      </c>
      <c r="F465" s="29"/>
      <c r="G465" s="29"/>
      <c r="H465" s="29"/>
      <c r="I465" s="29"/>
      <c r="J465" s="34"/>
      <c r="K465" s="133"/>
    </row>
    <row r="466" spans="1:11">
      <c r="A466" s="31" t="e">
        <f>VLOOKUP($C466,SKU!$A:$I,3,FALSE)</f>
        <v>#N/A</v>
      </c>
      <c r="B466" s="31" t="e">
        <f>VLOOKUP($C466,SKU!$A:$I,2,FALSE)</f>
        <v>#N/A</v>
      </c>
      <c r="C466" s="29"/>
      <c r="D466" s="29"/>
      <c r="E466" s="31" t="e">
        <f>D466*VLOOKUP(A466,Nhập入库!A:N,8,FALSE)</f>
        <v>#N/A</v>
      </c>
      <c r="F466" s="29"/>
      <c r="G466" s="29"/>
      <c r="H466" s="29"/>
      <c r="I466" s="29"/>
      <c r="J466" s="34"/>
      <c r="K466" s="133"/>
    </row>
    <row r="467" spans="1:11">
      <c r="A467" s="31" t="e">
        <f>VLOOKUP($C467,SKU!$A:$I,3,FALSE)</f>
        <v>#N/A</v>
      </c>
      <c r="B467" s="31" t="e">
        <f>VLOOKUP($C467,SKU!$A:$I,2,FALSE)</f>
        <v>#N/A</v>
      </c>
      <c r="C467" s="29"/>
      <c r="D467" s="29"/>
      <c r="E467" s="31" t="e">
        <f>D467*VLOOKUP(A467,Nhập入库!A:N,8,FALSE)</f>
        <v>#N/A</v>
      </c>
      <c r="F467" s="29"/>
      <c r="G467" s="29"/>
      <c r="H467" s="29"/>
      <c r="I467" s="29"/>
      <c r="J467" s="34"/>
      <c r="K467" s="133"/>
    </row>
    <row r="468" spans="1:11">
      <c r="A468" s="31" t="e">
        <f>VLOOKUP($C468,SKU!$A:$I,3,FALSE)</f>
        <v>#N/A</v>
      </c>
      <c r="B468" s="31" t="e">
        <f>VLOOKUP($C468,SKU!$A:$I,2,FALSE)</f>
        <v>#N/A</v>
      </c>
      <c r="C468" s="29"/>
      <c r="D468" s="29"/>
      <c r="E468" s="31" t="e">
        <f>D468*VLOOKUP(A468,Nhập入库!A:N,8,FALSE)</f>
        <v>#N/A</v>
      </c>
      <c r="F468" s="29"/>
      <c r="G468" s="29"/>
      <c r="H468" s="29"/>
      <c r="I468" s="29"/>
      <c r="J468" s="34"/>
      <c r="K468" s="133"/>
    </row>
    <row r="469" spans="1:11">
      <c r="A469" s="31" t="e">
        <f>VLOOKUP($C469,SKU!$A:$I,3,FALSE)</f>
        <v>#N/A</v>
      </c>
      <c r="B469" s="31" t="e">
        <f>VLOOKUP($C469,SKU!$A:$I,2,FALSE)</f>
        <v>#N/A</v>
      </c>
      <c r="C469" s="29"/>
      <c r="D469" s="29"/>
      <c r="E469" s="31" t="e">
        <f>D469*VLOOKUP(A469,Nhập入库!A:N,8,FALSE)</f>
        <v>#N/A</v>
      </c>
      <c r="F469" s="29"/>
      <c r="G469" s="29"/>
      <c r="H469" s="29"/>
      <c r="I469" s="29"/>
      <c r="J469" s="34"/>
      <c r="K469" s="133"/>
    </row>
    <row r="470" spans="1:11">
      <c r="A470" s="31" t="e">
        <f>VLOOKUP($C470,SKU!$A:$I,3,FALSE)</f>
        <v>#N/A</v>
      </c>
      <c r="B470" s="31" t="e">
        <f>VLOOKUP($C470,SKU!$A:$I,2,FALSE)</f>
        <v>#N/A</v>
      </c>
      <c r="C470" s="29"/>
      <c r="D470" s="29"/>
      <c r="E470" s="31" t="e">
        <f>D470*VLOOKUP(A470,Nhập入库!A:N,8,FALSE)</f>
        <v>#N/A</v>
      </c>
      <c r="F470" s="29"/>
      <c r="G470" s="29"/>
      <c r="H470" s="29"/>
      <c r="I470" s="29"/>
      <c r="J470" s="34"/>
      <c r="K470" s="133"/>
    </row>
    <row r="471" spans="1:11">
      <c r="A471" s="31" t="e">
        <f>VLOOKUP($C471,SKU!$A:$I,3,FALSE)</f>
        <v>#N/A</v>
      </c>
      <c r="B471" s="31" t="e">
        <f>VLOOKUP($C471,SKU!$A:$I,2,FALSE)</f>
        <v>#N/A</v>
      </c>
      <c r="C471" s="29"/>
      <c r="D471" s="29"/>
      <c r="E471" s="31" t="e">
        <f>D471*VLOOKUP(A471,Nhập入库!A:N,8,FALSE)</f>
        <v>#N/A</v>
      </c>
      <c r="F471" s="29"/>
      <c r="G471" s="29"/>
      <c r="H471" s="29"/>
      <c r="I471" s="29"/>
      <c r="J471" s="34"/>
      <c r="K471" s="133"/>
    </row>
    <row r="472" spans="1:11">
      <c r="A472" s="31" t="e">
        <f>VLOOKUP($C472,SKU!$A:$I,3,FALSE)</f>
        <v>#N/A</v>
      </c>
      <c r="B472" s="31" t="e">
        <f>VLOOKUP($C472,SKU!$A:$I,2,FALSE)</f>
        <v>#N/A</v>
      </c>
      <c r="C472" s="29"/>
      <c r="D472" s="29"/>
      <c r="E472" s="31" t="e">
        <f>D472*VLOOKUP(A472,Nhập入库!A:N,8,FALSE)</f>
        <v>#N/A</v>
      </c>
      <c r="F472" s="29"/>
      <c r="G472" s="29"/>
      <c r="H472" s="29"/>
      <c r="I472" s="29"/>
      <c r="J472" s="34"/>
      <c r="K472" s="133"/>
    </row>
    <row r="473" spans="1:11">
      <c r="A473" s="31" t="e">
        <f>VLOOKUP($C473,SKU!$A:$I,3,FALSE)</f>
        <v>#N/A</v>
      </c>
      <c r="B473" s="31" t="e">
        <f>VLOOKUP($C473,SKU!$A:$I,2,FALSE)</f>
        <v>#N/A</v>
      </c>
      <c r="C473" s="29"/>
      <c r="D473" s="29"/>
      <c r="E473" s="31" t="e">
        <f>D473*VLOOKUP(A473,Nhập入库!A:N,8,FALSE)</f>
        <v>#N/A</v>
      </c>
      <c r="F473" s="29"/>
      <c r="G473" s="29"/>
      <c r="H473" s="29"/>
      <c r="I473" s="29"/>
      <c r="J473" s="34"/>
      <c r="K473" s="133"/>
    </row>
    <row r="474" spans="1:11">
      <c r="A474" s="31" t="e">
        <f>VLOOKUP($C474,SKU!$A:$I,3,FALSE)</f>
        <v>#N/A</v>
      </c>
      <c r="B474" s="31" t="e">
        <f>VLOOKUP($C474,SKU!$A:$I,2,FALSE)</f>
        <v>#N/A</v>
      </c>
      <c r="C474" s="29"/>
      <c r="D474" s="29"/>
      <c r="E474" s="31" t="e">
        <f>D474*VLOOKUP(A474,Nhập入库!A:N,8,FALSE)</f>
        <v>#N/A</v>
      </c>
      <c r="F474" s="29"/>
      <c r="G474" s="29"/>
      <c r="H474" s="29"/>
      <c r="I474" s="29"/>
      <c r="J474" s="34"/>
      <c r="K474" s="133"/>
    </row>
    <row r="475" spans="1:11">
      <c r="A475" s="31" t="e">
        <f>VLOOKUP($C475,SKU!$A:$I,3,FALSE)</f>
        <v>#N/A</v>
      </c>
      <c r="B475" s="31" t="e">
        <f>VLOOKUP($C475,SKU!$A:$I,2,FALSE)</f>
        <v>#N/A</v>
      </c>
      <c r="C475" s="29"/>
      <c r="D475" s="29"/>
      <c r="E475" s="31" t="e">
        <f>D475*VLOOKUP(A475,Nhập入库!A:N,8,FALSE)</f>
        <v>#N/A</v>
      </c>
      <c r="F475" s="29"/>
      <c r="G475" s="29"/>
      <c r="H475" s="29"/>
      <c r="I475" s="29"/>
      <c r="J475" s="34"/>
      <c r="K475" s="133"/>
    </row>
    <row r="476" spans="1:11">
      <c r="A476" s="31" t="e">
        <f>VLOOKUP($C476,SKU!$A:$I,3,FALSE)</f>
        <v>#N/A</v>
      </c>
      <c r="B476" s="31" t="e">
        <f>VLOOKUP($C476,SKU!$A:$I,2,FALSE)</f>
        <v>#N/A</v>
      </c>
      <c r="C476" s="29"/>
      <c r="D476" s="29"/>
      <c r="E476" s="31" t="e">
        <f>D476*VLOOKUP(A476,Nhập入库!A:N,8,FALSE)</f>
        <v>#N/A</v>
      </c>
      <c r="F476" s="29"/>
      <c r="G476" s="29"/>
      <c r="H476" s="29"/>
      <c r="I476" s="29"/>
      <c r="J476" s="34"/>
      <c r="K476" s="133"/>
    </row>
    <row r="477" spans="1:11">
      <c r="A477" s="31" t="e">
        <f>VLOOKUP($C477,SKU!$A:$I,3,FALSE)</f>
        <v>#N/A</v>
      </c>
      <c r="B477" s="31" t="e">
        <f>VLOOKUP($C477,SKU!$A:$I,2,FALSE)</f>
        <v>#N/A</v>
      </c>
      <c r="C477" s="29"/>
      <c r="D477" s="29"/>
      <c r="E477" s="31" t="e">
        <f>D477*VLOOKUP(A477,Nhập入库!A:N,8,FALSE)</f>
        <v>#N/A</v>
      </c>
      <c r="F477" s="29"/>
      <c r="G477" s="29"/>
      <c r="H477" s="29"/>
      <c r="I477" s="29"/>
      <c r="J477" s="34"/>
      <c r="K477" s="133"/>
    </row>
    <row r="478" spans="1:11">
      <c r="A478" s="31" t="e">
        <f>VLOOKUP($C478,SKU!$A:$I,3,FALSE)</f>
        <v>#N/A</v>
      </c>
      <c r="B478" s="31" t="e">
        <f>VLOOKUP($C478,SKU!$A:$I,2,FALSE)</f>
        <v>#N/A</v>
      </c>
      <c r="C478" s="29"/>
      <c r="D478" s="29"/>
      <c r="E478" s="31" t="e">
        <f>D478*VLOOKUP(A478,Nhập入库!A:N,8,FALSE)</f>
        <v>#N/A</v>
      </c>
      <c r="F478" s="29"/>
      <c r="G478" s="29"/>
      <c r="H478" s="29"/>
      <c r="I478" s="29"/>
      <c r="J478" s="34"/>
      <c r="K478" s="133"/>
    </row>
    <row r="479" spans="1:11">
      <c r="A479" s="31" t="e">
        <f>VLOOKUP($C479,SKU!$A:$I,3,FALSE)</f>
        <v>#N/A</v>
      </c>
      <c r="B479" s="31" t="e">
        <f>VLOOKUP($C479,SKU!$A:$I,2,FALSE)</f>
        <v>#N/A</v>
      </c>
      <c r="C479" s="29"/>
      <c r="D479" s="29"/>
      <c r="E479" s="31" t="e">
        <f>D479*VLOOKUP(A479,Nhập入库!A:N,8,FALSE)</f>
        <v>#N/A</v>
      </c>
      <c r="F479" s="29"/>
      <c r="G479" s="29"/>
      <c r="H479" s="29"/>
      <c r="I479" s="29"/>
      <c r="J479" s="34"/>
      <c r="K479" s="133"/>
    </row>
    <row r="480" spans="1:11">
      <c r="A480" s="31" t="e">
        <f>VLOOKUP($C480,SKU!$A:$I,3,FALSE)</f>
        <v>#N/A</v>
      </c>
      <c r="B480" s="31" t="e">
        <f>VLOOKUP($C480,SKU!$A:$I,2,FALSE)</f>
        <v>#N/A</v>
      </c>
      <c r="C480" s="29"/>
      <c r="D480" s="29"/>
      <c r="E480" s="31" t="e">
        <f>D480*VLOOKUP(A480,Nhập入库!A:N,8,FALSE)</f>
        <v>#N/A</v>
      </c>
      <c r="F480" s="29"/>
      <c r="G480" s="29"/>
      <c r="H480" s="29"/>
      <c r="I480" s="29"/>
      <c r="J480" s="34"/>
      <c r="K480" s="133"/>
    </row>
    <row r="481" spans="1:11">
      <c r="A481" s="31" t="e">
        <f>VLOOKUP($C481,SKU!$A:$I,3,FALSE)</f>
        <v>#N/A</v>
      </c>
      <c r="B481" s="31" t="e">
        <f>VLOOKUP($C481,SKU!$A:$I,2,FALSE)</f>
        <v>#N/A</v>
      </c>
      <c r="C481" s="29"/>
      <c r="D481" s="29"/>
      <c r="E481" s="31" t="e">
        <f>D481*VLOOKUP(A481,Nhập入库!A:N,8,FALSE)</f>
        <v>#N/A</v>
      </c>
      <c r="F481" s="29"/>
      <c r="G481" s="29"/>
      <c r="H481" s="29"/>
      <c r="I481" s="29"/>
      <c r="J481" s="34"/>
      <c r="K481" s="133"/>
    </row>
    <row r="482" spans="1:11">
      <c r="A482" s="31" t="e">
        <f>VLOOKUP($C482,SKU!$A:$I,3,FALSE)</f>
        <v>#N/A</v>
      </c>
      <c r="B482" s="31" t="e">
        <f>VLOOKUP($C482,SKU!$A:$I,2,FALSE)</f>
        <v>#N/A</v>
      </c>
      <c r="C482" s="29"/>
      <c r="D482" s="29"/>
      <c r="E482" s="31" t="e">
        <f>D482*VLOOKUP(A482,Nhập入库!A:N,8,FALSE)</f>
        <v>#N/A</v>
      </c>
      <c r="F482" s="29"/>
      <c r="G482" s="29"/>
      <c r="H482" s="29"/>
      <c r="I482" s="29"/>
      <c r="J482" s="34"/>
      <c r="K482" s="133"/>
    </row>
    <row r="483" spans="1:11">
      <c r="A483" s="31" t="e">
        <f>VLOOKUP($C483,SKU!$A:$I,3,FALSE)</f>
        <v>#N/A</v>
      </c>
      <c r="B483" s="31" t="e">
        <f>VLOOKUP($C483,SKU!$A:$I,2,FALSE)</f>
        <v>#N/A</v>
      </c>
      <c r="C483" s="29"/>
      <c r="D483" s="29"/>
      <c r="E483" s="31" t="e">
        <f>D483*VLOOKUP(A483,Nhập入库!A:N,8,FALSE)</f>
        <v>#N/A</v>
      </c>
      <c r="F483" s="29"/>
      <c r="G483" s="29"/>
      <c r="H483" s="29"/>
      <c r="I483" s="29"/>
      <c r="J483" s="34"/>
      <c r="K483" s="133"/>
    </row>
    <row r="484" spans="1:11">
      <c r="A484" s="31" t="e">
        <f>VLOOKUP($C484,SKU!$A:$I,3,FALSE)</f>
        <v>#N/A</v>
      </c>
      <c r="B484" s="31" t="e">
        <f>VLOOKUP($C484,SKU!$A:$I,2,FALSE)</f>
        <v>#N/A</v>
      </c>
      <c r="C484" s="29"/>
      <c r="D484" s="29"/>
      <c r="E484" s="31" t="e">
        <f>D484*VLOOKUP(A484,Nhập入库!A:N,8,FALSE)</f>
        <v>#N/A</v>
      </c>
      <c r="F484" s="29"/>
      <c r="G484" s="29"/>
      <c r="H484" s="29"/>
      <c r="I484" s="29"/>
      <c r="J484" s="34"/>
      <c r="K484" s="133"/>
    </row>
    <row r="485" spans="1:11">
      <c r="A485" s="31" t="e">
        <f>VLOOKUP($C485,SKU!$A:$I,3,FALSE)</f>
        <v>#N/A</v>
      </c>
      <c r="B485" s="31" t="e">
        <f>VLOOKUP($C485,SKU!$A:$I,2,FALSE)</f>
        <v>#N/A</v>
      </c>
      <c r="C485" s="29"/>
      <c r="D485" s="29"/>
      <c r="E485" s="31" t="e">
        <f>D485*VLOOKUP(A485,Nhập入库!A:N,8,FALSE)</f>
        <v>#N/A</v>
      </c>
      <c r="F485" s="29"/>
      <c r="G485" s="29"/>
      <c r="H485" s="29"/>
      <c r="I485" s="29"/>
      <c r="J485" s="34"/>
      <c r="K485" s="133"/>
    </row>
    <row r="486" spans="1:11">
      <c r="A486" s="31" t="e">
        <f>VLOOKUP($C486,SKU!$A:$I,3,FALSE)</f>
        <v>#N/A</v>
      </c>
      <c r="B486" s="31" t="e">
        <f>VLOOKUP($C486,SKU!$A:$I,2,FALSE)</f>
        <v>#N/A</v>
      </c>
      <c r="C486" s="29"/>
      <c r="D486" s="29"/>
      <c r="E486" s="31" t="e">
        <f>D486*VLOOKUP(A486,Nhập入库!A:N,8,FALSE)</f>
        <v>#N/A</v>
      </c>
      <c r="F486" s="29"/>
      <c r="G486" s="29"/>
      <c r="H486" s="29"/>
      <c r="I486" s="29"/>
      <c r="J486" s="34"/>
      <c r="K486" s="133"/>
    </row>
    <row r="487" spans="1:11">
      <c r="A487" s="31" t="e">
        <f>VLOOKUP($C487,SKU!$A:$I,3,FALSE)</f>
        <v>#N/A</v>
      </c>
      <c r="B487" s="31" t="e">
        <f>VLOOKUP($C487,SKU!$A:$I,2,FALSE)</f>
        <v>#N/A</v>
      </c>
      <c r="C487" s="29"/>
      <c r="D487" s="29"/>
      <c r="E487" s="31" t="e">
        <f>D487*VLOOKUP(A487,Nhập入库!A:N,8,FALSE)</f>
        <v>#N/A</v>
      </c>
      <c r="F487" s="29"/>
      <c r="G487" s="29"/>
      <c r="H487" s="29"/>
      <c r="I487" s="29"/>
      <c r="J487" s="34"/>
      <c r="K487" s="133"/>
    </row>
    <row r="488" spans="1:11">
      <c r="A488" s="31" t="e">
        <f>VLOOKUP($C488,SKU!$A:$I,3,FALSE)</f>
        <v>#N/A</v>
      </c>
      <c r="B488" s="31" t="e">
        <f>VLOOKUP($C488,SKU!$A:$I,2,FALSE)</f>
        <v>#N/A</v>
      </c>
      <c r="C488" s="29"/>
      <c r="D488" s="29"/>
      <c r="E488" s="31" t="e">
        <f>D488*VLOOKUP(A488,Nhập入库!A:N,8,FALSE)</f>
        <v>#N/A</v>
      </c>
      <c r="F488" s="29"/>
      <c r="G488" s="29"/>
      <c r="H488" s="29"/>
      <c r="I488" s="29"/>
      <c r="J488" s="34"/>
      <c r="K488" s="133"/>
    </row>
    <row r="489" spans="1:11">
      <c r="A489" s="31" t="e">
        <f>VLOOKUP($C489,SKU!$A:$I,3,FALSE)</f>
        <v>#N/A</v>
      </c>
      <c r="B489" s="31" t="e">
        <f>VLOOKUP($C489,SKU!$A:$I,2,FALSE)</f>
        <v>#N/A</v>
      </c>
      <c r="C489" s="29"/>
      <c r="D489" s="29"/>
      <c r="E489" s="31" t="e">
        <f>D489*VLOOKUP(A489,Nhập入库!A:N,8,FALSE)</f>
        <v>#N/A</v>
      </c>
      <c r="F489" s="29"/>
      <c r="G489" s="29"/>
      <c r="H489" s="29"/>
      <c r="I489" s="29"/>
      <c r="J489" s="34"/>
      <c r="K489" s="133"/>
    </row>
    <row r="490" spans="1:11">
      <c r="A490" s="31" t="e">
        <f>VLOOKUP($C490,SKU!$A:$I,3,FALSE)</f>
        <v>#N/A</v>
      </c>
      <c r="B490" s="31" t="e">
        <f>VLOOKUP($C490,SKU!$A:$I,2,FALSE)</f>
        <v>#N/A</v>
      </c>
      <c r="C490" s="29"/>
      <c r="D490" s="29"/>
      <c r="E490" s="31" t="e">
        <f>D490*VLOOKUP(A490,Nhập入库!A:N,8,FALSE)</f>
        <v>#N/A</v>
      </c>
      <c r="F490" s="29"/>
      <c r="G490" s="29"/>
      <c r="H490" s="29"/>
      <c r="I490" s="29"/>
      <c r="J490" s="34"/>
      <c r="K490" s="133"/>
    </row>
    <row r="491" spans="1:11">
      <c r="A491" s="31" t="e">
        <f>VLOOKUP($C491,SKU!$A:$I,3,FALSE)</f>
        <v>#N/A</v>
      </c>
      <c r="B491" s="31" t="e">
        <f>VLOOKUP($C491,SKU!$A:$I,2,FALSE)</f>
        <v>#N/A</v>
      </c>
      <c r="C491" s="29"/>
      <c r="D491" s="29"/>
      <c r="E491" s="31" t="e">
        <f>D491*VLOOKUP(A491,Nhập入库!A:N,8,FALSE)</f>
        <v>#N/A</v>
      </c>
      <c r="F491" s="29"/>
      <c r="G491" s="29"/>
      <c r="H491" s="29"/>
      <c r="I491" s="29"/>
      <c r="J491" s="34"/>
      <c r="K491" s="133"/>
    </row>
    <row r="492" spans="1:11">
      <c r="A492" s="31" t="e">
        <f>VLOOKUP($C492,SKU!$A:$I,3,FALSE)</f>
        <v>#N/A</v>
      </c>
      <c r="B492" s="31" t="e">
        <f>VLOOKUP($C492,SKU!$A:$I,2,FALSE)</f>
        <v>#N/A</v>
      </c>
      <c r="C492" s="29"/>
      <c r="D492" s="29"/>
      <c r="E492" s="31" t="e">
        <f>D492*VLOOKUP(A492,Nhập入库!A:N,8,FALSE)</f>
        <v>#N/A</v>
      </c>
      <c r="F492" s="29"/>
      <c r="G492" s="29"/>
      <c r="H492" s="29"/>
      <c r="I492" s="29"/>
      <c r="J492" s="34"/>
      <c r="K492" s="133"/>
    </row>
    <row r="493" spans="1:11">
      <c r="A493" s="31" t="e">
        <f>VLOOKUP($C493,SKU!$A:$I,3,FALSE)</f>
        <v>#N/A</v>
      </c>
      <c r="B493" s="31" t="e">
        <f>VLOOKUP($C493,SKU!$A:$I,2,FALSE)</f>
        <v>#N/A</v>
      </c>
      <c r="C493" s="29"/>
      <c r="D493" s="29"/>
      <c r="E493" s="31" t="e">
        <f>D493*VLOOKUP(A493,Nhập入库!A:N,8,FALSE)</f>
        <v>#N/A</v>
      </c>
      <c r="F493" s="29"/>
      <c r="G493" s="29"/>
      <c r="H493" s="29"/>
      <c r="I493" s="29"/>
      <c r="J493" s="34"/>
      <c r="K493" s="133"/>
    </row>
    <row r="494" spans="1:11">
      <c r="A494" s="31" t="e">
        <f>VLOOKUP($C494,SKU!$A:$I,3,FALSE)</f>
        <v>#N/A</v>
      </c>
      <c r="B494" s="31" t="e">
        <f>VLOOKUP($C494,SKU!$A:$I,2,FALSE)</f>
        <v>#N/A</v>
      </c>
      <c r="C494" s="29"/>
      <c r="D494" s="29"/>
      <c r="E494" s="31" t="e">
        <f>D494*VLOOKUP(A494,Nhập入库!A:N,8,FALSE)</f>
        <v>#N/A</v>
      </c>
      <c r="F494" s="29"/>
      <c r="G494" s="29"/>
      <c r="H494" s="29"/>
      <c r="I494" s="29"/>
      <c r="J494" s="34"/>
      <c r="K494" s="133"/>
    </row>
    <row r="495" spans="1:11">
      <c r="A495" s="31" t="e">
        <f>VLOOKUP($C495,SKU!$A:$I,3,FALSE)</f>
        <v>#N/A</v>
      </c>
      <c r="B495" s="31" t="e">
        <f>VLOOKUP($C495,SKU!$A:$I,2,FALSE)</f>
        <v>#N/A</v>
      </c>
      <c r="C495" s="29"/>
      <c r="D495" s="29"/>
      <c r="E495" s="31" t="e">
        <f>D495*VLOOKUP(A495,Nhập入库!A:N,8,FALSE)</f>
        <v>#N/A</v>
      </c>
      <c r="F495" s="29"/>
      <c r="G495" s="29"/>
      <c r="H495" s="29"/>
      <c r="I495" s="29"/>
      <c r="J495" s="34"/>
      <c r="K495" s="133"/>
    </row>
    <row r="496" spans="1:11">
      <c r="A496" s="31" t="e">
        <f>VLOOKUP($C496,SKU!$A:$I,3,FALSE)</f>
        <v>#N/A</v>
      </c>
      <c r="B496" s="31" t="e">
        <f>VLOOKUP($C496,SKU!$A:$I,2,FALSE)</f>
        <v>#N/A</v>
      </c>
      <c r="C496" s="29"/>
      <c r="D496" s="29"/>
      <c r="E496" s="31" t="e">
        <f>D496*VLOOKUP(A496,Nhập入库!A:N,8,FALSE)</f>
        <v>#N/A</v>
      </c>
      <c r="F496" s="29"/>
      <c r="G496" s="29"/>
      <c r="H496" s="29"/>
      <c r="I496" s="29"/>
      <c r="J496" s="34"/>
      <c r="K496" s="133"/>
    </row>
    <row r="497" spans="1:11">
      <c r="A497" s="31"/>
      <c r="B497" s="31"/>
      <c r="C497" s="29"/>
      <c r="D497" s="29"/>
      <c r="E497" s="31"/>
      <c r="F497" s="29"/>
      <c r="G497" s="29"/>
      <c r="H497" s="29"/>
      <c r="I497" s="29"/>
      <c r="J497" s="34"/>
      <c r="K497" s="133"/>
    </row>
    <row r="498" spans="1:11">
      <c r="A498" s="31">
        <f>VLOOKUP($C498,SKU!$A:$I,3,FALSE)</f>
        <v>10089</v>
      </c>
      <c r="B498" s="31" t="str">
        <f>VLOOKUP($C498,SKU!$A:$I,2,FALSE)</f>
        <v>星火线条小狗</v>
      </c>
      <c r="C498" s="1" t="s">
        <v>327</v>
      </c>
      <c r="E498" s="31">
        <f>D498*VLOOKUP(A498,Nhập入库!A:N,8,FALSE)</f>
        <v>0</v>
      </c>
      <c r="F498" s="1">
        <v>2</v>
      </c>
      <c r="G498" s="1" t="s">
        <v>98</v>
      </c>
      <c r="H498" s="1" t="s">
        <v>130</v>
      </c>
      <c r="I498" s="1" t="s">
        <v>424</v>
      </c>
      <c r="J498" s="34" t="s">
        <v>507</v>
      </c>
      <c r="K498" s="134">
        <v>0.625</v>
      </c>
    </row>
    <row r="499" spans="1:11">
      <c r="A499" s="31">
        <f>VLOOKUP($C499,SKU!$A:$I,3,FALSE)</f>
        <v>10039</v>
      </c>
      <c r="B499" s="31" t="str">
        <f>VLOOKUP($C499,SKU!$A:$I,2,FALSE)</f>
        <v>非凡航海王第五弹</v>
      </c>
      <c r="C499" s="1" t="s">
        <v>184</v>
      </c>
      <c r="E499" s="31">
        <f>D499*VLOOKUP(A499,Nhập入库!A:N,8,FALSE)</f>
        <v>0</v>
      </c>
      <c r="F499" s="1">
        <v>62</v>
      </c>
      <c r="G499" s="1" t="s">
        <v>166</v>
      </c>
      <c r="H499" s="1" t="s">
        <v>98</v>
      </c>
      <c r="I499" s="1" t="s">
        <v>424</v>
      </c>
      <c r="J499" s="34" t="s">
        <v>518</v>
      </c>
      <c r="K499" s="134">
        <v>0.691666666666667</v>
      </c>
    </row>
    <row r="500" spans="1:11">
      <c r="C500" s="135"/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$A1:$XFD41" name="Range1"/>
    <protectedRange sqref="$A42:$XFD63" name="Range2"/>
    <protectedRange sqref="$A64:$XFD80" name="Range3"/>
    <protectedRange sqref="$A81:$XFD119" name="Range4"/>
    <protectedRange sqref="$A125:$XFD125" name="Range5"/>
    <protectedRange sqref="$A120:$XFD175" name="Range6"/>
    <protectedRange sqref="$A176:$XFD181" name="Range7"/>
    <protectedRange sqref="$A182:$XFD303" name="Range8"/>
  </protectedRanges>
  <dataValidations count="5">
    <dataValidation allowBlank="1" showErrorMessage="1" sqref="C1 G1:I1" errorStyle="information"/>
    <dataValidation type="list" allowBlank="1" showErrorMessage="1" errorTitle="错误提示" error="请输入下拉列表中的值" sqref="C3:C29 C35:C1048576" errorStyle="information">
      <formula1>英文_越文名_Tên_SP</formula1>
    </dataValidation>
    <dataValidation type="list" allowBlank="1" showInputMessage="1" showErrorMessage="1" errorTitle="错误提示" error="请输入下拉列表中的值" sqref="C30:C34">
      <formula1>英文_越文名_Tên_SP</formula1>
    </dataValidation>
    <dataValidation type="list" allowBlank="1" showErrorMessage="1" errorTitle="错误提示" error="请输入下拉列表中的值" sqref="I3:I1048576" errorStyle="information">
      <formula1>运营</formula1>
    </dataValidation>
    <dataValidation type="list" allowBlank="1" showErrorMessage="1" errorTitle="错误提示" error="请输入下拉列表中的值" sqref="G2:H1048576" errorStyle="information">
      <formula1>主播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77"/>
  <sheetViews>
    <sheetView workbookViewId="0">
      <pane xSplit="1" ySplit="1" topLeftCell="G332" activePane="bottomRight" state="frozen"/>
      <selection/>
      <selection pane="topRight"/>
      <selection pane="bottomLeft"/>
      <selection pane="bottomRight" activeCell="G332" sqref="G332:G342"/>
    </sheetView>
  </sheetViews>
  <sheetFormatPr defaultColWidth="8.70833333333333" defaultRowHeight="15"/>
  <cols>
    <col min="1" max="1" width="11.5666666666667" style="1" hidden="1" customWidth="1"/>
    <col min="2" max="2" width="14.7083333333333" style="1" customWidth="1"/>
    <col min="3" max="3" width="13.8583333333333" style="1" customWidth="1"/>
    <col min="4" max="4" width="44.75" style="1" customWidth="1"/>
    <col min="5" max="10" width="10.75" style="1" customWidth="1"/>
    <col min="11" max="11" width="6.625" style="1" customWidth="1"/>
    <col min="12" max="12" width="72.875" style="1" customWidth="1"/>
    <col min="13" max="15" width="8.70833333333333" style="2"/>
    <col min="16" max="16" width="10.125" style="2"/>
    <col min="17" max="16384" width="8.70833333333333" style="2"/>
  </cols>
  <sheetData>
    <row r="1" ht="56.25" spans="1:12">
      <c r="A1" s="3" t="s">
        <v>548</v>
      </c>
      <c r="B1" s="3" t="s">
        <v>417</v>
      </c>
      <c r="C1" s="3" t="s">
        <v>549</v>
      </c>
      <c r="D1" s="3" t="s">
        <v>413</v>
      </c>
      <c r="E1" s="3" t="s">
        <v>550</v>
      </c>
      <c r="F1" s="3" t="s">
        <v>551</v>
      </c>
      <c r="G1" s="4" t="s">
        <v>552</v>
      </c>
      <c r="H1" s="3" t="s">
        <v>553</v>
      </c>
      <c r="I1" s="4" t="s">
        <v>554</v>
      </c>
      <c r="J1" s="3" t="s">
        <v>555</v>
      </c>
      <c r="K1" s="5" t="s">
        <v>556</v>
      </c>
      <c r="L1" s="3" t="s">
        <v>387</v>
      </c>
    </row>
    <row r="2" spans="1:12">
      <c r="A2" s="6"/>
      <c r="B2" s="7" t="s">
        <v>16</v>
      </c>
      <c r="C2" s="6" t="s">
        <v>65</v>
      </c>
      <c r="D2" s="6" t="s">
        <v>66</v>
      </c>
      <c r="E2" s="8">
        <f>SUMIFS(Xuất出库!D:D,Xuất出库!G:G,B2,Xuất出库!C:C,D2)</f>
        <v>36</v>
      </c>
      <c r="F2" s="9">
        <f>SUMIFS(Xuất出库!E:E,Xuất出库!G:G,B2,Xuất出库!C:C,D2)+SUMIFS(Xuất出库!F:F,Xuất出库!G:G,B2,Xuất出库!C:C,D2)</f>
        <v>491</v>
      </c>
      <c r="G2" s="6">
        <f>105+186+32+29+27</f>
        <v>379</v>
      </c>
      <c r="H2" s="9">
        <f>SUMIFS(Hoàn回库!E:E,Hoàn回库!G:G,B2,Hoàn回库!C:C,D2)+SUMIFS(Hoàn回库!F:F,Hoàn回库!G:G,B2,Hoàn回库!C:C,D2)</f>
        <v>89</v>
      </c>
      <c r="I2" s="9">
        <f>SUMIFS('Điều hàng调货'!E:E,'Điều hàng调货'!A:A,K2,'Điều hàng调货'!G:G,B2)*-1+SUMIFS('Điều hàng调货'!E:E,'Điều hàng调货'!A:A,K2,'Điều hàng调货'!H:H,B2)+SUMIFS('Điều hàng调货'!F:F,'Điều hàng调货'!A:A,K2,'Điều hàng调货'!G:G,B2)*-1+SUMIFS('Điều hàng调货'!F:F,'Điều hàng调货'!A:A,K2,'Điều hàng调货'!H:H,B2)</f>
        <v>0</v>
      </c>
      <c r="J2" s="9">
        <f t="shared" ref="J2:J26" si="0">F2-G2-H2+I2</f>
        <v>23</v>
      </c>
      <c r="K2" s="9">
        <f>VLOOKUP($D2,SKU!$A:$I,3,FALSE)</f>
        <v>10010</v>
      </c>
      <c r="L2" s="9" t="str">
        <f>VLOOKUP($D2,SKU!$A:$I,2,FALSE)</f>
        <v>玩的入迷-魔卡少女樱第一弹—樱之绮遇</v>
      </c>
    </row>
    <row r="3" spans="1:12">
      <c r="A3" s="6"/>
      <c r="B3" s="7" t="s">
        <v>16</v>
      </c>
      <c r="C3" s="6" t="s">
        <v>65</v>
      </c>
      <c r="D3" s="6" t="s">
        <v>91</v>
      </c>
      <c r="E3" s="8">
        <f>SUMIFS(Xuất出库!D:D,Xuất出库!G:G,B3,Xuất出库!C:C,D3)</f>
        <v>15</v>
      </c>
      <c r="F3" s="9">
        <f>SUMIFS(Xuất出库!E:E,Xuất出库!G:G,B3,Xuất出库!C:C,D3)+SUMIFS(Xuất出库!F:F,Xuất出库!G:G,B3,Xuất出库!C:C,D3)</f>
        <v>150</v>
      </c>
      <c r="G3" s="6">
        <v>60</v>
      </c>
      <c r="H3" s="9">
        <f>SUMIFS(Hoàn回库!E:E,Hoàn回库!G:G,B3,Hoàn回库!C:C,D3)+SUMIFS(Hoàn回库!F:F,Hoàn回库!G:G,B3,Hoàn回库!C:C,D3)</f>
        <v>22</v>
      </c>
      <c r="I3" s="9">
        <f>SUMIFS('Điều hàng调货'!E:E,'Điều hàng调货'!A:A,K3,'Điều hàng调货'!G:G,B3)*-1+SUMIFS('Điều hàng调货'!E:E,'Điều hàng调货'!A:A,K3,'Điều hàng调货'!H:H,B3)+SUMIFS('Điều hàng调货'!F:F,'Điều hàng调货'!A:A,K3,'Điều hàng调货'!G:G,B3)*-1+SUMIFS('Điều hàng调货'!F:F,'Điều hàng调货'!A:A,K3,'Điều hàng调货'!H:H,B3)</f>
        <v>-68</v>
      </c>
      <c r="J3" s="9">
        <f t="shared" si="0"/>
        <v>0</v>
      </c>
      <c r="K3" s="9">
        <f>VLOOKUP($D3,SKU!$A:$I,3,FALSE)</f>
        <v>10016</v>
      </c>
      <c r="L3" s="9" t="str">
        <f>VLOOKUP($D3,SKU!$A:$I,2,FALSE)</f>
        <v>思梨普文创《hey!国王陛下》集换式艺术家典藏卡</v>
      </c>
    </row>
    <row r="4" spans="1:12">
      <c r="A4" s="6"/>
      <c r="B4" s="7" t="s">
        <v>16</v>
      </c>
      <c r="C4" s="6" t="s">
        <v>65</v>
      </c>
      <c r="D4" s="6" t="s">
        <v>107</v>
      </c>
      <c r="E4" s="8">
        <f>SUMIFS(Xuất出库!D:D,Xuất出库!G:G,B4,Xuất出库!C:C,D4)</f>
        <v>31</v>
      </c>
      <c r="F4" s="9">
        <f>SUMIFS(Xuất出库!E:E,Xuất出库!G:G,B4,Xuất出库!C:C,D4)+SUMIFS(Xuất出库!F:F,Xuất出库!G:G,B4,Xuất出库!C:C,D4)</f>
        <v>525</v>
      </c>
      <c r="G4" s="6">
        <f>11+9+163+18+18+1+48+53+65+41+5+1+77+15</f>
        <v>525</v>
      </c>
      <c r="H4" s="9">
        <f>SUMIFS(Hoàn回库!E:E,Hoàn回库!G:G,B4,Hoàn回库!C:C,D4)+SUMIFS(Hoàn回库!F:F,Hoàn回库!G:G,B4,Hoàn回库!C:C,D4)</f>
        <v>0</v>
      </c>
      <c r="I4" s="9">
        <f>SUMIFS('Điều hàng调货'!E:E,'Điều hàng调货'!A:A,K4,'Điều hàng调货'!G:G,B4)*-1+SUMIFS('Điều hàng调货'!E:E,'Điều hàng调货'!A:A,K4,'Điều hàng调货'!H:H,B4)+SUMIFS('Điều hàng调货'!F:F,'Điều hàng调货'!A:A,K4,'Điều hàng调货'!G:G,B4)*-1+SUMIFS('Điều hàng调货'!F:F,'Điều hàng调货'!A:A,K4,'Điều hàng调货'!H:H,B4)</f>
        <v>0</v>
      </c>
      <c r="J4" s="9">
        <f t="shared" si="0"/>
        <v>0</v>
      </c>
      <c r="K4" s="9">
        <f>VLOOKUP($D4,SKU!$A:$I,3,FALSE)</f>
        <v>10020</v>
      </c>
      <c r="L4" s="9" t="str">
        <f>VLOOKUP($D4,SKU!$A:$I,2,FALSE)</f>
        <v>集卡社小樱</v>
      </c>
    </row>
    <row r="5" spans="1:12">
      <c r="A5" s="6"/>
      <c r="B5" s="7" t="s">
        <v>16</v>
      </c>
      <c r="C5" s="6" t="s">
        <v>65</v>
      </c>
      <c r="D5" s="6" t="s">
        <v>99</v>
      </c>
      <c r="E5" s="8">
        <f>SUMIFS(Xuất出库!D:D,Xuất出库!G:G,B5,Xuất出库!C:C,D5)</f>
        <v>19</v>
      </c>
      <c r="F5" s="9">
        <f>SUMIFS(Xuất出库!E:E,Xuất出库!G:G,B5,Xuất出库!C:C,D5)+SUMIFS(Xuất出库!F:F,Xuất出库!G:G,B5,Xuất出库!C:C,D5)</f>
        <v>247</v>
      </c>
      <c r="G5" s="6">
        <f>15+83+70+14+3</f>
        <v>185</v>
      </c>
      <c r="H5" s="9">
        <f>SUMIFS(Hoàn回库!E:E,Hoàn回库!G:G,B5,Hoàn回库!C:C,D5)+SUMIFS(Hoàn回库!F:F,Hoàn回库!G:G,B5,Hoàn回库!C:C,D5)</f>
        <v>0</v>
      </c>
      <c r="I5" s="9">
        <f>SUMIFS('Điều hàng调货'!E:E,'Điều hàng调货'!A:A,K5,'Điều hàng调货'!G:G,B5)*-1+SUMIFS('Điều hàng调货'!E:E,'Điều hàng调货'!A:A,K5,'Điều hàng调货'!H:H,B5)+SUMIFS('Điều hàng调货'!F:F,'Điều hàng调货'!A:A,K5,'Điều hàng调货'!G:G,B5)*-1+SUMIFS('Điều hàng调货'!F:F,'Điều hàng调货'!A:A,K5,'Điều hàng调货'!H:H,B5)</f>
        <v>0</v>
      </c>
      <c r="J5" s="9">
        <f t="shared" si="0"/>
        <v>62</v>
      </c>
      <c r="K5" s="9">
        <f>VLOOKUP($D5,SKU!$A:$I,3,FALSE)</f>
        <v>10018</v>
      </c>
      <c r="L5" s="9" t="str">
        <f>VLOOKUP($D5,SKU!$A:$I,2,FALSE)</f>
        <v>圣月美少女战士星尘协奏曲长卡</v>
      </c>
    </row>
    <row r="6" spans="1:12">
      <c r="A6" s="6"/>
      <c r="B6" s="7" t="s">
        <v>16</v>
      </c>
      <c r="C6" s="6" t="s">
        <v>65</v>
      </c>
      <c r="D6" s="6" t="s">
        <v>115</v>
      </c>
      <c r="E6" s="8">
        <f>SUMIFS(Xuất出库!D:D,Xuất出库!G:G,B6,Xuất出库!C:C,D6)</f>
        <v>24</v>
      </c>
      <c r="F6" s="9">
        <f>SUMIFS(Xuất出库!E:E,Xuất出库!G:G,B6,Xuất出库!C:C,D6)+SUMIFS(Xuất出库!F:F,Xuất出库!G:G,B6,Xuất出库!C:C,D6)</f>
        <v>192</v>
      </c>
      <c r="G6" s="6">
        <f>59+74+59</f>
        <v>192</v>
      </c>
      <c r="H6" s="9">
        <f>SUMIFS(Hoàn回库!E:E,Hoàn回库!G:G,B6,Hoàn回库!C:C,D6)+SUMIFS(Hoàn回库!F:F,Hoàn回库!G:G,B6,Hoàn回库!C:C,D6)</f>
        <v>0</v>
      </c>
      <c r="I6" s="9">
        <f>SUMIFS('Điều hàng调货'!E:E,'Điều hàng调货'!A:A,K6,'Điều hàng调货'!G:G,B6)*-1+SUMIFS('Điều hàng调货'!E:E,'Điều hàng调货'!A:A,K6,'Điều hàng调货'!H:H,B6)+SUMIFS('Điều hàng调货'!F:F,'Điều hàng调货'!A:A,K6,'Điều hàng调货'!G:G,B6)*-1+SUMIFS('Điều hàng调货'!F:F,'Điều hàng调货'!A:A,K6,'Điều hàng调货'!H:H,B6)</f>
        <v>0</v>
      </c>
      <c r="J6" s="9">
        <f t="shared" si="0"/>
        <v>0</v>
      </c>
      <c r="K6" s="9">
        <f>VLOOKUP($D6,SKU!$A:$I,3,FALSE)</f>
        <v>10022</v>
      </c>
      <c r="L6" s="9" t="str">
        <f>VLOOKUP($D6,SKU!$A:$I,2,FALSE)</f>
        <v>【耀光·美少女战士】长卡卡砖</v>
      </c>
    </row>
    <row r="7" spans="1:12">
      <c r="A7" s="6"/>
      <c r="B7" s="7" t="s">
        <v>16</v>
      </c>
      <c r="C7" s="6" t="s">
        <v>65</v>
      </c>
      <c r="D7" s="6" t="s">
        <v>151</v>
      </c>
      <c r="E7" s="8">
        <f>SUMIFS(Xuất出库!D:D,Xuất出库!G:G,B7,Xuất出库!C:C,D7)</f>
        <v>24</v>
      </c>
      <c r="F7" s="9">
        <f>SUMIFS(Xuất出库!E:E,Xuất出库!G:G,B7,Xuất出库!C:C,D7)+SUMIFS(Xuất出库!F:F,Xuất出库!G:G,B7,Xuất出库!C:C,D7)</f>
        <v>240</v>
      </c>
      <c r="G7" s="6">
        <f>24+105+44+67</f>
        <v>240</v>
      </c>
      <c r="H7" s="9">
        <f>SUMIFS(Hoàn回库!E:E,Hoàn回库!G:G,B7,Hoàn回库!C:C,D7)+SUMIFS(Hoàn回库!F:F,Hoàn回库!G:G,B7,Hoàn回库!C:C,D7)</f>
        <v>0</v>
      </c>
      <c r="I7" s="9">
        <f>SUMIFS('Điều hàng调货'!E:E,'Điều hàng调货'!A:A,K7,'Điều hàng调货'!G:G,B7)*-1+SUMIFS('Điều hàng调货'!E:E,'Điều hàng调货'!A:A,K7,'Điều hàng调货'!H:H,B7)+SUMIFS('Điều hàng调货'!F:F,'Điều hàng调货'!A:A,K7,'Điều hàng调货'!G:G,B7)*-1+SUMIFS('Điều hàng调货'!F:F,'Điều hàng调货'!A:A,K7,'Điều hàng调货'!H:H,B7)</f>
        <v>0</v>
      </c>
      <c r="J7" s="9">
        <f t="shared" si="0"/>
        <v>0</v>
      </c>
      <c r="K7" s="9">
        <f>VLOOKUP($D7,SKU!$A:$I,3,FALSE)</f>
        <v>10031</v>
      </c>
      <c r="L7" s="9" t="str">
        <f>VLOOKUP($D7,SKU!$A:$I,2,FALSE)</f>
        <v>胜卡文创x魔道祖师云深不忘邮票评级卡砖</v>
      </c>
    </row>
    <row r="8" spans="1:12">
      <c r="A8" s="6"/>
      <c r="B8" s="7" t="s">
        <v>16</v>
      </c>
      <c r="C8" s="6" t="s">
        <v>65</v>
      </c>
      <c r="D8" s="6" t="s">
        <v>147</v>
      </c>
      <c r="E8" s="8">
        <f>SUMIFS(Xuất出库!D:D,Xuất出库!G:G,B8,Xuất出库!C:C,D8)</f>
        <v>31</v>
      </c>
      <c r="F8" s="9">
        <f>SUMIFS(Xuất出库!E:E,Xuất出库!G:G,B8,Xuất出库!C:C,D8)+SUMIFS(Xuất出库!F:F,Xuất出库!G:G,B8,Xuất出库!C:C,D8)</f>
        <v>404</v>
      </c>
      <c r="G8" s="6">
        <f>13+3+17+72+83</f>
        <v>188</v>
      </c>
      <c r="H8" s="9">
        <f>SUMIFS(Hoàn回库!E:E,Hoàn回库!G:G,B8,Hoàn回库!C:C,D8)+SUMIFS(Hoàn回库!F:F,Hoàn回库!G:G,B8,Hoàn回库!C:C,D8)</f>
        <v>71</v>
      </c>
      <c r="I8" s="9">
        <f>SUMIFS('Điều hàng调货'!E:E,'Điều hàng调货'!A:A,K8,'Điều hàng调货'!G:G,B8)*-1+SUMIFS('Điều hàng调货'!E:E,'Điều hàng调货'!A:A,K8,'Điều hàng调货'!H:H,B8)+SUMIFS('Điều hàng调货'!F:F,'Điều hàng调货'!A:A,K8,'Điều hàng调货'!G:G,B8)*-1+SUMIFS('Điều hàng调货'!F:F,'Điều hàng调货'!A:A,K8,'Điều hàng调货'!H:H,B8)</f>
        <v>0</v>
      </c>
      <c r="J8" s="9">
        <f t="shared" si="0"/>
        <v>145</v>
      </c>
      <c r="K8" s="9">
        <f>VLOOKUP($D8,SKU!$A:$I,3,FALSE)</f>
        <v>10030</v>
      </c>
      <c r="L8" s="9" t="str">
        <f>VLOOKUP($D8,SKU!$A:$I,2,FALSE)</f>
        <v>梦影动漫黑执事-典藏版收藏卡牌</v>
      </c>
    </row>
    <row r="9" spans="1:12">
      <c r="A9" s="6"/>
      <c r="B9" s="7" t="s">
        <v>16</v>
      </c>
      <c r="C9" s="6" t="s">
        <v>65</v>
      </c>
      <c r="D9" s="6" t="s">
        <v>175</v>
      </c>
      <c r="E9" s="8">
        <f>SUMIFS(Xuất出库!D:D,Xuất出库!G:G,B9,Xuất出库!C:C,D9)</f>
        <v>50</v>
      </c>
      <c r="F9" s="9">
        <f>SUMIFS(Xuất出库!E:E,Xuất出库!G:G,B9,Xuất出库!C:C,D9)+SUMIFS(Xuất出库!F:F,Xuất出库!G:G,B9,Xuất出库!C:C,D9)</f>
        <v>50</v>
      </c>
      <c r="G9" s="6">
        <f>1+2+7</f>
        <v>10</v>
      </c>
      <c r="H9" s="9">
        <f>SUMIFS(Hoàn回库!E:E,Hoàn回库!G:G,B9,Hoàn回库!C:C,D9)+SUMIFS(Hoàn回库!F:F,Hoàn回库!G:G,B9,Hoàn回库!C:C,D9)</f>
        <v>40</v>
      </c>
      <c r="I9" s="9">
        <f>SUMIFS('Điều hàng调货'!E:E,'Điều hàng调货'!A:A,K9,'Điều hàng调货'!G:G,B9)*-1+SUMIFS('Điều hàng调货'!E:E,'Điều hàng调货'!A:A,K9,'Điều hàng调货'!H:H,B9)+SUMIFS('Điều hàng调货'!F:F,'Điều hàng调货'!A:A,K9,'Điều hàng调货'!G:G,B9)*-1+SUMIFS('Điều hàng调货'!F:F,'Điều hàng调货'!A:A,K9,'Điều hàng调货'!H:H,B9)</f>
        <v>0</v>
      </c>
      <c r="J9" s="9">
        <f t="shared" si="0"/>
        <v>0</v>
      </c>
      <c r="K9" s="9">
        <f>VLOOKUP($D9,SKU!$A:$I,3,FALSE)</f>
        <v>10037</v>
      </c>
      <c r="L9" s="9" t="str">
        <f>VLOOKUP($D9,SKU!$A:$I,2,FALSE)</f>
        <v>磁吸邮票《咪咕咪咕&amp;魔卡少女樱》</v>
      </c>
    </row>
    <row r="10" spans="1:12">
      <c r="A10" s="6"/>
      <c r="B10" s="7" t="s">
        <v>16</v>
      </c>
      <c r="C10" s="6" t="s">
        <v>65</v>
      </c>
      <c r="D10" s="6" t="s">
        <v>95</v>
      </c>
      <c r="E10" s="8">
        <f>SUMIFS(Xuất出库!D:D,Xuất出库!G:G,B10,Xuất出库!C:C,D10)</f>
        <v>28</v>
      </c>
      <c r="F10" s="9">
        <f>SUMIFS(Xuất出库!E:E,Xuất出库!G:G,B10,Xuất出库!C:C,D10)+SUMIFS(Xuất出库!F:F,Xuất出库!G:G,B10,Xuất出库!C:C,D10)</f>
        <v>410</v>
      </c>
      <c r="G10" s="6">
        <f>9+43+9+46+14+56+31+47+70-10+17</f>
        <v>332</v>
      </c>
      <c r="H10" s="9">
        <f>SUMIFS(Hoàn回库!E:E,Hoàn回库!G:G,B10,Hoàn回库!C:C,D10)+SUMIFS(Hoàn回库!F:F,Hoàn回库!G:G,B10,Hoàn回库!C:C,D10)</f>
        <v>78</v>
      </c>
      <c r="I10" s="9">
        <f>SUMIFS('Điều hàng调货'!E:E,'Điều hàng调货'!A:A,K10,'Điều hàng调货'!G:G,B10)*-1+SUMIFS('Điều hàng调货'!E:E,'Điều hàng调货'!A:A,K10,'Điều hàng调货'!H:H,B10)+SUMIFS('Điều hàng调货'!F:F,'Điều hàng调货'!A:A,K10,'Điều hàng调货'!G:G,B10)*-1+SUMIFS('Điều hàng调货'!F:F,'Điều hàng调货'!A:A,K10,'Điều hàng调货'!H:H,B10)</f>
        <v>0</v>
      </c>
      <c r="J10" s="9">
        <f t="shared" si="0"/>
        <v>0</v>
      </c>
      <c r="K10" s="9">
        <f>VLOOKUP($D10,SKU!$A:$I,3,FALSE)</f>
        <v>10017</v>
      </c>
      <c r="L10" s="9" t="str">
        <f>VLOOKUP($D10,SKU!$A:$I,2,FALSE)</f>
        <v>梦境-美少女战士第一弹</v>
      </c>
    </row>
    <row r="11" spans="1:12">
      <c r="A11" s="6"/>
      <c r="B11" s="7" t="s">
        <v>16</v>
      </c>
      <c r="C11" s="6" t="s">
        <v>65</v>
      </c>
      <c r="D11" s="6" t="s">
        <v>167</v>
      </c>
      <c r="E11" s="8">
        <f>SUMIFS(Xuất出库!D:D,Xuất出库!G:G,B11,Xuất出库!C:C,D11)</f>
        <v>5</v>
      </c>
      <c r="F11" s="9">
        <f>SUMIFS(Xuất出库!E:E,Xuất出库!G:G,B11,Xuất出库!C:C,D11)+SUMIFS(Xuất出库!F:F,Xuất出库!G:G,B11,Xuất出库!C:C,D11)</f>
        <v>70</v>
      </c>
      <c r="G11" s="6">
        <v>29</v>
      </c>
      <c r="H11" s="9">
        <f>SUMIFS(Hoàn回库!E:E,Hoàn回库!G:G,B11,Hoàn回库!C:C,D11)+SUMIFS(Hoàn回库!F:F,Hoàn回库!G:G,B11,Hoàn回库!C:C,D11)</f>
        <v>41</v>
      </c>
      <c r="I11" s="9">
        <f>SUMIFS('Điều hàng调货'!E:E,'Điều hàng调货'!A:A,K11,'Điều hàng调货'!G:G,B11)*-1+SUMIFS('Điều hàng调货'!E:E,'Điều hàng调货'!A:A,K11,'Điều hàng调货'!H:H,B11)+SUMIFS('Điều hàng调货'!F:F,'Điều hàng调货'!A:A,K11,'Điều hàng调货'!G:G,B11)*-1+SUMIFS('Điều hàng调货'!F:F,'Điều hàng调货'!A:A,K11,'Điều hàng调货'!H:H,B11)</f>
        <v>0</v>
      </c>
      <c r="J11" s="9">
        <f t="shared" si="0"/>
        <v>0</v>
      </c>
      <c r="K11" s="9">
        <f>VLOOKUP($D11,SKU!$A:$I,3,FALSE)</f>
        <v>10035</v>
      </c>
      <c r="L11" s="9" t="str">
        <f>VLOOKUP($D11,SKU!$A:$I,2,FALSE)</f>
        <v>KK CARD × 新海诚系列第一弹</v>
      </c>
    </row>
    <row r="12" spans="1:12">
      <c r="A12" s="6"/>
      <c r="B12" s="7" t="s">
        <v>16</v>
      </c>
      <c r="C12" s="6" t="s">
        <v>65</v>
      </c>
      <c r="D12" s="10" t="s">
        <v>143</v>
      </c>
      <c r="E12" s="8">
        <f>SUMIFS(Xuất出库!D:D,Xuất出库!G:G,B12,Xuất出库!C:C,D12)</f>
        <v>44</v>
      </c>
      <c r="F12" s="9">
        <f>SUMIFS(Xuất出库!E:E,Xuất出库!G:G,B12,Xuất出库!C:C,D12)+SUMIFS(Xuất出库!F:F,Xuất出库!G:G,B12,Xuất出库!C:C,D12)</f>
        <v>648</v>
      </c>
      <c r="G12" s="6">
        <v>553</v>
      </c>
      <c r="H12" s="9">
        <f>SUMIFS(Hoàn回库!E:E,Hoàn回库!G:G,B12,Hoàn回库!C:C,D12)+SUMIFS(Hoàn回库!F:F,Hoàn回库!G:G,B12,Hoàn回库!C:C,D12)</f>
        <v>117</v>
      </c>
      <c r="I12" s="9">
        <f>SUMIFS('Điều hàng调货'!E:E,'Điều hàng调货'!A:A,K12,'Điều hàng调货'!G:G,B12)*-1+SUMIFS('Điều hàng调货'!E:E,'Điều hàng调货'!A:A,K12,'Điều hàng调货'!H:H,B12)+SUMIFS('Điều hàng调货'!F:F,'Điều hàng调货'!A:A,K12,'Điều hàng调货'!G:G,B12)*-1+SUMIFS('Điều hàng调货'!F:F,'Điều hàng调货'!A:A,K12,'Điều hàng调货'!H:H,B12)</f>
        <v>61</v>
      </c>
      <c r="J12" s="9">
        <f t="shared" si="0"/>
        <v>39</v>
      </c>
      <c r="K12" s="9">
        <f>VLOOKUP($D12,SKU!$A:$I,3,FALSE)</f>
        <v>10029</v>
      </c>
      <c r="L12" s="9" t="str">
        <f>VLOOKUP($D12,SKU!$A:$I,2,FALSE)</f>
        <v>樱花屋魔卡少女樱</v>
      </c>
    </row>
    <row r="13" spans="1:12">
      <c r="A13" s="6"/>
      <c r="B13" s="7" t="s">
        <v>16</v>
      </c>
      <c r="C13" s="6" t="s">
        <v>65</v>
      </c>
      <c r="D13" s="10" t="s">
        <v>188</v>
      </c>
      <c r="E13" s="8">
        <f>SUMIFS(Xuất出库!D:D,Xuất出库!G:G,B13,Xuất出库!C:C,D13)</f>
        <v>46</v>
      </c>
      <c r="F13" s="9">
        <f>SUMIFS(Xuất出库!E:E,Xuất出库!G:G,B13,Xuất出库!C:C,D13)+SUMIFS(Xuất出库!F:F,Xuất出库!G:G,B13,Xuất出库!C:C,D13)</f>
        <v>295</v>
      </c>
      <c r="G13" s="6">
        <f>55-37+221</f>
        <v>239</v>
      </c>
      <c r="H13" s="9">
        <f>SUMIFS(Hoàn回库!E:E,Hoàn回库!G:G,B13,Hoàn回库!C:C,D13)+SUMIFS(Hoàn回库!F:F,Hoàn回库!G:G,B13,Hoàn回库!C:C,D13)</f>
        <v>56</v>
      </c>
      <c r="I13" s="9">
        <f>SUMIFS('Điều hàng调货'!E:E,'Điều hàng调货'!A:A,K13,'Điều hàng调货'!G:G,B13)*-1+SUMIFS('Điều hàng调货'!E:E,'Điều hàng调货'!A:A,K13,'Điều hàng调货'!H:H,B13)+SUMIFS('Điều hàng调货'!F:F,'Điều hàng调货'!A:A,K13,'Điều hàng调货'!G:G,B13)*-1+SUMIFS('Điều hàng调货'!F:F,'Điều hàng调货'!A:A,K13,'Điều hàng调货'!H:H,B13)</f>
        <v>0</v>
      </c>
      <c r="J13" s="9">
        <f t="shared" si="0"/>
        <v>0</v>
      </c>
      <c r="K13" s="9">
        <f>VLOOKUP($D13,SKU!$A:$I,3,FALSE)</f>
        <v>10040</v>
      </c>
      <c r="L13" s="9" t="str">
        <f>VLOOKUP($D13,SKU!$A:$I,2,FALSE)</f>
        <v>酷卡文化-线条小狗3弹</v>
      </c>
    </row>
    <row r="14" spans="1:12">
      <c r="A14" s="6"/>
      <c r="B14" s="7" t="s">
        <v>16</v>
      </c>
      <c r="C14" s="6" t="s">
        <v>65</v>
      </c>
      <c r="D14" s="10" t="s">
        <v>199</v>
      </c>
      <c r="E14" s="8">
        <f>SUMIFS(Xuất出库!D:D,Xuất出库!G:G,B14,Xuất出库!C:C,D14)</f>
        <v>35</v>
      </c>
      <c r="F14" s="9">
        <f>SUMIFS(Xuất出库!E:E,Xuất出库!G:G,B14,Xuất出库!C:C,D14)+SUMIFS(Xuất出库!F:F,Xuất出库!G:G,B14,Xuất出库!C:C,D14)</f>
        <v>455</v>
      </c>
      <c r="G14" s="6">
        <f>71+13+13+72+25+9+3+2</f>
        <v>208</v>
      </c>
      <c r="H14" s="9">
        <f>SUMIFS(Hoàn回库!E:E,Hoàn回库!G:G,B14,Hoàn回库!C:C,D14)+SUMIFS(Hoàn回库!F:F,Hoàn回库!G:G,B14,Hoàn回库!C:C,D14)</f>
        <v>0</v>
      </c>
      <c r="I14" s="9">
        <f>SUMIFS('Điều hàng调货'!E:E,'Điều hàng调货'!A:A,K14,'Điều hàng调货'!G:G,B14)*-1+SUMIFS('Điều hàng调货'!E:E,'Điều hàng调货'!A:A,K14,'Điều hàng调货'!H:H,B14)+SUMIFS('Điều hàng调货'!F:F,'Điều hàng调货'!A:A,K14,'Điều hàng调货'!G:G,B14)*-1+SUMIFS('Điều hàng调货'!F:F,'Điều hàng调货'!A:A,K14,'Điều hàng调货'!H:H,B14)</f>
        <v>0</v>
      </c>
      <c r="J14" s="9">
        <f t="shared" si="0"/>
        <v>247</v>
      </c>
      <c r="K14" s="9">
        <f>VLOOKUP($D14,SKU!$A:$I,3,FALSE)</f>
        <v>10043</v>
      </c>
      <c r="L14" s="9" t="str">
        <f>VLOOKUP($D14,SKU!$A:$I,2,FALSE)</f>
        <v>光恋XR-披荆斩棘-美少女战士</v>
      </c>
    </row>
    <row r="15" spans="1:12">
      <c r="A15" s="6"/>
      <c r="B15" s="7" t="s">
        <v>16</v>
      </c>
      <c r="C15" s="6" t="s">
        <v>65</v>
      </c>
      <c r="D15" s="10" t="s">
        <v>127</v>
      </c>
      <c r="E15" s="8">
        <f>SUMIFS(Xuất出库!D:D,Xuất出库!G:G,B15,Xuất出库!C:C,D15)</f>
        <v>150</v>
      </c>
      <c r="F15" s="9">
        <f>SUMIFS(Xuất出库!E:E,Xuất出库!G:G,B15,Xuất出库!C:C,D15)+SUMIFS(Xuất出库!F:F,Xuất出库!G:G,B15,Xuất出库!C:C,D15)</f>
        <v>150</v>
      </c>
      <c r="G15" s="6">
        <v>150</v>
      </c>
      <c r="H15" s="9">
        <f>SUMIFS(Hoàn回库!E:E,Hoàn回库!G:G,B15,Hoàn回库!C:C,D15)+SUMIFS(Hoàn回库!F:F,Hoàn回库!G:G,B15,Hoàn回库!C:C,D15)</f>
        <v>0</v>
      </c>
      <c r="I15" s="9">
        <f>SUMIFS('Điều hàng调货'!E:E,'Điều hàng调货'!A:A,K15,'Điều hàng调货'!G:G,B15)*-1+SUMIFS('Điều hàng调货'!E:E,'Điều hàng调货'!A:A,K15,'Điều hàng调货'!H:H,B15)+SUMIFS('Điều hàng调货'!F:F,'Điều hàng调货'!A:A,K15,'Điều hàng调货'!G:G,B15)*-1+SUMIFS('Điều hàng调货'!F:F,'Điều hàng调货'!A:A,K15,'Điều hàng调货'!H:H,B15)</f>
        <v>0</v>
      </c>
      <c r="J15" s="9">
        <f t="shared" si="0"/>
        <v>0</v>
      </c>
      <c r="K15" s="9">
        <f>VLOOKUP($D15,SKU!$A:$I,3,FALSE)</f>
        <v>10025</v>
      </c>
      <c r="L15" s="9" t="str">
        <f>VLOOKUP($D15,SKU!$A:$I,2,FALSE)</f>
        <v>君屹文化耽美古风收藏新纪元《言辞忆梦》撕撕乐</v>
      </c>
    </row>
    <row r="16" spans="1:12">
      <c r="A16" s="6"/>
      <c r="B16" s="7" t="s">
        <v>16</v>
      </c>
      <c r="C16" s="6" t="s">
        <v>65</v>
      </c>
      <c r="D16" s="10" t="s">
        <v>55</v>
      </c>
      <c r="E16" s="8">
        <f>SUMIFS(Xuất出库!D:D,Xuất出库!G:G,B16,Xuất出库!C:C,D16)</f>
        <v>10</v>
      </c>
      <c r="F16" s="9">
        <f>SUMIFS(Xuất出库!E:E,Xuất出库!G:G,B16,Xuất出库!C:C,D16)+SUMIFS(Xuất出库!F:F,Xuất出库!G:G,B16,Xuất出库!C:C,D16)</f>
        <v>100</v>
      </c>
      <c r="G16" s="6">
        <f>25+11</f>
        <v>36</v>
      </c>
      <c r="H16" s="9">
        <f>SUMIFS(Hoàn回库!E:E,Hoàn回库!G:G,B16,Hoàn回库!C:C,D16)+SUMIFS(Hoàn回库!F:F,Hoàn回库!G:G,B16,Hoàn回库!C:C,D16)</f>
        <v>0</v>
      </c>
      <c r="I16" s="9">
        <f>SUMIFS('Điều hàng调货'!E:E,'Điều hàng调货'!A:A,K16,'Điều hàng调货'!G:G,B16)*-1+SUMIFS('Điều hàng调货'!E:E,'Điều hàng调货'!A:A,K16,'Điều hàng调货'!H:H,B16)+SUMIFS('Điều hàng调货'!F:F,'Điều hàng调货'!A:A,K16,'Điều hàng调货'!G:G,B16)*-1+SUMIFS('Điều hàng调货'!F:F,'Điều hàng调货'!A:A,K16,'Điều hàng调货'!H:H,B16)</f>
        <v>0</v>
      </c>
      <c r="J16" s="9">
        <f t="shared" si="0"/>
        <v>64</v>
      </c>
      <c r="K16" s="9">
        <f>VLOOKUP($D16,SKU!$A:$I,3,FALSE)</f>
        <v>10008</v>
      </c>
      <c r="L16" s="9" t="str">
        <f>VLOOKUP($D16,SKU!$A:$I,2,FALSE)</f>
        <v>XWork美少女战士-璀璨之梦</v>
      </c>
    </row>
    <row r="17" spans="1:12">
      <c r="A17" s="6"/>
      <c r="B17" s="7" t="s">
        <v>16</v>
      </c>
      <c r="C17" s="6" t="s">
        <v>65</v>
      </c>
      <c r="D17" s="10" t="s">
        <v>147</v>
      </c>
      <c r="E17" s="8">
        <f>SUMIFS(Xuất出库!D:D,Xuất出库!G:G,B17,Xuất出库!C:C,D17)</f>
        <v>31</v>
      </c>
      <c r="F17" s="9">
        <f>SUMIFS(Xuất出库!E:E,Xuất出库!G:G,B17,Xuất出库!C:C,D17)+SUMIFS(Xuất出库!F:F,Xuất出库!G:G,B17,Xuất出库!C:C,D17)</f>
        <v>404</v>
      </c>
      <c r="G17" s="6">
        <f>65-21+76+65</f>
        <v>185</v>
      </c>
      <c r="H17" s="9">
        <f>SUMIFS(Hoàn回库!E:E,Hoàn回库!G:G,B17,Hoàn回库!C:C,D17)+SUMIFS(Hoàn回库!F:F,Hoàn回库!G:G,B17,Hoàn回库!C:C,D17)</f>
        <v>71</v>
      </c>
      <c r="I17" s="9">
        <f>SUMIFS('Điều hàng调货'!E:E,'Điều hàng调货'!A:A,K17,'Điều hàng调货'!G:G,B17)*-1+SUMIFS('Điều hàng调货'!E:E,'Điều hàng调货'!A:A,K17,'Điều hàng调货'!H:H,B17)+SUMIFS('Điều hàng调货'!F:F,'Điều hàng调货'!A:A,K17,'Điều hàng调货'!G:G,B17)*-1+SUMIFS('Điều hàng调货'!F:F,'Điều hàng调货'!A:A,K17,'Điều hàng调货'!H:H,B17)</f>
        <v>0</v>
      </c>
      <c r="J17" s="9">
        <f t="shared" si="0"/>
        <v>148</v>
      </c>
      <c r="K17" s="9">
        <f>VLOOKUP($D17,SKU!$A:$I,3,FALSE)</f>
        <v>10030</v>
      </c>
      <c r="L17" s="9" t="str">
        <f>VLOOKUP($D17,SKU!$A:$I,2,FALSE)</f>
        <v>梦影动漫黑执事-典藏版收藏卡牌</v>
      </c>
    </row>
    <row r="18" spans="1:12">
      <c r="A18" s="6"/>
      <c r="B18" s="7" t="s">
        <v>16</v>
      </c>
      <c r="C18" s="6" t="s">
        <v>65</v>
      </c>
      <c r="D18" s="10" t="s">
        <v>219</v>
      </c>
      <c r="E18" s="8">
        <f>SUMIFS(Xuất出库!D:D,Xuất出库!G:G,B18,Xuất出库!C:C,D18)</f>
        <v>24</v>
      </c>
      <c r="F18" s="9">
        <f>SUMIFS(Xuất出库!E:E,Xuất出库!G:G,B18,Xuất出库!C:C,D18)+SUMIFS(Xuất出库!F:F,Xuất出库!G:G,B18,Xuất出库!C:C,D18)</f>
        <v>288</v>
      </c>
      <c r="G18" s="6">
        <v>288</v>
      </c>
      <c r="H18" s="9">
        <f>SUMIFS(Hoàn回库!E:E,Hoàn回库!G:G,B18,Hoàn回库!C:C,D18)+SUMIFS(Hoàn回库!F:F,Hoàn回库!G:G,B18,Hoàn回库!C:C,D18)</f>
        <v>0</v>
      </c>
      <c r="I18" s="9">
        <f>SUMIFS('Điều hàng调货'!E:E,'Điều hàng调货'!A:A,K18,'Điều hàng调货'!G:G,B18)*-1+SUMIFS('Điều hàng调货'!E:E,'Điều hàng调货'!A:A,K18,'Điều hàng调货'!H:H,B18)+SUMIFS('Điều hàng调货'!F:F,'Điều hàng调货'!A:A,K18,'Điều hàng调货'!G:G,B18)*-1+SUMIFS('Điều hàng调货'!F:F,'Điều hàng调货'!A:A,K18,'Điều hàng调货'!H:H,B18)</f>
        <v>0</v>
      </c>
      <c r="J18" s="9">
        <f t="shared" si="0"/>
        <v>0</v>
      </c>
      <c r="K18" s="9">
        <f>VLOOKUP($D18,SKU!$A:$I,3,FALSE)</f>
        <v>10050</v>
      </c>
      <c r="L18" s="9" t="str">
        <f>VLOOKUP($D18,SKU!$A:$I,2,FALSE)</f>
        <v>小王子与爱丽丝</v>
      </c>
    </row>
    <row r="19" spans="1:12">
      <c r="A19" s="6"/>
      <c r="B19" s="7" t="s">
        <v>16</v>
      </c>
      <c r="C19" s="6" t="s">
        <v>65</v>
      </c>
      <c r="D19" s="10" t="s">
        <v>222</v>
      </c>
      <c r="E19" s="8">
        <f>SUMIFS(Xuất出库!D:D,Xuất出库!G:G,B19,Xuất出库!C:C,D19)</f>
        <v>23</v>
      </c>
      <c r="F19" s="9">
        <f>SUMIFS(Xuất出库!E:E,Xuất出库!G:G,B19,Xuất出库!C:C,D19)+SUMIFS(Xuất出库!F:F,Xuất出库!G:G,B19,Xuất出库!C:C,D19)</f>
        <v>299</v>
      </c>
      <c r="G19" s="6">
        <f>37+7+1</f>
        <v>45</v>
      </c>
      <c r="H19" s="9">
        <f>SUMIFS(Hoàn回库!E:E,Hoàn回库!G:G,B19,Hoàn回库!C:C,D19)+SUMIFS(Hoàn回库!F:F,Hoàn回库!G:G,B19,Hoàn回库!C:C,D19)</f>
        <v>251</v>
      </c>
      <c r="I19" s="9">
        <f>SUMIFS('Điều hàng调货'!E:E,'Điều hàng调货'!A:A,K19,'Điều hàng调货'!G:G,B19)*-1+SUMIFS('Điều hàng调货'!E:E,'Điều hàng调货'!A:A,K19,'Điều hàng调货'!H:H,B19)+SUMIFS('Điều hàng调货'!F:F,'Điều hàng调货'!A:A,K19,'Điều hàng调货'!G:G,B19)*-1+SUMIFS('Điều hàng调货'!F:F,'Điều hàng调货'!A:A,K19,'Điều hàng调货'!H:H,B19)</f>
        <v>0</v>
      </c>
      <c r="J19" s="9">
        <f t="shared" si="0"/>
        <v>3</v>
      </c>
      <c r="K19" s="9">
        <f>VLOOKUP($D19,SKU!$A:$I,3,FALSE)</f>
        <v>10051</v>
      </c>
      <c r="L19" s="9" t="str">
        <f>VLOOKUP($D19,SKU!$A:$I,2,FALSE)</f>
        <v>南卡《魔卡少女樱》</v>
      </c>
    </row>
    <row r="20" spans="1:12">
      <c r="A20" s="6"/>
      <c r="B20" s="7" t="s">
        <v>16</v>
      </c>
      <c r="C20" s="6" t="s">
        <v>65</v>
      </c>
      <c r="D20" s="10" t="s">
        <v>228</v>
      </c>
      <c r="E20" s="8">
        <f>SUMIFS(Xuất出库!D:D,Xuất出库!G:G,B20,Xuất出库!C:C,D20)</f>
        <v>42</v>
      </c>
      <c r="F20" s="9">
        <f>SUMIFS(Xuất出库!E:E,Xuất出库!G:G,B20,Xuất出库!C:C,D20)+SUMIFS(Xuất出库!F:F,Xuất出库!G:G,B20,Xuất出库!C:C,D20)</f>
        <v>583</v>
      </c>
      <c r="G20" s="6">
        <f>43+6+29+108+91+216+12</f>
        <v>505</v>
      </c>
      <c r="H20" s="9">
        <f>SUMIFS(Hoàn回库!E:E,Hoàn回库!G:G,B20,Hoàn回库!C:C,D20)+SUMIFS(Hoàn回库!F:F,Hoàn回库!G:G,B20,Hoàn回库!C:C,D20)</f>
        <v>66</v>
      </c>
      <c r="I20" s="9">
        <f>SUMIFS('Điều hàng调货'!E:E,'Điều hàng调货'!A:A,K20,'Điều hàng调货'!G:G,B20)*-1+SUMIFS('Điều hàng调货'!E:E,'Điều hàng调货'!A:A,K20,'Điều hàng调货'!H:H,B20)+SUMIFS('Điều hàng调货'!F:F,'Điều hàng调货'!A:A,K20,'Điều hàng调货'!G:G,B20)*-1+SUMIFS('Điều hàng调货'!F:F,'Điều hàng调货'!A:A,K20,'Điều hàng调货'!H:H,B20)</f>
        <v>0</v>
      </c>
      <c r="J20" s="9">
        <f t="shared" si="0"/>
        <v>12</v>
      </c>
      <c r="K20" s="9">
        <f>VLOOKUP($D20,SKU!$A:$I,3,FALSE)</f>
        <v>10053</v>
      </c>
      <c r="L20" s="9" t="str">
        <f>VLOOKUP($D20,SKU!$A:$I,2,FALSE)</f>
        <v>悦灵文创 《落花只为君》第三弹</v>
      </c>
    </row>
    <row r="21" spans="1:12">
      <c r="A21" s="6"/>
      <c r="B21" s="7" t="s">
        <v>16</v>
      </c>
      <c r="C21" s="6" t="s">
        <v>65</v>
      </c>
      <c r="D21" s="6" t="s">
        <v>18</v>
      </c>
      <c r="E21" s="8">
        <f>SUMIFS(Xuất出库!D:D,Xuất出库!G:G,B21,Xuất出库!C:C,D21)</f>
        <v>20</v>
      </c>
      <c r="F21" s="9">
        <f>SUMIFS(Xuất出库!E:E,Xuất出库!G:G,B21,Xuất出库!C:C,D21)+SUMIFS(Xuất出库!F:F,Xuất出库!G:G,B21,Xuất出库!C:C,D21)</f>
        <v>260</v>
      </c>
      <c r="G21" s="6">
        <f>42+90</f>
        <v>132</v>
      </c>
      <c r="H21" s="9">
        <f>SUMIFS(Hoàn回库!E:E,Hoàn回库!G:G,B21,Hoàn回库!C:C,D21)+SUMIFS(Hoàn回库!F:F,Hoàn回库!G:G,B21,Hoàn回库!C:C,D21)</f>
        <v>0</v>
      </c>
      <c r="I21" s="9">
        <f>SUMIFS('Điều hàng调货'!E:E,'Điều hàng调货'!A:A,K21,'Điều hàng调货'!G:G,B21)*-1+SUMIFS('Điều hàng调货'!E:E,'Điều hàng调货'!A:A,K21,'Điều hàng调货'!H:H,B21)+SUMIFS('Điều hàng调货'!F:F,'Điều hàng调货'!A:A,K21,'Điều hàng调货'!G:G,B21)*-1+SUMIFS('Điều hàng调货'!F:F,'Điều hàng调货'!A:A,K21,'Điều hàng调货'!H:H,B21)</f>
        <v>-40</v>
      </c>
      <c r="J21" s="9">
        <f t="shared" si="0"/>
        <v>88</v>
      </c>
      <c r="K21" s="9">
        <f>VLOOKUP($D21,SKU!$A:$I,3,FALSE)</f>
        <v>10002</v>
      </c>
      <c r="L21" s="9" t="str">
        <f>VLOOKUP($D21,SKU!$A:$I,2,FALSE)</f>
        <v>MoonCard月卡《美少女战士》第三弹</v>
      </c>
    </row>
    <row r="22" spans="1:12">
      <c r="A22" s="6"/>
      <c r="B22" s="7" t="s">
        <v>16</v>
      </c>
      <c r="C22" s="6" t="s">
        <v>65</v>
      </c>
      <c r="D22" s="6" t="s">
        <v>244</v>
      </c>
      <c r="E22" s="8">
        <f>SUMIFS(Xuất出库!D:D,Xuất出库!G:G,B22,Xuất出库!C:C,D22)</f>
        <v>31</v>
      </c>
      <c r="F22" s="9">
        <f>SUMIFS(Xuất出库!E:E,Xuất出库!G:G,B22,Xuất出库!C:C,D22)+SUMIFS(Xuất出库!F:F,Xuất出库!G:G,B22,Xuất出库!C:C,D22)</f>
        <v>529</v>
      </c>
      <c r="G22" s="6">
        <v>499</v>
      </c>
      <c r="H22" s="9">
        <f>SUMIFS(Hoàn回库!E:E,Hoàn回库!G:G,B22,Hoàn回库!C:C,D22)+SUMIFS(Hoàn回库!F:F,Hoàn回库!G:G,B22,Hoàn回库!C:C,D22)</f>
        <v>30</v>
      </c>
      <c r="I22" s="9">
        <f>SUMIFS('Điều hàng调货'!E:E,'Điều hàng调货'!A:A,K22,'Điều hàng调货'!G:G,B22)*-1+SUMIFS('Điều hàng调货'!E:E,'Điều hàng调货'!A:A,K22,'Điều hàng调货'!H:H,B22)+SUMIFS('Điều hàng调货'!F:F,'Điều hàng调货'!A:A,K22,'Điều hàng调货'!G:G,B22)*-1+SUMIFS('Điều hàng调货'!F:F,'Điều hàng调货'!A:A,K22,'Điều hàng调货'!H:H,B22)</f>
        <v>0</v>
      </c>
      <c r="J22" s="9">
        <f t="shared" si="0"/>
        <v>0</v>
      </c>
      <c r="K22" s="9">
        <f>VLOOKUP($D22,SKU!$A:$I,3,FALSE)</f>
        <v>10058</v>
      </c>
      <c r="L22" s="9" t="str">
        <f>VLOOKUP($D22,SKU!$A:$I,2,FALSE)</f>
        <v>三丽鸥家族hello kitty梦境巡礼</v>
      </c>
    </row>
    <row r="23" spans="1:12">
      <c r="A23" s="6"/>
      <c r="B23" s="7" t="s">
        <v>16</v>
      </c>
      <c r="C23" s="6" t="s">
        <v>65</v>
      </c>
      <c r="D23" s="6" t="s">
        <v>241</v>
      </c>
      <c r="E23" s="8">
        <f>SUMIFS(Xuất出库!D:D,Xuất出库!G:G,B23,Xuất出库!C:C,D23)</f>
        <v>13</v>
      </c>
      <c r="F23" s="9">
        <f>SUMIFS(Xuất出库!E:E,Xuất出库!G:G,B23,Xuất出库!C:C,D23)+SUMIFS(Xuất出库!F:F,Xuất出库!G:G,B23,Xuất出库!C:C,D23)</f>
        <v>130</v>
      </c>
      <c r="G23" s="6">
        <v>170</v>
      </c>
      <c r="H23" s="9">
        <f>SUMIFS(Hoàn回库!E:E,Hoàn回库!G:G,B23,Hoàn回库!C:C,D23)+SUMIFS(Hoàn回库!F:F,Hoàn回库!G:G,B23,Hoàn回库!C:C,D23)</f>
        <v>0</v>
      </c>
      <c r="I23" s="9">
        <f>SUMIFS('Điều hàng调货'!E:E,'Điều hàng调货'!A:A,K23,'Điều hàng调货'!G:G,B23)*-1+SUMIFS('Điều hàng调货'!E:E,'Điều hàng调货'!A:A,K23,'Điều hàng调货'!H:H,B23)+SUMIFS('Điều hàng调货'!F:F,'Điều hàng调货'!A:A,K23,'Điều hàng调货'!G:G,B23)*-1+SUMIFS('Điều hàng调货'!F:F,'Điều hàng调货'!A:A,K23,'Điều hàng调货'!H:H,B23)</f>
        <v>40</v>
      </c>
      <c r="J23" s="9">
        <f t="shared" si="0"/>
        <v>0</v>
      </c>
      <c r="K23" s="9">
        <f>VLOOKUP($D23,SKU!$A:$I,3,FALSE)</f>
        <v>10057</v>
      </c>
      <c r="L23" s="9" t="str">
        <f>VLOOKUP($D23,SKU!$A:$I,2,FALSE)</f>
        <v>三丽鸥家族暖冬</v>
      </c>
    </row>
    <row r="24" spans="1:12">
      <c r="A24" s="6"/>
      <c r="B24" s="7" t="s">
        <v>16</v>
      </c>
      <c r="C24" s="6" t="s">
        <v>65</v>
      </c>
      <c r="D24" s="6" t="s">
        <v>238</v>
      </c>
      <c r="E24" s="8">
        <f>SUMIFS(Xuất出库!D:D,Xuất出库!G:G,B24,Xuất出库!C:C,D24)</f>
        <v>32</v>
      </c>
      <c r="F24" s="9">
        <f>SUMIFS(Xuất出库!E:E,Xuất出库!G:G,B24,Xuất出库!C:C,D24)+SUMIFS(Xuất出库!F:F,Xuất出库!G:G,B24,Xuất出库!C:C,D24)</f>
        <v>358</v>
      </c>
      <c r="G24" s="6">
        <v>318</v>
      </c>
      <c r="H24" s="9">
        <f>SUMIFS(Hoàn回库!E:E,Hoàn回库!G:G,B24,Hoàn回库!C:C,D24)+SUMIFS(Hoàn回库!F:F,Hoàn回库!G:G,B24,Hoàn回库!C:C,D24)</f>
        <v>40</v>
      </c>
      <c r="I24" s="9">
        <f>SUMIFS('Điều hàng调货'!E:E,'Điều hàng调货'!A:A,K24,'Điều hàng调货'!G:G,B24)*-1+SUMIFS('Điều hàng调货'!E:E,'Điều hàng调货'!A:A,K24,'Điều hàng调货'!H:H,B24)+SUMIFS('Điều hàng调货'!F:F,'Điều hàng调货'!A:A,K24,'Điều hàng调货'!G:G,B24)*-1+SUMIFS('Điều hàng调货'!F:F,'Điều hàng调货'!A:A,K24,'Điều hàng调货'!H:H,B24)</f>
        <v>0</v>
      </c>
      <c r="J24" s="9">
        <f t="shared" si="0"/>
        <v>0</v>
      </c>
      <c r="K24" s="9">
        <f>VLOOKUP($D24,SKU!$A:$I,3,FALSE)</f>
        <v>10056</v>
      </c>
      <c r="L24" s="9" t="str">
        <f>VLOOKUP($D24,SKU!$A:$I,2,FALSE)</f>
        <v>集卡社天官赐福动画周年纪念版</v>
      </c>
    </row>
    <row r="25" spans="1:12">
      <c r="A25" s="6"/>
      <c r="B25" s="7" t="s">
        <v>16</v>
      </c>
      <c r="C25" s="6" t="s">
        <v>65</v>
      </c>
      <c r="D25" s="6" t="s">
        <v>196</v>
      </c>
      <c r="E25" s="8">
        <f>SUMIFS(Xuất出库!D:D,Xuất出库!G:G,B25,Xuất出库!C:C,D25)</f>
        <v>6</v>
      </c>
      <c r="F25" s="9">
        <f>SUMIFS(Xuất出库!E:E,Xuất出库!G:G,B25,Xuất出库!C:C,D25)+SUMIFS(Xuất出库!F:F,Xuất出库!G:G,B25,Xuất出库!C:C,D25)</f>
        <v>96</v>
      </c>
      <c r="G25" s="6">
        <v>139</v>
      </c>
      <c r="H25" s="9">
        <f>SUMIFS(Hoàn回库!E:E,Hoàn回库!G:G,B25,Hoàn回库!C:C,D25)+SUMIFS(Hoàn回库!F:F,Hoàn回库!G:G,B25,Hoàn回库!C:C,D25)</f>
        <v>0</v>
      </c>
      <c r="I25" s="9">
        <f>SUMIFS('Điều hàng调货'!E:E,'Điều hàng调货'!A:A,K25,'Điều hàng调货'!G:G,B25)*-1+SUMIFS('Điều hàng调货'!E:E,'Điều hàng调货'!A:A,K25,'Điều hàng调货'!H:H,B25)+SUMIFS('Điều hàng调货'!F:F,'Điều hàng调货'!A:A,K25,'Điều hàng调货'!G:G,B25)*-1+SUMIFS('Điều hàng调货'!F:F,'Điều hàng调货'!A:A,K25,'Điều hàng调货'!H:H,B25)</f>
        <v>96</v>
      </c>
      <c r="J25" s="9">
        <f t="shared" si="0"/>
        <v>53</v>
      </c>
      <c r="K25" s="9">
        <f>VLOOKUP($D25,SKU!$A:$I,3,FALSE)</f>
        <v>10042</v>
      </c>
      <c r="L25" s="9" t="str">
        <f>VLOOKUP($D25,SKU!$A:$I,2,FALSE)</f>
        <v>黄油小熊系列收藏卡第二弹 小熊的观察日记</v>
      </c>
    </row>
    <row r="26" spans="1:12">
      <c r="A26" s="6"/>
      <c r="B26" s="11" t="s">
        <v>16</v>
      </c>
      <c r="C26" s="6" t="s">
        <v>65</v>
      </c>
      <c r="D26" s="12" t="s">
        <v>257</v>
      </c>
      <c r="E26" s="13">
        <f>SUMIFS(Xuất出库!D:D,Xuất出库!G:G,B26,Xuất出库!C:C,D26)</f>
        <v>62</v>
      </c>
      <c r="F26" s="14">
        <f>SUMIFS(Xuất出库!E:E,Xuất出库!G:G,B26,Xuất出库!C:C,D26)+SUMIFS(Xuất出库!F:F,Xuất出库!G:G,B26,Xuất出库!C:C,D26)</f>
        <v>806</v>
      </c>
      <c r="G26" s="12">
        <v>917</v>
      </c>
      <c r="H26" s="14">
        <f>SUMIFS(Hoàn回库!E:E,Hoàn回库!G:G,B26,Hoàn回库!C:C,D26)+SUMIFS(Hoàn回库!F:F,Hoàn回库!G:G,B26,Hoàn回库!C:C,D26)</f>
        <v>0</v>
      </c>
      <c r="I26" s="9">
        <f>SUMIFS('Điều hàng调货'!E:E,'Điều hàng调货'!A:A,K26,'Điều hàng调货'!G:G,B26)*-1+SUMIFS('Điều hàng调货'!E:E,'Điều hàng调货'!A:A,K26,'Điều hàng调货'!H:H,B26)+SUMIFS('Điều hàng调货'!F:F,'Điều hàng调货'!A:A,K26,'Điều hàng调货'!G:G,B26)*-1+SUMIFS('Điều hàng调货'!F:F,'Điều hàng调货'!A:A,K26,'Điều hàng调货'!H:H,B26)</f>
        <v>111</v>
      </c>
      <c r="J26" s="9">
        <f t="shared" si="0"/>
        <v>0</v>
      </c>
      <c r="K26" s="14">
        <f>VLOOKUP($D26,SKU!$A:$I,3,FALSE)</f>
        <v>10063</v>
      </c>
      <c r="L26" s="14" t="str">
        <f>VLOOKUP($D26,SKU!$A:$I,2,FALSE)</f>
        <v>浮梦集 「童境绮梦」艺术家联名收藏卡牌</v>
      </c>
    </row>
    <row r="27" spans="1:12">
      <c r="A27" s="15"/>
      <c r="B27" s="11" t="s">
        <v>16</v>
      </c>
      <c r="C27" s="6" t="s">
        <v>65</v>
      </c>
      <c r="D27" s="12" t="s">
        <v>335</v>
      </c>
      <c r="E27" s="13">
        <f>SUMIFS(Xuất出库!D:D,Xuất出库!G:G,B27,Xuất出库!C:C,D27)</f>
        <v>182</v>
      </c>
      <c r="F27" s="14">
        <f>SUMIFS(Xuất出库!E:E,Xuất出库!G:G,B27,Xuất出库!C:C,D27)+SUMIFS(Xuất出库!F:F,Xuất出库!G:G,B27,Xuất出库!C:C,D27)</f>
        <v>546</v>
      </c>
      <c r="G27" s="12">
        <v>63</v>
      </c>
      <c r="H27" s="14">
        <f>SUMIFS(Hoàn回库!E:E,Hoàn回库!G:G,B27,Hoàn回库!C:C,D27)+SUMIFS(Hoàn回库!F:F,Hoàn回库!G:G,B27,Hoàn回库!C:C,D27)</f>
        <v>0</v>
      </c>
      <c r="I27" s="9">
        <f>SUMIFS('Điều hàng调货'!E:E,'Điều hàng调货'!A:A,K27,'Điều hàng调货'!G:G,B27)*-1+SUMIFS('Điều hàng调货'!E:E,'Điều hàng调货'!A:A,K27,'Điều hàng调货'!H:H,B27)+SUMIFS('Điều hàng调货'!F:F,'Điều hàng调货'!A:A,K27,'Điều hàng调货'!G:G,B27)*-1+SUMIFS('Điều hàng调货'!F:F,'Điều hàng调货'!A:A,K27,'Điều hàng调货'!H:H,B27)</f>
        <v>0</v>
      </c>
      <c r="J27" s="9">
        <f t="shared" ref="J27:J36" si="1">F27-G27-H27+I27</f>
        <v>483</v>
      </c>
      <c r="K27" s="14">
        <f>VLOOKUP($D27,SKU!$A:$I,3,FALSE)</f>
        <v>10092</v>
      </c>
      <c r="L27" s="14" t="str">
        <f>VLOOKUP($D27,SKU!$A:$I,2,FALSE)</f>
        <v>紫薇文创×魔卡少女樱·撕撕乐</v>
      </c>
    </row>
    <row r="28" spans="1:12">
      <c r="A28" s="15"/>
      <c r="B28" s="11" t="s">
        <v>16</v>
      </c>
      <c r="C28" s="6" t="s">
        <v>65</v>
      </c>
      <c r="D28" s="12" t="s">
        <v>207</v>
      </c>
      <c r="E28" s="13">
        <f>SUMIFS(Xuất出库!D:D,Xuất出库!G:G,B28,Xuất出库!C:C,D28)</f>
        <v>6</v>
      </c>
      <c r="F28" s="14">
        <f>SUMIFS(Xuất出库!E:E,Xuất出库!G:G,B28,Xuất出库!C:C,D28)+SUMIFS(Xuất出库!F:F,Xuất出库!G:G,B28,Xuất出库!C:C,D28)</f>
        <v>6</v>
      </c>
      <c r="G28" s="12">
        <v>1</v>
      </c>
      <c r="H28" s="14">
        <f>SUMIFS(Hoàn回库!E:E,Hoàn回库!G:G,B28,Hoàn回库!C:C,D28)+SUMIFS(Hoàn回库!F:F,Hoàn回库!G:G,B28,Hoàn回库!C:C,D28)</f>
        <v>0</v>
      </c>
      <c r="I28" s="9">
        <f>SUMIFS('Điều hàng调货'!E:E,'Điều hàng调货'!A:A,K28,'Điều hàng调货'!G:G,B28)*-1+SUMIFS('Điều hàng调货'!E:E,'Điều hàng调货'!A:A,K28,'Điều hàng调货'!H:H,B28)+SUMIFS('Điều hàng调货'!F:F,'Điều hàng调货'!A:A,K28,'Điều hàng调货'!G:G,B28)*-1+SUMIFS('Điều hàng调货'!F:F,'Điều hàng调货'!A:A,K28,'Điều hàng调货'!H:H,B28)</f>
        <v>-3</v>
      </c>
      <c r="J28" s="9">
        <f t="shared" si="1"/>
        <v>2</v>
      </c>
      <c r="K28" s="14">
        <f>VLOOKUP($D28,SKU!$A:$I,3,FALSE)</f>
        <v>10046</v>
      </c>
      <c r="L28" s="14" t="str">
        <f>VLOOKUP($D28,SKU!$A:$I,2,FALSE)</f>
        <v>夜灯</v>
      </c>
    </row>
    <row r="29" spans="1:12">
      <c r="A29" s="15"/>
      <c r="B29" s="11" t="s">
        <v>16</v>
      </c>
      <c r="C29" s="6" t="s">
        <v>65</v>
      </c>
      <c r="D29" s="12" t="s">
        <v>302</v>
      </c>
      <c r="E29" s="13">
        <f>SUMIFS(Xuất出库!D:D,Xuất出库!G:G,B29,Xuất出库!C:C,D29)</f>
        <v>36</v>
      </c>
      <c r="F29" s="14">
        <f>SUMIFS(Xuất出库!E:E,Xuất出库!G:G,B29,Xuất出库!C:C,D29)+SUMIFS(Xuất出库!F:F,Xuất出库!G:G,B29,Xuất出库!C:C,D29)</f>
        <v>432</v>
      </c>
      <c r="G29" s="12">
        <v>432</v>
      </c>
      <c r="H29" s="14">
        <f>SUMIFS(Hoàn回库!E:E,Hoàn回库!G:G,B29,Hoàn回库!C:C,D29)+SUMIFS(Hoàn回库!F:F,Hoàn回库!G:G,B29,Hoàn回库!C:C,D29)</f>
        <v>0</v>
      </c>
      <c r="I29" s="9">
        <f>SUMIFS('Điều hàng调货'!E:E,'Điều hàng调货'!A:A,K29,'Điều hàng调货'!G:G,B29)*-1+SUMIFS('Điều hàng调货'!E:E,'Điều hàng调货'!A:A,K29,'Điều hàng调货'!H:H,B29)+SUMIFS('Điều hàng调货'!F:F,'Điều hàng调货'!A:A,K29,'Điều hàng调货'!G:G,B29)*-1+SUMIFS('Điều hàng调货'!F:F,'Điều hàng调货'!A:A,K29,'Điều hàng调货'!H:H,B29)</f>
        <v>0</v>
      </c>
      <c r="J29" s="9">
        <f t="shared" si="1"/>
        <v>0</v>
      </c>
      <c r="K29" s="14">
        <f>VLOOKUP($D29,SKU!$A:$I,3,FALSE)</f>
        <v>10079</v>
      </c>
      <c r="L29" s="14" t="str">
        <f>VLOOKUP($D29,SKU!$A:$I,2,FALSE)</f>
        <v>卡趣多《童话-千夜绘卷》艺术典藏卡牌</v>
      </c>
    </row>
    <row r="30" spans="1:12">
      <c r="A30" s="15"/>
      <c r="B30" s="11" t="s">
        <v>16</v>
      </c>
      <c r="C30" s="6" t="s">
        <v>65</v>
      </c>
      <c r="D30" s="12" t="s">
        <v>313</v>
      </c>
      <c r="E30" s="13">
        <f>SUMIFS(Xuất出库!D:D,Xuất出库!G:G,B30,Xuất出库!C:C,D30)</f>
        <v>20</v>
      </c>
      <c r="F30" s="14">
        <f>SUMIFS(Xuất出库!E:E,Xuất出库!G:G,B30,Xuất出库!C:C,D30)+SUMIFS(Xuất出库!F:F,Xuất出库!G:G,B30,Xuất出库!C:C,D30)</f>
        <v>320</v>
      </c>
      <c r="G30" s="12">
        <v>245</v>
      </c>
      <c r="H30" s="14">
        <f>SUMIFS(Hoàn回库!E:E,Hoàn回库!G:G,B30,Hoàn回库!C:C,D30)+SUMIFS(Hoàn回库!F:F,Hoàn回库!G:G,B30,Hoàn回库!C:C,D30)</f>
        <v>0</v>
      </c>
      <c r="I30" s="9">
        <f>SUMIFS('Điều hàng调货'!E:E,'Điều hàng调货'!A:A,K30,'Điều hàng调货'!G:G,B30)*-1+SUMIFS('Điều hàng调货'!E:E,'Điều hàng调货'!A:A,K30,'Điều hàng调货'!H:H,B30)+SUMIFS('Điều hàng调货'!F:F,'Điều hàng调货'!A:A,K30,'Điều hàng调货'!G:G,B30)*-1+SUMIFS('Điều hàng调货'!F:F,'Điều hàng调货'!A:A,K30,'Điều hàng调货'!H:H,B30)</f>
        <v>0</v>
      </c>
      <c r="J30" s="9">
        <f t="shared" si="1"/>
        <v>75</v>
      </c>
      <c r="K30" s="14">
        <f>VLOOKUP($D30,SKU!$A:$I,3,FALSE)</f>
        <v>10083</v>
      </c>
      <c r="L30" s="14" t="str">
        <f>VLOOKUP($D30,SKU!$A:$I,2,FALSE)</f>
        <v>天官赐福花灯照夜</v>
      </c>
    </row>
    <row r="31" spans="1:12">
      <c r="A31" s="15"/>
      <c r="B31" s="11" t="s">
        <v>16</v>
      </c>
      <c r="C31" s="6" t="s">
        <v>65</v>
      </c>
      <c r="D31" s="16" t="s">
        <v>61</v>
      </c>
      <c r="E31" s="13">
        <f>SUMIFS(Xuất出库!D:D,Xuất出库!G:G,B31,Xuất出库!C:C,D31)</f>
        <v>24</v>
      </c>
      <c r="F31" s="14">
        <f>SUMIFS(Xuất出库!E:E,Xuất出库!G:G,B31,Xuất出库!C:C,D31)+SUMIFS(Xuất出库!F:F,Xuất出库!G:G,B31,Xuất出库!C:C,D31)</f>
        <v>240</v>
      </c>
      <c r="G31" s="12">
        <v>100</v>
      </c>
      <c r="H31" s="14">
        <f>SUMIFS(Hoàn回库!E:E,Hoàn回库!G:G,B31,Hoàn回库!C:C,D31)+SUMIFS(Hoàn回库!F:F,Hoàn回库!G:G,B31,Hoàn回库!C:C,D31)</f>
        <v>80</v>
      </c>
      <c r="I31" s="9">
        <f>SUMIFS('Điều hàng调货'!E:E,'Điều hàng调货'!A:A,K31,'Điều hàng调货'!G:G,B31)*-1+SUMIFS('Điều hàng调货'!E:E,'Điều hàng调货'!A:A,K31,'Điều hàng调货'!H:H,B31)+SUMIFS('Điều hàng调货'!F:F,'Điều hàng调货'!A:A,K31,'Điều hàng调货'!G:G,B31)*-1+SUMIFS('Điều hàng调货'!F:F,'Điều hàng调货'!A:A,K31,'Điều hàng调货'!H:H,B31)</f>
        <v>40</v>
      </c>
      <c r="J31" s="9">
        <f t="shared" si="1"/>
        <v>100</v>
      </c>
      <c r="K31" s="14">
        <f>VLOOKUP($D31,SKU!$A:$I,3,FALSE)</f>
        <v>10009</v>
      </c>
      <c r="L31" s="14" t="str">
        <f>VLOOKUP($D31,SKU!$A:$I,2,FALSE)</f>
        <v>万画云游三丽鸥家族百变cos收藏卡</v>
      </c>
    </row>
    <row r="32" spans="1:12">
      <c r="A32" s="15"/>
      <c r="B32" s="11" t="s">
        <v>16</v>
      </c>
      <c r="C32" s="6" t="s">
        <v>65</v>
      </c>
      <c r="D32" s="16" t="s">
        <v>333</v>
      </c>
      <c r="E32" s="13">
        <f>SUMIFS(Xuất出库!D:D,Xuất出库!G:G,B32,Xuất出库!C:C,D32)</f>
        <v>48</v>
      </c>
      <c r="F32" s="14">
        <f>SUMIFS(Xuất出库!E:E,Xuất出库!G:G,B32,Xuất出库!C:C,D32)+SUMIFS(Xuất出库!F:F,Xuất出库!G:G,B32,Xuất出库!C:C,D32)</f>
        <v>480</v>
      </c>
      <c r="G32" s="12">
        <v>448</v>
      </c>
      <c r="H32" s="14">
        <f>SUMIFS(Hoàn回库!E:E,Hoàn回库!G:G,B32,Hoàn回库!C:C,D32)+SUMIFS(Hoàn回库!F:F,Hoàn回库!G:G,B32,Hoàn回库!C:C,D32)</f>
        <v>0</v>
      </c>
      <c r="I32" s="9">
        <f>SUMIFS('Điều hàng调货'!E:E,'Điều hàng调货'!A:A,K32,'Điều hàng调货'!G:G,B32)*-1+SUMIFS('Điều hàng调货'!E:E,'Điều hàng调货'!A:A,K32,'Điều hàng调货'!H:H,B32)+SUMIFS('Điều hàng调货'!F:F,'Điều hàng调货'!A:A,K32,'Điều hàng调货'!G:G,B32)*-1+SUMIFS('Điều hàng调货'!F:F,'Điều hàng调货'!A:A,K32,'Điều hàng调货'!H:H,B32)</f>
        <v>0</v>
      </c>
      <c r="J32" s="9">
        <f t="shared" si="1"/>
        <v>32</v>
      </c>
      <c r="K32" s="14">
        <f>VLOOKUP($D32,SKU!$A:$I,3,FALSE)</f>
        <v>10091</v>
      </c>
      <c r="L32" s="14" t="str">
        <f>VLOOKUP($D32,SKU!$A:$I,2,FALSE)</f>
        <v>星际宝贝百变顽家收藏卡</v>
      </c>
    </row>
    <row r="33" spans="1:12">
      <c r="A33" s="15"/>
      <c r="B33" s="11" t="s">
        <v>16</v>
      </c>
      <c r="C33" s="6" t="s">
        <v>65</v>
      </c>
      <c r="D33" s="16" t="s">
        <v>344</v>
      </c>
      <c r="E33" s="13">
        <f>SUMIFS(Xuất出库!D:D,Xuất出库!G:G,B33,Xuất出库!C:C,D33)</f>
        <v>20</v>
      </c>
      <c r="F33" s="14">
        <f>SUMIFS(Xuất出库!E:E,Xuất出库!G:G,B33,Xuất出库!C:C,D33)+SUMIFS(Xuất出库!F:F,Xuất出库!G:G,B33,Xuất出库!C:C,D33)</f>
        <v>120</v>
      </c>
      <c r="G33" s="12">
        <v>120</v>
      </c>
      <c r="H33" s="14">
        <f>SUMIFS(Hoàn回库!E:E,Hoàn回库!G:G,B33,Hoàn回库!C:C,D33)+SUMIFS(Hoàn回库!F:F,Hoàn回库!G:G,B33,Hoàn回库!C:C,D33)</f>
        <v>0</v>
      </c>
      <c r="I33" s="9">
        <f>SUMIFS('Điều hàng调货'!E:E,'Điều hàng调货'!A:A,K33,'Điều hàng调货'!G:G,B33)*-1+SUMIFS('Điều hàng调货'!E:E,'Điều hàng调货'!A:A,K33,'Điều hàng调货'!H:H,B33)+SUMIFS('Điều hàng调货'!F:F,'Điều hàng调货'!A:A,K33,'Điều hàng调货'!G:G,B33)*-1+SUMIFS('Điều hàng调货'!F:F,'Điều hàng调货'!A:A,K33,'Điều hàng调货'!H:H,B33)</f>
        <v>0</v>
      </c>
      <c r="J33" s="9">
        <f t="shared" si="1"/>
        <v>0</v>
      </c>
      <c r="K33" s="14">
        <f>VLOOKUP($D33,SKU!$A:$I,3,FALSE)</f>
        <v>10095</v>
      </c>
      <c r="L33" s="14" t="str">
        <f>VLOOKUP($D33,SKU!$A:$I,2,FALSE)</f>
        <v>WUPO艺术家手绘系列色纸第一弹</v>
      </c>
    </row>
    <row r="34" spans="1:12">
      <c r="A34" s="15"/>
      <c r="B34" s="11" t="s">
        <v>16</v>
      </c>
      <c r="C34" s="6" t="s">
        <v>65</v>
      </c>
      <c r="D34" s="16" t="s">
        <v>367</v>
      </c>
      <c r="E34" s="13">
        <f>SUMIFS(Xuất出库!D:D,Xuất出库!G:G,B34,Xuất出库!C:C,D34)</f>
        <v>48</v>
      </c>
      <c r="F34" s="14">
        <f>SUMIFS(Xuất出库!E:E,Xuất出库!G:G,B34,Xuất出库!C:C,D34)+SUMIFS(Xuất出库!F:F,Xuất出库!G:G,B34,Xuất出库!C:C,D34)</f>
        <v>960</v>
      </c>
      <c r="G34" s="12">
        <v>270</v>
      </c>
      <c r="H34" s="14">
        <f>SUMIFS(Hoàn回库!E:E,Hoàn回库!G:G,B34,Hoàn回库!C:C,D34)+SUMIFS(Hoàn回库!F:F,Hoàn回库!G:G,B34,Hoàn回库!C:C,D34)</f>
        <v>0</v>
      </c>
      <c r="I34" s="9">
        <f>SUMIFS('Điều hàng调货'!E:E,'Điều hàng调货'!A:A,K34,'Điều hàng调货'!G:G,B34)*-1+SUMIFS('Điều hàng调货'!E:E,'Điều hàng调货'!A:A,K34,'Điều hàng调货'!H:H,B34)+SUMIFS('Điều hàng调货'!F:F,'Điều hàng调货'!A:A,K34,'Điều hàng调货'!G:G,B34)*-1+SUMIFS('Điều hàng调货'!F:F,'Điều hàng调货'!A:A,K34,'Điều hàng调货'!H:H,B34)</f>
        <v>-480</v>
      </c>
      <c r="J34" s="9">
        <f t="shared" si="1"/>
        <v>210</v>
      </c>
      <c r="K34" s="14">
        <f>VLOOKUP($D34,SKU!$A:$I,3,FALSE)</f>
        <v>10103</v>
      </c>
      <c r="L34" s="14" t="str">
        <f>VLOOKUP($D34,SKU!$A:$I,2,FALSE)</f>
        <v>疯狂动物城白金收藏卡狐兔神探</v>
      </c>
    </row>
    <row r="35" spans="1:12">
      <c r="A35" s="15"/>
      <c r="B35" s="11" t="s">
        <v>16</v>
      </c>
      <c r="C35" s="6" t="s">
        <v>65</v>
      </c>
      <c r="D35" s="16" t="s">
        <v>361</v>
      </c>
      <c r="E35" s="13">
        <f>SUMIFS(Xuất出库!D:D,Xuất出库!G:G,B35,Xuất出库!C:C,D35)</f>
        <v>36</v>
      </c>
      <c r="F35" s="14">
        <f>SUMIFS(Xuất出库!E:E,Xuất出库!G:G,B35,Xuất出库!C:C,D35)+SUMIFS(Xuất出库!F:F,Xuất出库!G:G,B35,Xuất出库!C:C,D35)</f>
        <v>432</v>
      </c>
      <c r="G35" s="12">
        <v>384</v>
      </c>
      <c r="H35" s="14">
        <f>SUMIFS(Hoàn回库!E:E,Hoàn回库!G:G,B35,Hoàn回库!C:C,D35)+SUMIFS(Hoàn回库!F:F,Hoàn回库!G:G,B35,Hoàn回库!C:C,D35)</f>
        <v>0</v>
      </c>
      <c r="I35" s="9">
        <f>SUMIFS('Điều hàng调货'!E:E,'Điều hàng调货'!A:A,K35,'Điều hàng调货'!G:G,B35)*-1+SUMIFS('Điều hàng调货'!E:E,'Điều hàng调货'!A:A,K35,'Điều hàng调货'!H:H,B35)+SUMIFS('Điều hàng调货'!F:F,'Điều hàng调货'!A:A,K35,'Điều hàng调货'!G:G,B35)*-1+SUMIFS('Điều hàng调货'!F:F,'Điều hàng调货'!A:A,K35,'Điều hàng调货'!H:H,B35)</f>
        <v>-48</v>
      </c>
      <c r="J35" s="9">
        <f t="shared" si="1"/>
        <v>0</v>
      </c>
      <c r="K35" s="14">
        <f>VLOOKUP($D35,SKU!$A:$I,3,FALSE)</f>
        <v>10101</v>
      </c>
      <c r="L35" s="14" t="str">
        <f>VLOOKUP($D35,SKU!$A:$I,2,FALSE)</f>
        <v>卡迷家xROROJUMP肉肉酱正版授权第一弹《肉肉酱-百变系列-典藏卡》</v>
      </c>
    </row>
    <row r="36" spans="1:12">
      <c r="A36" s="15"/>
      <c r="B36" s="11" t="s">
        <v>16</v>
      </c>
      <c r="C36" s="6" t="s">
        <v>65</v>
      </c>
      <c r="D36" s="16" t="s">
        <v>305</v>
      </c>
      <c r="E36" s="13">
        <f>SUMIFS(Xuất出库!D:D,Xuất出库!G:G,B36,Xuất出库!C:C,D36)</f>
        <v>21</v>
      </c>
      <c r="F36" s="14">
        <f>SUMIFS(Xuất出库!E:E,Xuất出库!G:G,B36,Xuất出库!C:C,D36)+SUMIFS(Xuất出库!F:F,Xuất出库!G:G,B36,Xuất出库!C:C,D36)</f>
        <v>210</v>
      </c>
      <c r="G36" s="12">
        <v>120</v>
      </c>
      <c r="H36" s="14">
        <f>SUMIFS(Hoàn回库!E:E,Hoàn回库!G:G,B36,Hoàn回库!C:C,D36)+SUMIFS(Hoàn回库!F:F,Hoàn回库!G:G,B36,Hoàn回库!C:C,D36)</f>
        <v>0</v>
      </c>
      <c r="I36" s="9">
        <f>SUMIFS('Điều hàng调货'!E:E,'Điều hàng调货'!A:A,K36,'Điều hàng调货'!G:G,B36)*-1+SUMIFS('Điều hàng调货'!E:E,'Điều hàng调货'!A:A,K36,'Điều hàng调货'!H:H,B36)+SUMIFS('Điều hàng调货'!F:F,'Điều hàng调货'!A:A,K36,'Điều hàng调货'!G:G,B36)*-1+SUMIFS('Điều hàng调货'!F:F,'Điều hàng调货'!A:A,K36,'Điều hàng调货'!H:H,B36)</f>
        <v>30</v>
      </c>
      <c r="J36" s="9">
        <f t="shared" si="1"/>
        <v>120</v>
      </c>
      <c r="K36" s="14">
        <f>VLOOKUP($D36,SKU!$A:$I,3,FALSE)</f>
        <v>10080</v>
      </c>
      <c r="L36" s="14" t="str">
        <f>VLOOKUP($D36,SKU!$A:$I,2,FALSE)</f>
        <v>《小蘑菇》流荧版收藏卡-末世深渊</v>
      </c>
    </row>
    <row r="37" ht="15.75" spans="1:12">
      <c r="A37" s="15"/>
      <c r="B37" s="17" t="s">
        <v>422</v>
      </c>
      <c r="C37" s="18" t="s">
        <v>65</v>
      </c>
      <c r="D37" s="19" t="s">
        <v>184</v>
      </c>
      <c r="E37" s="20">
        <f>SUMIFS(Xuất出库!D:D,Xuất出库!G:G,B37,Xuất出库!C:C,D37)</f>
        <v>0</v>
      </c>
      <c r="F37" s="21">
        <f>SUMIFS(Xuất出库!E:E,Xuất出库!G:G,B37,Xuất出库!C:C,D37)+SUMIFS(Xuất出库!F:F,Xuất出库!G:G,B37,Xuất出库!C:C,D37)</f>
        <v>0</v>
      </c>
      <c r="G37" s="18">
        <v>21</v>
      </c>
      <c r="H37" s="21">
        <f>SUMIFS(Hoàn回库!E:E,Hoàn回库!G:G,B37,Hoàn回库!C:C,D37)+SUMIFS(Hoàn回库!F:F,Hoàn回库!G:G,B37,Hoàn回库!C:C,D37)</f>
        <v>0</v>
      </c>
      <c r="I37" s="21">
        <f>SUMIFS('Điều hàng调货'!E:E,'Điều hàng调货'!A:A,K37,'Điều hàng调货'!G:G,B37)*-1+SUMIFS('Điều hàng调货'!E:E,'Điều hàng调货'!A:A,K37,'Điều hàng调货'!H:H,B37)+SUMIFS('Điều hàng调货'!F:F,'Điều hàng调货'!A:A,K37,'Điều hàng调货'!G:G,B37)*-1+SUMIFS('Điều hàng调货'!F:F,'Điều hàng调货'!A:A,K37,'Điều hàng调货'!H:H,B37)</f>
        <v>21</v>
      </c>
      <c r="J37" s="21">
        <f t="shared" ref="J37:J72" si="2">F37-G37-H37+I37</f>
        <v>0</v>
      </c>
      <c r="K37" s="21">
        <f>VLOOKUP($D37,SKU!$A:$I,3,FALSE)</f>
        <v>10039</v>
      </c>
      <c r="L37" s="21" t="str">
        <f>VLOOKUP($D37,SKU!$A:$I,2,FALSE)</f>
        <v>非凡航海王第五弹</v>
      </c>
    </row>
    <row r="38" ht="15.75" spans="1:12">
      <c r="A38" s="6"/>
      <c r="B38" s="22" t="s">
        <v>426</v>
      </c>
      <c r="C38" s="23" t="s">
        <v>65</v>
      </c>
      <c r="D38" s="23" t="s">
        <v>24</v>
      </c>
      <c r="E38" s="24">
        <f>SUMIFS(Xuất出库!D:D,Xuất出库!G:G,B38,Xuất出库!C:C,D38)</f>
        <v>5</v>
      </c>
      <c r="F38" s="25">
        <f>SUMIFS(Xuất出库!E:E,Xuất出库!G:G,B38,Xuất出库!C:C,D38)+SUMIFS(Xuất出库!F:F,Xuất出库!G:G,B38,Xuất出库!C:C,D38)</f>
        <v>65</v>
      </c>
      <c r="G38" s="23">
        <v>0</v>
      </c>
      <c r="H38" s="25">
        <f>SUMIFS(Hoàn回库!E:E,Hoàn回库!G:G,B38,Hoàn回库!C:C,D38)+SUMIFS(Hoàn回库!F:F,Hoàn回库!G:G,B38,Hoàn回库!C:C,D38)</f>
        <v>92</v>
      </c>
      <c r="I38" s="25">
        <f>SUMIFS('Điều hàng调货'!E:E,'Điều hàng调货'!A:A,K38,'Điều hàng调货'!G:G,B38)*-1+SUMIFS('Điều hàng调货'!E:E,'Điều hàng调货'!A:A,K38,'Điều hàng调货'!H:H,B38)+SUMIFS('Điều hàng调货'!F:F,'Điều hàng调货'!A:A,K38,'Điều hàng调货'!G:G,B38)*-1+SUMIFS('Điều hàng调货'!F:F,'Điều hàng调货'!A:A,K38,'Điều hàng调货'!H:H,B38)</f>
        <v>27</v>
      </c>
      <c r="J38" s="25">
        <f t="shared" si="2"/>
        <v>0</v>
      </c>
      <c r="K38" s="25">
        <f>VLOOKUP($D38,SKU!$A:$I,3,FALSE)</f>
        <v>10003</v>
      </c>
      <c r="L38" s="25" t="str">
        <f>VLOOKUP($D38,SKU!$A:$I,2,FALSE)</f>
        <v>DUO米全新出品鬼灭之刃-柱合会议篇第二弹</v>
      </c>
    </row>
    <row r="39" spans="1:12">
      <c r="A39" s="6"/>
      <c r="B39" s="26" t="s">
        <v>426</v>
      </c>
      <c r="C39" s="23" t="s">
        <v>65</v>
      </c>
      <c r="D39" s="6" t="s">
        <v>139</v>
      </c>
      <c r="E39" s="8">
        <f>SUMIFS(Xuất出库!D:D,Xuất出库!G:G,B39,Xuất出库!C:C,D39)</f>
        <v>20</v>
      </c>
      <c r="F39" s="9">
        <f>SUMIFS(Xuất出库!E:E,Xuất出库!G:G,B39,Xuất出库!C:C,D39)+SUMIFS(Xuất出库!F:F,Xuất出库!G:G,B39,Xuất出库!C:C,D39)</f>
        <v>289</v>
      </c>
      <c r="G39" s="10">
        <f>139+20+7+123</f>
        <v>289</v>
      </c>
      <c r="H39" s="9">
        <f>SUMIFS(Hoàn回库!E:E,Hoàn回库!G:G,B39,Hoàn回库!C:C,D39)+SUMIFS(Hoàn回库!F:F,Hoàn回库!G:G,B39,Hoàn回库!C:C,D39)</f>
        <v>0</v>
      </c>
      <c r="I39" s="9">
        <f>SUMIFS('Điều hàng调货'!E:E,'Điều hàng调货'!A:A,K39,'Điều hàng调货'!G:G,B39)*-1+SUMIFS('Điều hàng调货'!E:E,'Điều hàng调货'!A:A,K39,'Điều hàng调货'!H:H,B39)+SUMIFS('Điều hàng调货'!F:F,'Điều hàng调货'!A:A,K39,'Điều hàng调货'!G:G,B39)*-1+SUMIFS('Điều hàng调货'!F:F,'Điều hàng调货'!A:A,K39,'Điều hàng调货'!H:H,B39)</f>
        <v>0</v>
      </c>
      <c r="J39" s="9">
        <f t="shared" si="2"/>
        <v>0</v>
      </c>
      <c r="K39" s="9">
        <f>VLOOKUP($D39,SKU!$A:$I,3,FALSE)</f>
        <v>10028</v>
      </c>
      <c r="L39" s="9" t="str">
        <f>VLOOKUP($D39,SKU!$A:$I,2,FALSE)</f>
        <v>潮玩咔原神 尘世收藏卡</v>
      </c>
    </row>
    <row r="40" spans="1:12">
      <c r="A40" s="6"/>
      <c r="B40" s="26" t="s">
        <v>426</v>
      </c>
      <c r="C40" s="23" t="s">
        <v>65</v>
      </c>
      <c r="D40" s="6" t="s">
        <v>12</v>
      </c>
      <c r="E40" s="8">
        <f>SUMIFS(Xuất出库!D:D,Xuất出库!G:G,B40,Xuất出库!C:C,D40)</f>
        <v>5</v>
      </c>
      <c r="F40" s="9">
        <f>SUMIFS(Xuất出库!E:E,Xuất出库!G:G,B40,Xuất出库!C:C,D40)+SUMIFS(Xuất出库!F:F,Xuất出库!G:G,B40,Xuất出库!C:C,D40)</f>
        <v>5</v>
      </c>
      <c r="G40" s="6">
        <v>1</v>
      </c>
      <c r="H40" s="9">
        <f>SUMIFS(Hoàn回库!E:E,Hoàn回库!G:G,B40,Hoàn回库!C:C,D40)+SUMIFS(Hoàn回库!F:F,Hoàn回库!G:G,B40,Hoàn回库!C:C,D40)</f>
        <v>3</v>
      </c>
      <c r="I40" s="9">
        <f>SUMIFS('Điều hàng调货'!E:E,'Điều hàng调货'!A:A,K40,'Điều hàng调货'!G:G,B40)*-1+SUMIFS('Điều hàng调货'!E:E,'Điều hàng调货'!A:A,K40,'Điều hàng调货'!H:H,B40)+SUMIFS('Điều hàng调货'!F:F,'Điều hàng调货'!A:A,K40,'Điều hàng调货'!G:G,B40)*-1+SUMIFS('Điều hàng调货'!F:F,'Điều hàng调货'!A:A,K40,'Điều hàng调货'!H:H,B40)</f>
        <v>-1</v>
      </c>
      <c r="J40" s="9">
        <f t="shared" si="2"/>
        <v>0</v>
      </c>
      <c r="K40" s="9">
        <f>VLOOKUP($D40,SKU!$A:$I,3,FALSE)</f>
        <v>10001</v>
      </c>
      <c r="L40" s="9" t="str">
        <f>VLOOKUP($D40,SKU!$A:$I,2,FALSE)</f>
        <v>《东株社》宝可梦水晶砖</v>
      </c>
    </row>
    <row r="41" spans="1:12">
      <c r="A41" s="6"/>
      <c r="B41" s="26" t="s">
        <v>426</v>
      </c>
      <c r="C41" s="23" t="s">
        <v>65</v>
      </c>
      <c r="D41" s="10" t="s">
        <v>202</v>
      </c>
      <c r="E41" s="8">
        <f>SUMIFS(Xuất出库!D:D,Xuất出库!G:G,B41,Xuất出库!C:C,D41)</f>
        <v>55</v>
      </c>
      <c r="F41" s="9">
        <f>SUMIFS(Xuất出库!E:E,Xuất出库!G:G,B41,Xuất出库!C:C,D41)+SUMIFS(Xuất出库!F:F,Xuất出库!G:G,B41,Xuất出库!C:C,D41)</f>
        <v>62</v>
      </c>
      <c r="G41" s="6">
        <v>61</v>
      </c>
      <c r="H41" s="9">
        <f>SUMIFS(Hoàn回库!E:E,Hoàn回库!G:G,B41,Hoàn回库!C:C,D41)+SUMIFS(Hoàn回库!F:F,Hoàn回库!G:G,B41,Hoàn回库!C:C,D41)</f>
        <v>1</v>
      </c>
      <c r="I41" s="9">
        <f>SUMIFS('Điều hàng调货'!E:E,'Điều hàng调货'!A:A,K41,'Điều hàng调货'!G:G,B41)*-1+SUMIFS('Điều hàng调货'!E:E,'Điều hàng调货'!A:A,K41,'Điều hàng调货'!H:H,B41)+SUMIFS('Điều hàng调货'!F:F,'Điều hàng调货'!A:A,K41,'Điều hàng调货'!G:G,B41)*-1+SUMIFS('Điều hàng调货'!F:F,'Điều hàng调货'!A:A,K41,'Điều hàng调货'!H:H,B41)</f>
        <v>0</v>
      </c>
      <c r="J41" s="9">
        <f t="shared" si="2"/>
        <v>0</v>
      </c>
      <c r="K41" s="9">
        <f>VLOOKUP($D41,SKU!$A:$I,3,FALSE)</f>
        <v>10044</v>
      </c>
      <c r="L41" s="9" t="str">
        <f>VLOOKUP($D41,SKU!$A:$I,2,FALSE)</f>
        <v>源宇宙原神.空月の歌·周边CD票根邮票组合套装</v>
      </c>
    </row>
    <row r="42" spans="1:12">
      <c r="A42" s="6"/>
      <c r="B42" s="26" t="s">
        <v>426</v>
      </c>
      <c r="C42" s="23" t="s">
        <v>65</v>
      </c>
      <c r="D42" s="6" t="s">
        <v>192</v>
      </c>
      <c r="E42" s="8">
        <f>SUMIFS(Xuất出库!D:D,Xuất出库!G:G,B42,Xuất出库!C:C,D42)</f>
        <v>100</v>
      </c>
      <c r="F42" s="9">
        <f>SUMIFS(Xuất出库!E:E,Xuất出库!G:G,B42,Xuất出库!C:C,D42)+SUMIFS(Xuất出库!F:F,Xuất出库!G:G,B42,Xuất出库!C:C,D42)</f>
        <v>100</v>
      </c>
      <c r="G42" s="6">
        <v>100</v>
      </c>
      <c r="H42" s="9">
        <f>SUMIFS(Hoàn回库!E:E,Hoàn回库!G:G,B42,Hoàn回库!C:C,D42)+SUMIFS(Hoàn回库!F:F,Hoàn回库!G:G,B42,Hoàn回库!C:C,D42)</f>
        <v>0</v>
      </c>
      <c r="I42" s="9">
        <f>SUMIFS('Điều hàng调货'!E:E,'Điều hàng调货'!A:A,K42,'Điều hàng调货'!G:G,B42)*-1+SUMIFS('Điều hàng调货'!E:E,'Điều hàng调货'!A:A,K42,'Điều hàng调货'!H:H,B42)+SUMIFS('Điều hàng调货'!F:F,'Điều hàng调货'!A:A,K42,'Điều hàng调货'!G:G,B42)*-1+SUMIFS('Điều hàng调货'!F:F,'Điều hàng调货'!A:A,K42,'Điều hàng调货'!H:H,B42)</f>
        <v>0</v>
      </c>
      <c r="J42" s="9">
        <f t="shared" si="2"/>
        <v>0</v>
      </c>
      <c r="K42" s="9">
        <f>VLOOKUP($D42,SKU!$A:$I,3,FALSE)</f>
        <v>10041</v>
      </c>
      <c r="L42" s="9" t="str">
        <f>VLOOKUP($D42,SKU!$A:$I,2,FALSE)</f>
        <v>小熊工坊「原神」A6色纸</v>
      </c>
    </row>
    <row r="43" spans="1:12">
      <c r="A43" s="6"/>
      <c r="B43" s="26" t="s">
        <v>426</v>
      </c>
      <c r="C43" s="23" t="s">
        <v>65</v>
      </c>
      <c r="D43" s="6" t="s">
        <v>119</v>
      </c>
      <c r="E43" s="8">
        <f>SUMIFS(Xuất出库!D:D,Xuất出库!G:G,B43,Xuất出库!C:C,D43)</f>
        <v>54</v>
      </c>
      <c r="F43" s="9">
        <f>SUMIFS(Xuất出库!E:E,Xuất出库!G:G,B43,Xuất出库!C:C,D43)+SUMIFS(Xuất出库!F:F,Xuất出库!G:G,B43,Xuất出库!C:C,D43)</f>
        <v>64</v>
      </c>
      <c r="G43" s="6">
        <v>54</v>
      </c>
      <c r="H43" s="9">
        <f>SUMIFS(Hoàn回库!E:E,Hoàn回库!G:G,B43,Hoàn回库!C:C,D43)+SUMIFS(Hoàn回库!F:F,Hoàn回库!G:G,B43,Hoàn回库!C:C,D43)</f>
        <v>10</v>
      </c>
      <c r="I43" s="9">
        <f>SUMIFS('Điều hàng调货'!E:E,'Điều hàng调货'!A:A,K43,'Điều hàng调货'!G:G,B43)*-1+SUMIFS('Điều hàng调货'!E:E,'Điều hàng调货'!A:A,K43,'Điều hàng调货'!H:H,B43)+SUMIFS('Điều hàng调货'!F:F,'Điều hàng调货'!A:A,K43,'Điều hàng调货'!G:G,B43)*-1+SUMIFS('Điều hàng调货'!F:F,'Điều hàng调货'!A:A,K43,'Điều hàng调货'!H:H,B43)</f>
        <v>0</v>
      </c>
      <c r="J43" s="9">
        <f t="shared" si="2"/>
        <v>0</v>
      </c>
      <c r="K43" s="9">
        <f>VLOOKUP($D43,SKU!$A:$I,3,FALSE)</f>
        <v>10023</v>
      </c>
      <c r="L43" s="9" t="str">
        <f>VLOOKUP($D43,SKU!$A:$I,2,FALSE)</f>
        <v>风信文创尘世相逢之约星光来信原神邮票第一弹</v>
      </c>
    </row>
    <row r="44" spans="1:12">
      <c r="A44" s="6"/>
      <c r="B44" s="26" t="s">
        <v>426</v>
      </c>
      <c r="C44" s="23" t="s">
        <v>65</v>
      </c>
      <c r="D44" s="10" t="s">
        <v>188</v>
      </c>
      <c r="E44" s="8">
        <f>SUMIFS(Xuất出库!D:D,Xuất出库!G:G,B44,Xuất出库!C:C,D44)</f>
        <v>10</v>
      </c>
      <c r="F44" s="9">
        <f>SUMIFS(Xuất出库!E:E,Xuất出库!G:G,B44,Xuất出库!C:C,D44)+SUMIFS(Xuất出库!F:F,Xuất出库!G:G,B44,Xuất出库!C:C,D44)</f>
        <v>110</v>
      </c>
      <c r="G44" s="6">
        <v>11</v>
      </c>
      <c r="H44" s="9">
        <f>SUMIFS(Hoàn回库!E:E,Hoàn回库!G:G,B44,Hoàn回库!C:C,D44)+SUMIFS(Hoàn回库!F:F,Hoàn回库!G:G,B44,Hoàn回库!C:C,D44)</f>
        <v>30</v>
      </c>
      <c r="I44" s="9">
        <f>SUMIFS('Điều hàng调货'!E:E,'Điều hàng调货'!A:A,K44,'Điều hàng调货'!G:G,B44)*-1+SUMIFS('Điều hàng调货'!E:E,'Điều hàng调货'!A:A,K44,'Điều hàng调货'!H:H,B44)+SUMIFS('Điều hàng调货'!F:F,'Điều hàng调货'!A:A,K44,'Điều hàng调货'!G:G,B44)*-1+SUMIFS('Điều hàng调货'!F:F,'Điều hàng调货'!A:A,K44,'Điều hàng调货'!H:H,B44)</f>
        <v>0</v>
      </c>
      <c r="J44" s="9">
        <f t="shared" si="2"/>
        <v>69</v>
      </c>
      <c r="K44" s="9">
        <f>VLOOKUP($D44,SKU!$A:$I,3,FALSE)</f>
        <v>10040</v>
      </c>
      <c r="L44" s="9" t="str">
        <f>VLOOKUP($D44,SKU!$A:$I,2,FALSE)</f>
        <v>酷卡文化-线条小狗3弹</v>
      </c>
    </row>
    <row r="45" spans="1:12">
      <c r="A45" s="6"/>
      <c r="B45" s="26" t="s">
        <v>426</v>
      </c>
      <c r="C45" s="23" t="s">
        <v>65</v>
      </c>
      <c r="D45" s="10" t="s">
        <v>175</v>
      </c>
      <c r="E45" s="8">
        <f>SUMIFS(Xuất出库!D:D,Xuất出库!G:G,B45,Xuất出库!C:C,D45)</f>
        <v>90</v>
      </c>
      <c r="F45" s="9">
        <f>SUMIFS(Xuất出库!E:E,Xuất出库!G:G,B45,Xuất出库!C:C,D45)+SUMIFS(Xuất出库!F:F,Xuất出库!G:G,B45,Xuất出库!C:C,D45)</f>
        <v>90</v>
      </c>
      <c r="G45" s="6">
        <f>42+23+2</f>
        <v>67</v>
      </c>
      <c r="H45" s="9">
        <f>SUMIFS(Hoàn回库!E:E,Hoàn回库!G:G,B45,Hoàn回库!C:C,D45)+SUMIFS(Hoàn回库!F:F,Hoàn回库!G:G,B45,Hoàn回库!C:C,D45)</f>
        <v>5</v>
      </c>
      <c r="I45" s="9">
        <f>SUMIFS('Điều hàng调货'!E:E,'Điều hàng调货'!A:A,K45,'Điều hàng调货'!G:G,B45)*-1+SUMIFS('Điều hàng调货'!E:E,'Điều hàng调货'!A:A,K45,'Điều hàng调货'!H:H,B45)+SUMIFS('Điều hàng调货'!F:F,'Điều hàng调货'!A:A,K45,'Điều hàng调货'!G:G,B45)*-1+SUMIFS('Điều hàng调货'!F:F,'Điều hàng调货'!A:A,K45,'Điều hàng调货'!H:H,B45)</f>
        <v>0</v>
      </c>
      <c r="J45" s="9">
        <f t="shared" si="2"/>
        <v>18</v>
      </c>
      <c r="K45" s="9">
        <f>VLOOKUP($D45,SKU!$A:$I,3,FALSE)</f>
        <v>10037</v>
      </c>
      <c r="L45" s="9" t="str">
        <f>VLOOKUP($D45,SKU!$A:$I,2,FALSE)</f>
        <v>磁吸邮票《咪咕咪咕&amp;魔卡少女樱》</v>
      </c>
    </row>
    <row r="46" spans="1:12">
      <c r="A46" s="6"/>
      <c r="B46" s="26" t="s">
        <v>426</v>
      </c>
      <c r="C46" s="23" t="s">
        <v>65</v>
      </c>
      <c r="D46" s="10" t="s">
        <v>205</v>
      </c>
      <c r="E46" s="8">
        <f>SUMIFS(Xuất出库!D:D,Xuất出库!G:G,B46,Xuất出库!C:C,D46)</f>
        <v>69</v>
      </c>
      <c r="F46" s="9">
        <f>SUMIFS(Xuất出库!E:E,Xuất出库!G:G,B46,Xuất出库!C:C,D46)+SUMIFS(Xuất出库!F:F,Xuất出库!G:G,B46,Xuất出库!C:C,D46)</f>
        <v>69</v>
      </c>
      <c r="G46" s="6">
        <v>66</v>
      </c>
      <c r="H46" s="9">
        <f>SUMIFS(Hoàn回库!E:E,Hoàn回库!G:G,B46,Hoàn回库!C:C,D46)+SUMIFS(Hoàn回库!F:F,Hoàn回库!G:G,B46,Hoàn回库!C:C,D46)</f>
        <v>0</v>
      </c>
      <c r="I46" s="9">
        <f>SUMIFS('Điều hàng调货'!E:E,'Điều hàng调货'!A:A,K46,'Điều hàng调货'!G:G,B46)*-1+SUMIFS('Điều hàng调货'!E:E,'Điều hàng调货'!A:A,K46,'Điều hàng调货'!H:H,B46)+SUMIFS('Điều hàng调货'!F:F,'Điều hàng调货'!A:A,K46,'Điều hàng调货'!G:G,B46)*-1+SUMIFS('Điều hàng调货'!F:F,'Điều hàng调货'!A:A,K46,'Điều hàng调货'!H:H,B46)</f>
        <v>0</v>
      </c>
      <c r="J46" s="9">
        <f t="shared" si="2"/>
        <v>3</v>
      </c>
      <c r="K46" s="9">
        <f>VLOOKUP($D46,SKU!$A:$I,3,FALSE)</f>
        <v>10045</v>
      </c>
      <c r="L46" s="9" t="str">
        <f>VLOOKUP($D46,SKU!$A:$I,2,FALSE)</f>
        <v>名侦探柯南谜层交错</v>
      </c>
    </row>
    <row r="47" spans="1:12">
      <c r="A47" s="6"/>
      <c r="B47" s="26" t="s">
        <v>426</v>
      </c>
      <c r="C47" s="23" t="s">
        <v>65</v>
      </c>
      <c r="D47" s="10" t="s">
        <v>30</v>
      </c>
      <c r="E47" s="8">
        <f>SUMIFS(Xuất出库!D:D,Xuất出库!G:G,B47,Xuất出库!C:C,D47)</f>
        <v>40</v>
      </c>
      <c r="F47" s="9">
        <f>SUMIFS(Xuất出库!E:E,Xuất出库!G:G,B47,Xuất出库!C:C,D47)+SUMIFS(Xuất出库!F:F,Xuất出库!G:G,B47,Xuất出库!C:C,D47)</f>
        <v>55</v>
      </c>
      <c r="G47" s="10">
        <f>15+8+10+6+2+3+11</f>
        <v>55</v>
      </c>
      <c r="H47" s="9">
        <f>SUMIFS(Hoàn回库!E:E,Hoàn回库!G:G,B47,Hoàn回库!C:C,D47)+SUMIFS(Hoàn回库!F:F,Hoàn回库!G:G,B47,Hoàn回库!C:C,D47)</f>
        <v>0</v>
      </c>
      <c r="I47" s="9">
        <f>SUMIFS('Điều hàng调货'!E:E,'Điều hàng调货'!A:A,K47,'Điều hàng调货'!G:G,B47)*-1+SUMIFS('Điều hàng调货'!E:E,'Điều hàng调货'!A:A,K47,'Điều hàng调货'!H:H,B47)+SUMIFS('Điều hàng调货'!F:F,'Điều hàng调货'!A:A,K47,'Điều hàng调货'!G:G,B47)*-1+SUMIFS('Điều hàng调货'!F:F,'Điều hàng调货'!A:A,K47,'Điều hàng调货'!H:H,B47)</f>
        <v>0</v>
      </c>
      <c r="J47" s="9">
        <f t="shared" si="2"/>
        <v>0</v>
      </c>
      <c r="K47" s="9">
        <f>VLOOKUP($D47,SKU!$A:$I,3,FALSE)</f>
        <v>10004</v>
      </c>
      <c r="L47" s="9" t="str">
        <f>VLOOKUP($D47,SKU!$A:$I,2,FALSE)</f>
        <v>初见花海咒术回战第一弹</v>
      </c>
    </row>
    <row r="48" spans="1:12">
      <c r="A48" s="6"/>
      <c r="B48" s="26" t="s">
        <v>426</v>
      </c>
      <c r="C48" s="23" t="s">
        <v>65</v>
      </c>
      <c r="D48" s="10" t="s">
        <v>167</v>
      </c>
      <c r="E48" s="8">
        <f>SUMIFS(Xuất出库!D:D,Xuất出库!G:G,B48,Xuất出库!C:C,D48)</f>
        <v>0</v>
      </c>
      <c r="F48" s="9">
        <f>SUMIFS(Xuất出库!E:E,Xuất出库!G:G,B48,Xuất出库!C:C,D48)+SUMIFS(Xuất出库!F:F,Xuất出库!G:G,B48,Xuất出库!C:C,D48)</f>
        <v>41</v>
      </c>
      <c r="G48" s="6">
        <v>3</v>
      </c>
      <c r="H48" s="9">
        <f>SUMIFS(Hoàn回库!E:E,Hoàn回库!G:G,B48,Hoàn回库!C:C,D48)+SUMIFS(Hoàn回库!F:F,Hoàn回库!G:G,B48,Hoàn回库!C:C,D48)</f>
        <v>0</v>
      </c>
      <c r="I48" s="9">
        <f>SUMIFS('Điều hàng调货'!E:E,'Điều hàng调货'!A:A,K48,'Điều hàng调货'!G:G,B48)*-1+SUMIFS('Điều hàng调货'!E:E,'Điều hàng调货'!A:A,K48,'Điều hàng调货'!H:H,B48)+SUMIFS('Điều hàng调货'!F:F,'Điều hàng调货'!A:A,K48,'Điều hàng调货'!G:G,B48)*-1+SUMIFS('Điều hàng调货'!F:F,'Điều hàng调货'!A:A,K48,'Điều hàng调货'!H:H,B48)</f>
        <v>0</v>
      </c>
      <c r="J48" s="9">
        <f t="shared" si="2"/>
        <v>38</v>
      </c>
      <c r="K48" s="9">
        <f>VLOOKUP($D48,SKU!$A:$I,3,FALSE)</f>
        <v>10035</v>
      </c>
      <c r="L48" s="9" t="str">
        <f>VLOOKUP($D48,SKU!$A:$I,2,FALSE)</f>
        <v>KK CARD × 新海诚系列第一弹</v>
      </c>
    </row>
    <row r="49" spans="1:12">
      <c r="A49" s="6"/>
      <c r="B49" s="26" t="s">
        <v>426</v>
      </c>
      <c r="C49" s="23" t="s">
        <v>65</v>
      </c>
      <c r="D49" s="10" t="s">
        <v>209</v>
      </c>
      <c r="E49" s="8">
        <f>SUMIFS(Xuất出库!D:D,Xuất出库!G:G,B49,Xuất出库!C:C,D49)</f>
        <v>164</v>
      </c>
      <c r="F49" s="9">
        <f>SUMIFS(Xuất出库!E:E,Xuất出库!G:G,B49,Xuất出库!C:C,D49)+SUMIFS(Xuất出库!F:F,Xuất出库!G:G,B49,Xuất出库!C:C,D49)</f>
        <v>164</v>
      </c>
      <c r="G49" s="6">
        <f>63+67+14+4</f>
        <v>148</v>
      </c>
      <c r="H49" s="9">
        <f>SUMIFS(Hoàn回库!E:E,Hoàn回库!G:G,B49,Hoàn回库!C:C,D49)+SUMIFS(Hoàn回库!F:F,Hoàn回库!G:G,B49,Hoàn回库!C:C,D49)</f>
        <v>16</v>
      </c>
      <c r="I49" s="9">
        <f>SUMIFS('Điều hàng调货'!E:E,'Điều hàng调货'!A:A,K49,'Điều hàng调货'!G:G,B49)*-1+SUMIFS('Điều hàng调货'!E:E,'Điều hàng调货'!A:A,K49,'Điều hàng调货'!H:H,B49)+SUMIFS('Điều hàng调货'!F:F,'Điều hàng调货'!A:A,K49,'Điều hàng调货'!G:G,B49)*-1+SUMIFS('Điều hàng调货'!F:F,'Điều hàng调货'!A:A,K49,'Điều hàng调货'!H:H,B49)</f>
        <v>0</v>
      </c>
      <c r="J49" s="9">
        <f t="shared" si="2"/>
        <v>0</v>
      </c>
      <c r="K49" s="9">
        <f>VLOOKUP($D49,SKU!$A:$I,3,FALSE)</f>
        <v>10047</v>
      </c>
      <c r="L49" s="9" t="str">
        <f>VLOOKUP($D49,SKU!$A:$I,2,FALSE)</f>
        <v>提瓦特工坊·原神水晶色纸</v>
      </c>
    </row>
    <row r="50" spans="1:12">
      <c r="A50" s="6"/>
      <c r="B50" s="26" t="s">
        <v>426</v>
      </c>
      <c r="C50" s="23" t="s">
        <v>65</v>
      </c>
      <c r="D50" s="10" t="s">
        <v>143</v>
      </c>
      <c r="E50" s="8">
        <f>SUMIFS(Xuất出库!D:D,Xuất出库!G:G,B50,Xuất出库!C:C,D50)</f>
        <v>6</v>
      </c>
      <c r="F50" s="9">
        <f>SUMIFS(Xuất出库!E:E,Xuất出库!G:G,B50,Xuất出库!C:C,D50)+SUMIFS(Xuất出库!F:F,Xuất出库!G:G,B50,Xuất出库!C:C,D50)</f>
        <v>72</v>
      </c>
      <c r="G50" s="6">
        <v>6</v>
      </c>
      <c r="H50" s="9">
        <f>SUMIFS(Hoàn回库!E:E,Hoàn回库!G:G,B50,Hoàn回库!C:C,D50)+SUMIFS(Hoàn回库!F:F,Hoàn回库!G:G,B50,Hoàn回库!C:C,D50)</f>
        <v>66</v>
      </c>
      <c r="I50" s="9">
        <f>SUMIFS('Điều hàng调货'!E:E,'Điều hàng调货'!A:A,K50,'Điều hàng调货'!G:G,B50)*-1+SUMIFS('Điều hàng调货'!E:E,'Điều hàng调货'!A:A,K50,'Điều hàng调货'!H:H,B50)+SUMIFS('Điều hàng调货'!F:F,'Điều hàng调货'!A:A,K50,'Điều hàng调货'!G:G,B50)*-1+SUMIFS('Điều hàng调货'!F:F,'Điều hàng调货'!A:A,K50,'Điều hàng调货'!H:H,B50)</f>
        <v>0</v>
      </c>
      <c r="J50" s="9">
        <f t="shared" si="2"/>
        <v>0</v>
      </c>
      <c r="K50" s="9">
        <f>VLOOKUP($D50,SKU!$A:$I,3,FALSE)</f>
        <v>10029</v>
      </c>
      <c r="L50" s="9" t="str">
        <f>VLOOKUP($D50,SKU!$A:$I,2,FALSE)</f>
        <v>樱花屋魔卡少女樱</v>
      </c>
    </row>
    <row r="51" spans="1:12">
      <c r="A51" s="6"/>
      <c r="B51" s="26" t="s">
        <v>426</v>
      </c>
      <c r="C51" s="23" t="s">
        <v>65</v>
      </c>
      <c r="D51" s="10" t="s">
        <v>95</v>
      </c>
      <c r="E51" s="8">
        <f>SUMIFS(Xuất出库!D:D,Xuất出库!G:G,B51,Xuất出库!C:C,D51)</f>
        <v>1</v>
      </c>
      <c r="F51" s="9">
        <f>SUMIFS(Xuất出库!E:E,Xuất出库!G:G,B51,Xuất出库!C:C,D51)+SUMIFS(Xuất出库!F:F,Xuất出库!G:G,B51,Xuất出库!C:C,D51)</f>
        <v>27</v>
      </c>
      <c r="G51" s="6">
        <v>27</v>
      </c>
      <c r="H51" s="9">
        <f>SUMIFS(Hoàn回库!E:E,Hoàn回库!G:G,B51,Hoàn回库!C:C,D51)+SUMIFS(Hoàn回库!F:F,Hoàn回库!G:G,B51,Hoàn回库!C:C,D51)</f>
        <v>0</v>
      </c>
      <c r="I51" s="9">
        <f>SUMIFS('Điều hàng调货'!E:E,'Điều hàng调货'!A:A,K51,'Điều hàng调货'!G:G,B51)*-1+SUMIFS('Điều hàng调货'!E:E,'Điều hàng调货'!A:A,K51,'Điều hàng调货'!H:H,B51)+SUMIFS('Điều hàng调货'!F:F,'Điều hàng调货'!A:A,K51,'Điều hàng调货'!G:G,B51)*-1+SUMIFS('Điều hàng调货'!F:F,'Điều hàng调货'!A:A,K51,'Điều hàng调货'!H:H,B51)</f>
        <v>0</v>
      </c>
      <c r="J51" s="9">
        <f t="shared" si="2"/>
        <v>0</v>
      </c>
      <c r="K51" s="9">
        <f>VLOOKUP($D51,SKU!$A:$I,3,FALSE)</f>
        <v>10017</v>
      </c>
      <c r="L51" s="9" t="str">
        <f>VLOOKUP($D51,SKU!$A:$I,2,FALSE)</f>
        <v>梦境-美少女战士第一弹</v>
      </c>
    </row>
    <row r="52" spans="1:12">
      <c r="A52" s="6"/>
      <c r="B52" s="26" t="s">
        <v>426</v>
      </c>
      <c r="C52" s="23" t="s">
        <v>65</v>
      </c>
      <c r="D52" s="6" t="s">
        <v>184</v>
      </c>
      <c r="E52" s="8">
        <f>SUMIFS(Xuất出库!D:D,Xuất出库!G:G,B52,Xuất出库!C:C,D52)</f>
        <v>24</v>
      </c>
      <c r="F52" s="9">
        <f>SUMIFS(Xuất出库!E:E,Xuất出库!G:G,B52,Xuất出库!C:C,D52)+SUMIFS(Xuất出库!F:F,Xuất出库!G:G,B52,Xuất出库!C:C,D52)</f>
        <v>480</v>
      </c>
      <c r="G52" s="6">
        <v>400</v>
      </c>
      <c r="H52" s="9">
        <f>SUMIFS(Hoàn回库!E:E,Hoàn回库!G:G,B52,Hoàn回库!C:C,D52)+SUMIFS(Hoàn回库!F:F,Hoàn回库!G:G,B52,Hoàn回库!C:C,D52)</f>
        <v>0</v>
      </c>
      <c r="I52" s="9">
        <f>SUMIFS('Điều hàng调货'!E:E,'Điều hàng调货'!A:A,K52,'Điều hàng调货'!G:G,B52)*-1+SUMIFS('Điều hàng调货'!E:E,'Điều hàng调货'!A:A,K52,'Điều hàng调货'!H:H,B52)+SUMIFS('Điều hàng调货'!F:F,'Điều hàng调货'!A:A,K52,'Điều hàng调货'!G:G,B52)*-1+SUMIFS('Điều hàng调货'!F:F,'Điều hàng调货'!A:A,K52,'Điều hàng调货'!H:H,B52)</f>
        <v>-40</v>
      </c>
      <c r="J52" s="9">
        <f t="shared" si="2"/>
        <v>40</v>
      </c>
      <c r="K52" s="9">
        <f>VLOOKUP($D52,SKU!$A:$I,3,FALSE)</f>
        <v>10039</v>
      </c>
      <c r="L52" s="9" t="str">
        <f>VLOOKUP($D52,SKU!$A:$I,2,FALSE)</f>
        <v>非凡航海王第五弹</v>
      </c>
    </row>
    <row r="53" spans="1:12">
      <c r="A53" s="6"/>
      <c r="B53" s="26" t="s">
        <v>426</v>
      </c>
      <c r="C53" s="23" t="s">
        <v>65</v>
      </c>
      <c r="D53" s="6" t="s">
        <v>123</v>
      </c>
      <c r="E53" s="8">
        <f>SUMIFS(Xuất出库!D:D,Xuất出库!G:G,B53,Xuất出库!C:C,D53)</f>
        <v>30</v>
      </c>
      <c r="F53" s="9">
        <f>SUMIFS(Xuất出库!E:E,Xuất出库!G:G,B53,Xuất出库!C:C,D53)+SUMIFS(Xuất出库!F:F,Xuất出库!G:G,B53,Xuất出库!C:C,D53)</f>
        <v>30</v>
      </c>
      <c r="G53" s="6">
        <f>30</f>
        <v>30</v>
      </c>
      <c r="H53" s="9">
        <f>SUMIFS(Hoàn回库!E:E,Hoàn回库!G:G,B53,Hoàn回库!C:C,D53)+SUMIFS(Hoàn回库!F:F,Hoàn回库!G:G,B53,Hoàn回库!C:C,D53)</f>
        <v>0</v>
      </c>
      <c r="I53" s="9">
        <f>SUMIFS('Điều hàng调货'!E:E,'Điều hàng调货'!A:A,K53,'Điều hàng调货'!G:G,B53)*-1+SUMIFS('Điều hàng调货'!E:E,'Điều hàng调货'!A:A,K53,'Điều hàng调货'!H:H,B53)+SUMIFS('Điều hàng调货'!F:F,'Điều hàng调货'!A:A,K53,'Điều hàng调货'!G:G,B53)*-1+SUMIFS('Điều hàng调货'!F:F,'Điều hàng调货'!A:A,K53,'Điều hàng调货'!H:H,B53)</f>
        <v>0</v>
      </c>
      <c r="J53" s="9">
        <f t="shared" si="2"/>
        <v>0</v>
      </c>
      <c r="K53" s="9">
        <f>VLOOKUP($D53,SKU!$A:$I,3,FALSE)</f>
        <v>10024</v>
      </c>
      <c r="L53" s="9" t="str">
        <f>VLOOKUP($D53,SKU!$A:$I,2,FALSE)</f>
        <v>漫影工作室-柯南-A5 大卡第一弹</v>
      </c>
    </row>
    <row r="54" spans="1:12">
      <c r="A54" s="6"/>
      <c r="B54" s="26" t="s">
        <v>426</v>
      </c>
      <c r="C54" s="23" t="s">
        <v>65</v>
      </c>
      <c r="D54" s="6" t="s">
        <v>75</v>
      </c>
      <c r="E54" s="8">
        <f>SUMIFS(Xuất出库!D:D,Xuất出库!G:G,B54,Xuất出库!C:C,D54)</f>
        <v>5</v>
      </c>
      <c r="F54" s="9">
        <f>SUMIFS(Xuất出库!E:E,Xuất出库!G:G,B54,Xuất出库!C:C,D54)+SUMIFS(Xuất出库!F:F,Xuất出库!G:G,B54,Xuất出库!C:C,D54)</f>
        <v>150</v>
      </c>
      <c r="G54" s="6">
        <f>40</f>
        <v>40</v>
      </c>
      <c r="H54" s="9">
        <f>SUMIFS(Hoàn回库!E:E,Hoàn回库!G:G,B54,Hoàn回库!C:C,D54)+SUMIFS(Hoàn回库!F:F,Hoàn回库!G:G,B54,Hoàn回库!C:C,D54)</f>
        <v>0</v>
      </c>
      <c r="I54" s="9">
        <f>SUMIFS('Điều hàng调货'!E:E,'Điều hàng调货'!A:A,K54,'Điều hàng调货'!G:G,B54)*-1+SUMIFS('Điều hàng调货'!E:E,'Điều hàng调货'!A:A,K54,'Điều hàng调货'!H:H,B54)+SUMIFS('Điều hàng调货'!F:F,'Điều hàng调货'!A:A,K54,'Điều hàng调货'!G:G,B54)*-1+SUMIFS('Điều hàng调货'!F:F,'Điều hàng调货'!A:A,K54,'Điều hàng调货'!H:H,B54)</f>
        <v>0</v>
      </c>
      <c r="J54" s="9">
        <f t="shared" si="2"/>
        <v>110</v>
      </c>
      <c r="K54" s="9">
        <f>VLOOKUP($D54,SKU!$A:$I,3,FALSE)</f>
        <v>10012</v>
      </c>
      <c r="L54" s="9" t="str">
        <f>VLOOKUP($D54,SKU!$A:$I,2,FALSE)</f>
        <v>卡文化进击的巨人</v>
      </c>
    </row>
    <row r="55" spans="1:12">
      <c r="A55" s="6"/>
      <c r="B55" s="26" t="s">
        <v>426</v>
      </c>
      <c r="C55" s="23" t="s">
        <v>65</v>
      </c>
      <c r="D55" s="6" t="s">
        <v>234</v>
      </c>
      <c r="E55" s="8">
        <f>SUMIFS(Xuất出库!D:D,Xuất出库!G:G,B55,Xuất出库!C:C,D55)</f>
        <v>12</v>
      </c>
      <c r="F55" s="9">
        <f>SUMIFS(Xuất出库!E:E,Xuất出库!G:G,B55,Xuất出库!C:C,D55)+SUMIFS(Xuất出库!F:F,Xuất出库!G:G,B55,Xuất出库!C:C,D55)</f>
        <v>93</v>
      </c>
      <c r="G55" s="6">
        <v>93</v>
      </c>
      <c r="H55" s="9">
        <f>SUMIFS(Hoàn回库!E:E,Hoàn回库!G:G,B55,Hoàn回库!C:C,D55)+SUMIFS(Hoàn回库!F:F,Hoàn回库!G:G,B55,Hoàn回库!C:C,D55)</f>
        <v>0</v>
      </c>
      <c r="I55" s="9">
        <f>SUMIFS('Điều hàng调货'!E:E,'Điều hàng调货'!A:A,K55,'Điều hàng调货'!G:G,B55)*-1+SUMIFS('Điều hàng调货'!E:E,'Điều hàng调货'!A:A,K55,'Điều hàng调货'!H:H,B55)+SUMIFS('Điều hàng调货'!F:F,'Điều hàng调货'!A:A,K55,'Điều hàng调货'!G:G,B55)*-1+SUMIFS('Điều hàng调货'!F:F,'Điều hàng调货'!A:A,K55,'Điều hàng调货'!H:H,B55)</f>
        <v>0</v>
      </c>
      <c r="J55" s="9">
        <f t="shared" si="2"/>
        <v>0</v>
      </c>
      <c r="K55" s="9">
        <f>VLOOKUP($D55,SKU!$A:$I,3,FALSE)</f>
        <v>10055</v>
      </c>
      <c r="L55" s="9" t="str">
        <f>VLOOKUP($D55,SKU!$A:$I,2,FALSE)</f>
        <v>绘卷文创 - 梦境入画【鬼灭之刃系列收藏卡砖】</v>
      </c>
    </row>
    <row r="56" spans="1:12">
      <c r="A56" s="6"/>
      <c r="B56" s="26" t="s">
        <v>426</v>
      </c>
      <c r="C56" s="23" t="s">
        <v>65</v>
      </c>
      <c r="D56" s="6" t="s">
        <v>91</v>
      </c>
      <c r="E56" s="8">
        <f>SUMIFS(Xuất出库!D:D,Xuất出库!G:G,B56,Xuất出库!C:C,D56)</f>
        <v>11</v>
      </c>
      <c r="F56" s="9">
        <f>SUMIFS(Xuất出库!E:E,Xuất出库!G:G,B56,Xuất出库!C:C,D56)+SUMIFS(Xuất出库!F:F,Xuất出库!G:G,B56,Xuất出库!C:C,D56)</f>
        <v>110</v>
      </c>
      <c r="G56" s="6">
        <v>34</v>
      </c>
      <c r="H56" s="9">
        <f>SUMIFS(Hoàn回库!E:E,Hoàn回库!G:G,B56,Hoàn回库!C:C,D56)+SUMIFS(Hoàn回库!F:F,Hoàn回库!G:G,B56,Hoàn回库!C:C,D56)</f>
        <v>0</v>
      </c>
      <c r="I56" s="9">
        <f>SUMIFS('Điều hàng调货'!E:E,'Điều hàng调货'!A:A,K56,'Điều hàng调货'!G:G,B56)*-1+SUMIFS('Điều hàng调货'!E:E,'Điều hàng调货'!A:A,K56,'Điều hàng调货'!H:H,B56)+SUMIFS('Điều hàng调货'!F:F,'Điều hàng调货'!A:A,K56,'Điều hàng调货'!G:G,B56)*-1+SUMIFS('Điều hàng调货'!F:F,'Điều hàng调货'!A:A,K56,'Điều hàng调货'!H:H,B56)</f>
        <v>-76</v>
      </c>
      <c r="J56" s="9">
        <f t="shared" si="2"/>
        <v>0</v>
      </c>
      <c r="K56" s="9">
        <f>VLOOKUP($D56,SKU!$A:$I,3,FALSE)</f>
        <v>10016</v>
      </c>
      <c r="L56" s="9" t="str">
        <f>VLOOKUP($D56,SKU!$A:$I,2,FALSE)</f>
        <v>思梨普文创《hey!国王陛下》集换式艺术家典藏卡</v>
      </c>
    </row>
    <row r="57" spans="1:12">
      <c r="A57" s="6"/>
      <c r="B57" s="26" t="s">
        <v>426</v>
      </c>
      <c r="C57" s="23" t="s">
        <v>65</v>
      </c>
      <c r="D57" s="6" t="s">
        <v>241</v>
      </c>
      <c r="E57" s="8">
        <f>SUMIFS(Xuất出库!D:D,Xuất出库!G:G,B57,Xuất出库!C:C,D57)</f>
        <v>5</v>
      </c>
      <c r="F57" s="9">
        <f>SUMIFS(Xuất出库!E:E,Xuất出库!G:G,B57,Xuất出库!C:C,D57)+SUMIFS(Xuất出库!F:F,Xuất出库!G:G,B57,Xuất出库!C:C,D57)</f>
        <v>50</v>
      </c>
      <c r="G57" s="6">
        <v>25</v>
      </c>
      <c r="H57" s="9">
        <f>SUMIFS(Hoàn回库!E:E,Hoàn回库!G:G,B57,Hoàn回库!C:C,D57)+SUMIFS(Hoàn回库!F:F,Hoàn回库!G:G,B57,Hoàn回库!C:C,D57)</f>
        <v>10</v>
      </c>
      <c r="I57" s="9">
        <f>SUMIFS('Điều hàng调货'!E:E,'Điều hàng调货'!A:A,K57,'Điều hàng调货'!G:G,B57)*-1+SUMIFS('Điều hàng调货'!E:E,'Điều hàng调货'!A:A,K57,'Điều hàng调货'!H:H,B57)+SUMIFS('Điều hàng调货'!F:F,'Điều hàng调货'!A:A,K57,'Điều hàng调货'!G:G,B57)*-1+SUMIFS('Điều hàng调货'!F:F,'Điều hàng调货'!A:A,K57,'Điều hàng调货'!H:H,B57)</f>
        <v>-15</v>
      </c>
      <c r="J57" s="9">
        <f t="shared" si="2"/>
        <v>0</v>
      </c>
      <c r="K57" s="9">
        <f>VLOOKUP($D57,SKU!$A:$I,3,FALSE)</f>
        <v>10057</v>
      </c>
      <c r="L57" s="9" t="str">
        <f>VLOOKUP($D57,SKU!$A:$I,2,FALSE)</f>
        <v>三丽鸥家族暖冬</v>
      </c>
    </row>
    <row r="58" spans="1:12">
      <c r="A58" s="6"/>
      <c r="B58" s="26" t="s">
        <v>426</v>
      </c>
      <c r="C58" s="23" t="s">
        <v>65</v>
      </c>
      <c r="D58" s="6" t="s">
        <v>55</v>
      </c>
      <c r="E58" s="8">
        <f>SUMIFS(Xuất出库!D:D,Xuất出库!G:G,B58,Xuất出库!C:C,D58)</f>
        <v>21</v>
      </c>
      <c r="F58" s="9">
        <f>SUMIFS(Xuất出库!E:E,Xuất出库!G:G,B58,Xuất出库!C:C,D58)+SUMIFS(Xuất出库!F:F,Xuất出库!G:G,B58,Xuất出库!C:C,D58)</f>
        <v>210</v>
      </c>
      <c r="G58" s="6">
        <v>169</v>
      </c>
      <c r="H58" s="9">
        <f>SUMIFS(Hoàn回库!E:E,Hoàn回库!G:G,B58,Hoàn回库!C:C,D58)+SUMIFS(Hoàn回库!F:F,Hoàn回库!G:G,B58,Hoàn回库!C:C,D58)</f>
        <v>0</v>
      </c>
      <c r="I58" s="9">
        <f>SUMIFS('Điều hàng调货'!E:E,'Điều hàng调货'!A:A,K58,'Điều hàng调货'!G:G,B58)*-1+SUMIFS('Điều hàng调货'!E:E,'Điều hàng调货'!A:A,K58,'Điều hàng调货'!H:H,B58)+SUMIFS('Điều hàng调货'!F:F,'Điều hàng调货'!A:A,K58,'Điều hàng调货'!G:G,B58)*-1+SUMIFS('Điều hàng调货'!F:F,'Điều hàng调货'!A:A,K58,'Điều hàng调货'!H:H,B58)</f>
        <v>70</v>
      </c>
      <c r="J58" s="9">
        <f t="shared" si="2"/>
        <v>111</v>
      </c>
      <c r="K58" s="9">
        <f>VLOOKUP($D58,SKU!$A:$I,3,FALSE)</f>
        <v>10008</v>
      </c>
      <c r="L58" s="9" t="str">
        <f>VLOOKUP($D58,SKU!$A:$I,2,FALSE)</f>
        <v>XWork美少女战士-璀璨之梦</v>
      </c>
    </row>
    <row r="59" spans="1:12">
      <c r="A59" s="6"/>
      <c r="B59" s="26" t="s">
        <v>426</v>
      </c>
      <c r="C59" s="23" t="s">
        <v>65</v>
      </c>
      <c r="D59" s="6" t="s">
        <v>263</v>
      </c>
      <c r="E59" s="8">
        <f>SUMIFS(Xuất出库!D:D,Xuất出库!G:G,B59,Xuất出库!C:C,D59)</f>
        <v>10</v>
      </c>
      <c r="F59" s="9">
        <f>SUMIFS(Xuất出库!E:E,Xuất出库!G:G,B59,Xuất出库!C:C,D59)+SUMIFS(Xuất出库!F:F,Xuất出库!G:G,B59,Xuất出库!C:C,D59)</f>
        <v>120</v>
      </c>
      <c r="G59" s="6">
        <v>120</v>
      </c>
      <c r="H59" s="9">
        <f>SUMIFS(Hoàn回库!E:E,Hoàn回库!G:G,B59,Hoàn回库!C:C,D59)+SUMIFS(Hoàn回库!F:F,Hoàn回库!G:G,B59,Hoàn回库!C:C,D59)</f>
        <v>0</v>
      </c>
      <c r="I59" s="9">
        <f>SUMIFS('Điều hàng调货'!E:E,'Điều hàng调货'!A:A,K59,'Điều hàng调货'!G:G,B59)*-1+SUMIFS('Điều hàng调货'!E:E,'Điều hàng调货'!A:A,K59,'Điều hàng调货'!H:H,B59)+SUMIFS('Điều hàng调货'!F:F,'Điều hàng调货'!A:A,K59,'Điều hàng调货'!G:G,B59)*-1+SUMIFS('Điều hàng调货'!F:F,'Điều hàng调货'!A:A,K59,'Điều hàng调货'!H:H,B59)</f>
        <v>0</v>
      </c>
      <c r="J59" s="9">
        <f t="shared" si="2"/>
        <v>0</v>
      </c>
      <c r="K59" s="9">
        <f>VLOOKUP($D59,SKU!$A:$I,3,FALSE)</f>
        <v>10065</v>
      </c>
      <c r="L59" s="9" t="str">
        <f>VLOOKUP($D59,SKU!$A:$I,2,FALSE)</f>
        <v>【行星文创·上上签·命运答案】X全新原神系列上上签</v>
      </c>
    </row>
    <row r="60" spans="1:12">
      <c r="A60" s="6"/>
      <c r="B60" s="26" t="s">
        <v>426</v>
      </c>
      <c r="C60" s="23" t="s">
        <v>65</v>
      </c>
      <c r="D60" s="6" t="s">
        <v>268</v>
      </c>
      <c r="E60" s="8">
        <f>SUMIFS(Xuất出库!D:D,Xuất出库!G:G,B60,Xuất出库!C:C,D60)</f>
        <v>90</v>
      </c>
      <c r="F60" s="9">
        <f>SUMIFS(Xuất出库!E:E,Xuất出库!G:G,B60,Xuất出库!C:C,D60)+SUMIFS(Xuất出库!F:F,Xuất出库!G:G,B60,Xuất出库!C:C,D60)</f>
        <v>90</v>
      </c>
      <c r="G60" s="6">
        <v>72</v>
      </c>
      <c r="H60" s="9">
        <f>SUMIFS(Hoàn回库!E:E,Hoàn回库!G:G,B60,Hoàn回库!C:C,D60)+SUMIFS(Hoàn回库!F:F,Hoàn回库!G:G,B60,Hoàn回库!C:C,D60)</f>
        <v>0</v>
      </c>
      <c r="I60" s="9">
        <f>SUMIFS('Điều hàng调货'!E:E,'Điều hàng调货'!A:A,K60,'Điều hàng调货'!G:G,B60)*-1+SUMIFS('Điều hàng调货'!E:E,'Điều hàng调货'!A:A,K60,'Điều hàng调货'!H:H,B60)+SUMIFS('Điều hàng调货'!F:F,'Điều hàng调货'!A:A,K60,'Điều hàng调货'!G:G,B60)*-1+SUMIFS('Điều hàng调货'!F:F,'Điều hàng调货'!A:A,K60,'Điều hàng调货'!H:H,B60)</f>
        <v>0</v>
      </c>
      <c r="J60" s="9">
        <f t="shared" si="2"/>
        <v>18</v>
      </c>
      <c r="K60" s="9">
        <f>VLOOKUP($D60,SKU!$A:$I,3,FALSE)</f>
        <v>10067</v>
      </c>
      <c r="L60" s="9" t="str">
        <f>VLOOKUP($D60,SKU!$A:$I,2,FALSE)</f>
        <v>拓宇文创—崩铁·启航星程 A6 亚克力色纸</v>
      </c>
    </row>
    <row r="61" spans="1:12">
      <c r="A61" s="6"/>
      <c r="B61" s="27" t="s">
        <v>426</v>
      </c>
      <c r="C61" s="23" t="s">
        <v>65</v>
      </c>
      <c r="D61" s="12" t="s">
        <v>260</v>
      </c>
      <c r="E61" s="13">
        <f>SUMIFS(Xuất出库!D:D,Xuất出库!G:G,B61,Xuất出库!C:C,D61)</f>
        <v>30</v>
      </c>
      <c r="F61" s="14">
        <f>SUMIFS(Xuất出库!E:E,Xuất出库!G:G,B61,Xuất出库!C:C,D61)+SUMIFS(Xuất出库!F:F,Xuất出库!G:G,B61,Xuất出库!C:C,D61)</f>
        <v>180</v>
      </c>
      <c r="G61" s="12">
        <v>80</v>
      </c>
      <c r="H61" s="14">
        <f>SUMIFS(Hoàn回库!E:E,Hoàn回库!G:G,B61,Hoàn回库!C:C,D61)+SUMIFS(Hoàn回库!F:F,Hoàn回库!G:G,B61,Hoàn回库!C:C,D61)</f>
        <v>0</v>
      </c>
      <c r="I61" s="14">
        <f>SUMIFS('Điều hàng调货'!E:E,'Điều hàng调货'!A:A,K61,'Điều hàng调货'!G:G,B61)*-1+SUMIFS('Điều hàng调货'!E:E,'Điều hàng调货'!A:A,K61,'Điều hàng调货'!H:H,B61)+SUMIFS('Điều hàng调货'!F:F,'Điều hàng调货'!A:A,K61,'Điều hàng调货'!G:G,B61)*-1+SUMIFS('Điều hàng调货'!F:F,'Điều hàng调货'!A:A,K61,'Điều hàng调货'!H:H,B61)</f>
        <v>-100</v>
      </c>
      <c r="J61" s="14">
        <f t="shared" si="2"/>
        <v>0</v>
      </c>
      <c r="K61" s="14">
        <f>VLOOKUP($D61,SKU!$A:$I,3,FALSE)</f>
        <v>10064</v>
      </c>
      <c r="L61" s="14" t="str">
        <f>VLOOKUP($D61,SKU!$A:$I,2,FALSE)</f>
        <v>源宇宙崩铁色纸</v>
      </c>
    </row>
    <row r="62" spans="1:12">
      <c r="A62" s="15"/>
      <c r="B62" s="28" t="s">
        <v>426</v>
      </c>
      <c r="C62" s="23" t="s">
        <v>65</v>
      </c>
      <c r="D62" s="29" t="s">
        <v>196</v>
      </c>
      <c r="E62" s="30">
        <f>SUMIFS(Xuất出库!D:D,Xuất出库!G:G,B62,Xuất出库!C:C,D62)</f>
        <v>5</v>
      </c>
      <c r="F62" s="31">
        <f>SUMIFS(Xuất出库!E:E,Xuất出库!G:G,B62,Xuất出库!C:C,D62)+SUMIFS(Xuất出库!F:F,Xuất出库!G:G,B62,Xuất出库!C:C,D62)</f>
        <v>80</v>
      </c>
      <c r="G62" s="29">
        <v>61</v>
      </c>
      <c r="H62" s="31">
        <f>SUMIFS(Hoàn回库!E:E,Hoàn回库!G:G,B62,Hoàn回库!C:C,D62)+SUMIFS(Hoàn回库!F:F,Hoàn回库!G:G,B62,Hoàn回库!C:C,D62)</f>
        <v>0</v>
      </c>
      <c r="I62" s="31">
        <f>SUMIFS('Điều hàng调货'!E:E,'Điều hàng调货'!A:A,K62,'Điều hàng调货'!G:G,B62)*-1+SUMIFS('Điều hàng调货'!E:E,'Điều hàng调货'!A:A,K62,'Điều hàng调货'!H:H,B62)+SUMIFS('Điều hàng调货'!F:F,'Điều hàng调货'!A:A,K62,'Điều hàng调货'!G:G,B62)*-1+SUMIFS('Điều hàng调货'!F:F,'Điều hàng调货'!A:A,K62,'Điều hàng调货'!H:H,B62)</f>
        <v>48</v>
      </c>
      <c r="J62" s="31">
        <f t="shared" si="2"/>
        <v>67</v>
      </c>
      <c r="K62" s="31">
        <f>VLOOKUP($D62,SKU!$A:$I,3,FALSE)</f>
        <v>10042</v>
      </c>
      <c r="L62" s="31" t="str">
        <f>VLOOKUP($D62,SKU!$A:$I,2,FALSE)</f>
        <v>黄油小熊系列收藏卡第二弹 小熊的观察日记</v>
      </c>
    </row>
    <row r="63" spans="1:12">
      <c r="A63" s="15"/>
      <c r="B63" s="28" t="s">
        <v>426</v>
      </c>
      <c r="C63" s="23" t="s">
        <v>65</v>
      </c>
      <c r="D63" s="29" t="s">
        <v>296</v>
      </c>
      <c r="E63" s="30">
        <f>SUMIFS(Xuất出库!D:D,Xuất出库!G:G,B63,Xuất出库!C:C,D63)</f>
        <v>100</v>
      </c>
      <c r="F63" s="31">
        <f>SUMIFS(Xuất出库!E:E,Xuất出库!G:G,B63,Xuất出库!C:C,D63)+SUMIFS(Xuất出库!F:F,Xuất出库!G:G,B63,Xuất出库!C:C,D63)</f>
        <v>100</v>
      </c>
      <c r="G63" s="29">
        <v>149</v>
      </c>
      <c r="H63" s="31">
        <f>SUMIFS(Hoàn回库!E:E,Hoàn回库!G:G,B63,Hoàn回库!C:C,D63)+SUMIFS(Hoàn回库!F:F,Hoàn回库!G:G,B63,Hoàn回库!C:C,D63)</f>
        <v>0</v>
      </c>
      <c r="I63" s="31">
        <f>SUMIFS('Điều hàng调货'!E:E,'Điều hàng调货'!A:A,K63,'Điều hàng调货'!G:G,B63)*-1+SUMIFS('Điều hàng调货'!E:E,'Điều hàng调货'!A:A,K63,'Điều hàng调货'!H:H,B63)+SUMIFS('Điều hàng调货'!F:F,'Điều hàng调货'!A:A,K63,'Điều hàng调货'!G:G,B63)*-1+SUMIFS('Điều hàng调货'!F:F,'Điều hàng调货'!A:A,K63,'Điều hàng调货'!H:H,B63)</f>
        <v>49</v>
      </c>
      <c r="J63" s="31">
        <f t="shared" si="2"/>
        <v>0</v>
      </c>
      <c r="K63" s="31">
        <f>VLOOKUP($D63,SKU!$A:$I,3,FALSE)</f>
        <v>10077</v>
      </c>
      <c r="L63" s="31" t="str">
        <f>VLOOKUP($D63,SKU!$A:$I,2,FALSE)</f>
        <v>多多文创原神第二弹卡砖—神眸再现</v>
      </c>
    </row>
    <row r="64" spans="1:12">
      <c r="A64" s="15"/>
      <c r="B64" s="28" t="s">
        <v>426</v>
      </c>
      <c r="C64" s="23" t="s">
        <v>65</v>
      </c>
      <c r="D64" s="29" t="s">
        <v>310</v>
      </c>
      <c r="E64" s="30">
        <f>SUMIFS(Xuất出库!D:D,Xuất出库!G:G,B64,Xuất出库!C:C,D64)</f>
        <v>30</v>
      </c>
      <c r="F64" s="31">
        <f>SUMIFS(Xuất出库!E:E,Xuất出库!G:G,B64,Xuất出库!C:C,D64)+SUMIFS(Xuất出库!F:F,Xuất出库!G:G,B64,Xuất出库!C:C,D64)</f>
        <v>179</v>
      </c>
      <c r="G64" s="29">
        <v>68</v>
      </c>
      <c r="H64" s="31">
        <f>SUMIFS(Hoàn回库!E:E,Hoàn回库!G:G,B64,Hoàn回库!C:C,D64)+SUMIFS(Hoàn回库!F:F,Hoàn回库!G:G,B64,Hoàn回库!C:C,D64)</f>
        <v>0</v>
      </c>
      <c r="I64" s="31">
        <f>SUMIFS('Điều hàng调货'!E:E,'Điều hàng调货'!A:A,K64,'Điều hàng调货'!G:G,B64)*-1+SUMIFS('Điều hàng调货'!E:E,'Điều hàng调货'!A:A,K64,'Điều hàng调货'!H:H,B64)+SUMIFS('Điều hàng调货'!F:F,'Điều hàng调货'!A:A,K64,'Điều hàng调货'!G:G,B64)*-1+SUMIFS('Điều hàng调货'!F:F,'Điều hàng调货'!A:A,K64,'Điều hàng调货'!H:H,B64)</f>
        <v>0</v>
      </c>
      <c r="J64" s="31">
        <f t="shared" si="2"/>
        <v>111</v>
      </c>
      <c r="K64" s="31">
        <f>VLOOKUP($D64,SKU!$A:$I,3,FALSE)</f>
        <v>10082</v>
      </c>
      <c r="L64" s="31" t="str">
        <f>VLOOKUP($D64,SKU!$A:$I,2,FALSE)</f>
        <v>吾羽文创-全亚克力正方形原神色纸</v>
      </c>
    </row>
    <row r="65" spans="1:12">
      <c r="A65" s="15"/>
      <c r="B65" s="28" t="s">
        <v>426</v>
      </c>
      <c r="C65" s="23" t="s">
        <v>65</v>
      </c>
      <c r="D65" s="29" t="s">
        <v>299</v>
      </c>
      <c r="E65" s="30">
        <f>SUMIFS(Xuất出库!D:D,Xuất出库!G:G,B65,Xuất出库!C:C,D65)</f>
        <v>80</v>
      </c>
      <c r="F65" s="31">
        <f>SUMIFS(Xuất出库!E:E,Xuất出库!G:G,B65,Xuất出库!C:C,D65)+SUMIFS(Xuất出库!F:F,Xuất出库!G:G,B65,Xuất出库!C:C,D65)</f>
        <v>80</v>
      </c>
      <c r="G65" s="29">
        <v>42</v>
      </c>
      <c r="H65" s="31">
        <f>SUMIFS(Hoàn回库!E:E,Hoàn回库!G:G,B65,Hoàn回库!C:C,D65)+SUMIFS(Hoàn回库!F:F,Hoàn回库!G:G,B65,Hoàn回库!C:C,D65)</f>
        <v>0</v>
      </c>
      <c r="I65" s="31">
        <f>SUMIFS('Điều hàng调货'!E:E,'Điều hàng调货'!A:A,K65,'Điều hàng调货'!G:G,B65)*-1+SUMIFS('Điều hàng调货'!E:E,'Điều hàng调货'!A:A,K65,'Điều hàng调货'!H:H,B65)+SUMIFS('Điều hàng调货'!F:F,'Điều hàng调货'!A:A,K65,'Điều hàng调货'!G:G,B65)*-1+SUMIFS('Điều hàng调货'!F:F,'Điều hàng调货'!A:A,K65,'Điều hàng调货'!H:H,B65)</f>
        <v>0</v>
      </c>
      <c r="J65" s="31">
        <f t="shared" si="2"/>
        <v>38</v>
      </c>
      <c r="K65" s="31">
        <f>VLOOKUP($D65,SKU!$A:$I,3,FALSE)</f>
        <v>10078</v>
      </c>
      <c r="L65" s="31" t="str">
        <f>VLOOKUP($D65,SKU!$A:$I,2,FALSE)</f>
        <v>摩斯社×名侦探柯南-摩斯密码系列评级邮票</v>
      </c>
    </row>
    <row r="66" spans="1:12">
      <c r="A66" s="15"/>
      <c r="B66" s="28" t="s">
        <v>426</v>
      </c>
      <c r="C66" s="23" t="s">
        <v>65</v>
      </c>
      <c r="D66" s="6" t="s">
        <v>384</v>
      </c>
      <c r="E66" s="8">
        <f>SUMIFS(Xuất出库!D:D,Xuất出库!G:G,B66,Xuất出库!C:C,D66)</f>
        <v>1</v>
      </c>
      <c r="F66" s="9">
        <f>SUMIFS(Xuất出库!E:E,Xuất出库!G:G,B66,Xuất出库!C:C,D66)+SUMIFS(Xuất出库!F:F,Xuất出库!G:G,B66,Xuất出库!C:C,D66)</f>
        <v>20</v>
      </c>
      <c r="G66" s="6">
        <v>5</v>
      </c>
      <c r="H66" s="9">
        <f>SUMIFS(Hoàn回库!E:E,Hoàn回库!G:G,B66,Hoàn回库!C:C,D66)+SUMIFS(Hoàn回库!F:F,Hoàn回库!G:G,B66,Hoàn回库!C:C,D66)</f>
        <v>0</v>
      </c>
      <c r="I66" s="9">
        <f>SUMIFS('Điều hàng调货'!E:E,'Điều hàng调货'!A:A,K66,'Điều hàng调货'!G:G,B66)*-1+SUMIFS('Điều hàng调货'!E:E,'Điều hàng调货'!A:A,K66,'Điều hàng调货'!H:H,B66)+SUMIFS('Điều hàng调货'!F:F,'Điều hàng调货'!A:A,K66,'Điều hàng调货'!G:G,B66)*-1+SUMIFS('Điều hàng调货'!F:F,'Điều hàng调货'!A:A,K66,'Điều hàng调货'!H:H,B66)</f>
        <v>0</v>
      </c>
      <c r="J66" s="9">
        <f t="shared" si="2"/>
        <v>15</v>
      </c>
      <c r="K66" s="9">
        <f>VLOOKUP($D66,SKU!$A:$I,3,FALSE)</f>
        <v>10111</v>
      </c>
      <c r="L66" s="9">
        <f>VLOOKUP($D66,SKU!$A:$I,2,FALSE)</f>
        <v>0</v>
      </c>
    </row>
    <row r="67" spans="1:12">
      <c r="A67" s="15"/>
      <c r="B67" s="28" t="s">
        <v>426</v>
      </c>
      <c r="C67" s="23" t="s">
        <v>65</v>
      </c>
      <c r="D67" s="32" t="s">
        <v>364</v>
      </c>
      <c r="E67" s="8">
        <f>SUMIFS(Xuất出库!D:D,Xuất出库!G:G,B67,Xuất出库!C:C,D67)</f>
        <v>32</v>
      </c>
      <c r="F67" s="9">
        <f>SUMIFS(Xuất出库!E:E,Xuất出库!G:G,B67,Xuất出库!C:C,D67)+SUMIFS(Xuất出库!F:F,Xuất出库!G:G,B67,Xuất出库!C:C,D67)</f>
        <v>416</v>
      </c>
      <c r="G67" s="6">
        <v>381</v>
      </c>
      <c r="H67" s="9">
        <f>SUMIFS(Hoàn回库!E:E,Hoàn回库!G:G,B67,Hoàn回库!C:C,D67)+SUMIFS(Hoàn回库!F:F,Hoàn回库!G:G,B67,Hoàn回库!C:C,D67)</f>
        <v>0</v>
      </c>
      <c r="I67" s="9">
        <f>SUMIFS('Điều hàng调货'!E:E,'Điều hàng调货'!A:A,K67,'Điều hàng调货'!G:G,B67)*-1+SUMIFS('Điều hàng调货'!E:E,'Điều hàng调货'!A:A,K67,'Điều hàng调货'!H:H,B67)+SUMIFS('Điều hàng调货'!F:F,'Điều hàng调货'!A:A,K67,'Điều hàng调货'!G:G,B67)*-1+SUMIFS('Điều hàng调货'!F:F,'Điều hàng调货'!A:A,K67,'Điều hàng调货'!H:H,B67)</f>
        <v>65</v>
      </c>
      <c r="J67" s="9">
        <f t="shared" si="2"/>
        <v>100</v>
      </c>
      <c r="K67" s="9">
        <f>VLOOKUP($D67,SKU!$A:$I,3,FALSE)</f>
        <v>10102</v>
      </c>
      <c r="L67" s="9" t="str">
        <f>VLOOKUP($D67,SKU!$A:$I,2,FALSE)</f>
        <v>麒麟文创航海王第一弹-仙道天下</v>
      </c>
    </row>
    <row r="68" spans="1:12">
      <c r="A68" s="15"/>
      <c r="B68" s="28" t="s">
        <v>426</v>
      </c>
      <c r="C68" s="33" t="s">
        <v>65</v>
      </c>
      <c r="D68" s="34" t="s">
        <v>274</v>
      </c>
      <c r="E68" s="35">
        <f>SUMIFS(Xuất出库!D:D,Xuất出库!G:G,B68,Xuất出库!C:C,D68)</f>
        <v>30</v>
      </c>
      <c r="F68" s="9">
        <f>SUMIFS(Xuất出库!E:E,Xuất出库!G:G,B68,Xuất出库!C:C,D68)+SUMIFS(Xuất出库!F:F,Xuất出库!G:G,B68,Xuất出库!C:C,D68)</f>
        <v>30</v>
      </c>
      <c r="G68" s="6">
        <v>3</v>
      </c>
      <c r="H68" s="9">
        <f>SUMIFS(Hoàn回库!E:E,Hoàn回库!G:G,B68,Hoàn回库!C:C,D68)+SUMIFS(Hoàn回库!F:F,Hoàn回库!G:G,B68,Hoàn回库!C:C,D68)</f>
        <v>0</v>
      </c>
      <c r="I68" s="9">
        <f>SUMIFS('Điều hàng调货'!E:E,'Điều hàng调货'!A:A,K68,'Điều hàng调货'!G:G,B68)*-1+SUMIFS('Điều hàng调货'!E:E,'Điều hàng调货'!A:A,K68,'Điều hàng调货'!H:H,B68)+SUMIFS('Điều hàng调货'!F:F,'Điều hàng调货'!A:A,K68,'Điều hàng调货'!G:G,B68)*-1+SUMIFS('Điều hàng调货'!F:F,'Điều hàng调货'!A:A,K68,'Điều hàng调货'!H:H,B68)</f>
        <v>0</v>
      </c>
      <c r="J68" s="9">
        <f t="shared" si="2"/>
        <v>27</v>
      </c>
      <c r="K68" s="9">
        <f>VLOOKUP($D68,SKU!$A:$I,3,FALSE)</f>
        <v>10069</v>
      </c>
      <c r="L68" s="9" t="str">
        <f>VLOOKUP($D68,SKU!$A:$I,2,FALSE)</f>
        <v>【艺画文创】鸣潮撕撕乐</v>
      </c>
    </row>
    <row r="69" spans="1:12">
      <c r="A69" s="15"/>
      <c r="B69" s="28" t="s">
        <v>426</v>
      </c>
      <c r="C69" s="23" t="s">
        <v>65</v>
      </c>
      <c r="D69" s="23" t="s">
        <v>371</v>
      </c>
      <c r="E69" s="8">
        <f>SUMIFS(Xuất出库!D:D,Xuất出库!G:G,B69,Xuất出库!C:C,D69)</f>
        <v>5</v>
      </c>
      <c r="F69" s="9">
        <f>SUMIFS(Xuất出库!E:E,Xuất出库!G:G,B69,Xuất出库!C:C,D69)+SUMIFS(Xuất出库!F:F,Xuất出库!G:G,B69,Xuất出库!C:C,D69)</f>
        <v>25</v>
      </c>
      <c r="G69" s="6">
        <v>9</v>
      </c>
      <c r="H69" s="9">
        <f>SUMIFS(Hoàn回库!E:E,Hoàn回库!G:G,B69,Hoàn回库!C:C,D69)+SUMIFS(Hoàn回库!F:F,Hoàn回库!G:G,B69,Hoàn回库!C:C,D69)</f>
        <v>0</v>
      </c>
      <c r="I69" s="9">
        <f>SUMIFS('Điều hàng调货'!E:E,'Điều hàng调货'!A:A,K69,'Điều hàng调货'!G:G,B69)*-1+SUMIFS('Điều hàng调货'!E:E,'Điều hàng调货'!A:A,K69,'Điều hàng调货'!H:H,B69)+SUMIFS('Điều hàng调货'!F:F,'Điều hàng调货'!A:A,K69,'Điều hàng调货'!G:G,B69)*-1+SUMIFS('Điều hàng调货'!F:F,'Điều hàng调货'!A:A,K69,'Điều hàng调货'!H:H,B69)</f>
        <v>-16</v>
      </c>
      <c r="J69" s="9">
        <f t="shared" si="2"/>
        <v>0</v>
      </c>
      <c r="K69" s="9">
        <f>VLOOKUP($D69,SKU!$A:$I,3,FALSE)</f>
        <v>10105</v>
      </c>
      <c r="L69" s="9" t="str">
        <f>VLOOKUP($D69,SKU!$A:$I,2,FALSE)</f>
        <v>木木卡舍·鬼灭之刃无限城篇</v>
      </c>
    </row>
    <row r="70" spans="1:12">
      <c r="A70" s="15"/>
      <c r="B70" s="28" t="s">
        <v>426</v>
      </c>
      <c r="C70" s="23" t="s">
        <v>65</v>
      </c>
      <c r="D70" s="10" t="s">
        <v>266</v>
      </c>
      <c r="E70" s="8">
        <f>SUMIFS(Xuất出库!D:D,Xuất出库!G:G,B70,Xuất出库!C:C,D70)</f>
        <v>0</v>
      </c>
      <c r="F70" s="9">
        <f>SUMIFS(Xuất出库!E:E,Xuất出库!G:G,B70,Xuất出库!C:C,D70)+SUMIFS(Xuất出库!F:F,Xuất出库!G:G,B70,Xuất出库!C:C,D70)</f>
        <v>0</v>
      </c>
      <c r="G70" s="6">
        <v>31</v>
      </c>
      <c r="H70" s="9">
        <f>SUMIFS(Hoàn回库!E:E,Hoàn回库!G:G,B70,Hoàn回库!C:C,D70)+SUMIFS(Hoàn回库!F:F,Hoàn回库!G:G,B70,Hoàn回库!C:C,D70)</f>
        <v>0</v>
      </c>
      <c r="I70" s="9">
        <f>SUMIFS('Điều hàng调货'!E:E,'Điều hàng调货'!A:A,K70,'Điều hàng调货'!G:G,B70)*-1+SUMIFS('Điều hàng调货'!E:E,'Điều hàng调货'!A:A,K70,'Điều hàng调货'!H:H,B70)+SUMIFS('Điều hàng调货'!F:F,'Điều hàng调货'!A:A,K70,'Điều hàng调货'!G:G,B70)*-1+SUMIFS('Điều hàng调货'!F:F,'Điều hàng调货'!A:A,K70,'Điều hàng调货'!H:H,B70)</f>
        <v>72</v>
      </c>
      <c r="J70" s="9">
        <f t="shared" si="2"/>
        <v>41</v>
      </c>
      <c r="K70" s="9">
        <f>VLOOKUP($D70,SKU!$A:$I,3,FALSE)</f>
        <v>10066</v>
      </c>
      <c r="L70" s="9" t="str">
        <f>VLOOKUP($D70,SKU!$A:$I,2,FALSE)</f>
        <v>卡游柯南揭秘包第2弹</v>
      </c>
    </row>
    <row r="71" spans="1:12">
      <c r="A71" s="15"/>
      <c r="B71" s="28" t="s">
        <v>426</v>
      </c>
      <c r="C71" s="23" t="s">
        <v>65</v>
      </c>
      <c r="D71" s="6"/>
      <c r="E71" s="8">
        <f>SUMIFS(Xuất出库!D:D,Xuất出库!G:G,B71,Xuất出库!C:C,D71)</f>
        <v>0</v>
      </c>
      <c r="F71" s="9">
        <f>SUMIFS(Xuất出库!E:E,Xuất出库!G:G,B71,Xuất出库!C:C,D71)+SUMIFS(Xuất出库!F:F,Xuất出库!G:G,B71,Xuất出库!C:C,D71)</f>
        <v>0</v>
      </c>
      <c r="G71" s="6"/>
      <c r="H71" s="9">
        <f>SUMIFS(Hoàn回库!E:E,Hoàn回库!G:G,B71,Hoàn回库!C:C,D71)+SUMIFS(Hoàn回库!F:F,Hoàn回库!G:G,B71,Hoàn回库!C:C,D71)</f>
        <v>0</v>
      </c>
      <c r="I71" s="9">
        <f>SUMIFS('Điều hàng调货'!E:E,'Điều hàng调货'!A:A,K71,'Điều hàng调货'!G:G,B71)*-1+SUMIFS('Điều hàng调货'!E:E,'Điều hàng调货'!A:A,K71,'Điều hàng调货'!H:H,B71)+SUMIFS('Điều hàng调货'!F:F,'Điều hàng调货'!A:A,K71,'Điều hàng调货'!G:G,B71)*-1+SUMIFS('Điều hàng调货'!F:F,'Điều hàng调货'!A:A,K71,'Điều hàng调货'!H:H,B71)</f>
        <v>0</v>
      </c>
      <c r="J71" s="9">
        <f t="shared" si="2"/>
        <v>0</v>
      </c>
      <c r="K71" s="9" t="e">
        <f>VLOOKUP($D71,SKU!$A:$I,3,FALSE)</f>
        <v>#N/A</v>
      </c>
      <c r="L71" s="9" t="e">
        <f>VLOOKUP($D71,SKU!$A:$I,2,FALSE)</f>
        <v>#N/A</v>
      </c>
    </row>
    <row r="72" spans="1:12">
      <c r="A72" s="15"/>
      <c r="B72" s="28" t="s">
        <v>426</v>
      </c>
      <c r="C72" s="23" t="s">
        <v>65</v>
      </c>
      <c r="D72" s="34"/>
      <c r="E72" s="30">
        <f>SUMIFS(Xuất出库!D:D,Xuất出库!G:G,B72,Xuất出库!C:C,D72)</f>
        <v>0</v>
      </c>
      <c r="F72" s="31">
        <f>SUMIFS(Xuất出库!E:E,Xuất出库!G:G,B72,Xuất出库!C:C,D72)+SUMIFS(Xuất出库!F:F,Xuất出库!G:G,B72,Xuất出库!C:C,D72)</f>
        <v>0</v>
      </c>
      <c r="G72" s="29"/>
      <c r="H72" s="31">
        <f>SUMIFS(Hoàn回库!E:E,Hoàn回库!G:G,B72,Hoàn回库!C:C,D72)+SUMIFS(Hoàn回库!F:F,Hoàn回库!G:G,B72,Hoàn回库!C:C,D72)</f>
        <v>0</v>
      </c>
      <c r="I72" s="31">
        <f>SUMIFS('Điều hàng调货'!E:E,'Điều hàng调货'!A:A,K72,'Điều hàng调货'!G:G,B72)*-1+SUMIFS('Điều hàng调货'!E:E,'Điều hàng调货'!A:A,K72,'Điều hàng调货'!H:H,B72)+SUMIFS('Điều hàng调货'!F:F,'Điều hàng调货'!A:A,K72,'Điều hàng调货'!G:G,B72)*-1+SUMIFS('Điều hàng调货'!F:F,'Điều hàng调货'!A:A,K72,'Điều hàng调货'!H:H,B72)</f>
        <v>0</v>
      </c>
      <c r="J72" s="31">
        <f t="shared" si="2"/>
        <v>0</v>
      </c>
      <c r="K72" s="31" t="e">
        <f>VLOOKUP($D72,SKU!$A:$I,3,FALSE)</f>
        <v>#N/A</v>
      </c>
      <c r="L72" s="31" t="e">
        <f>VLOOKUP($D72,SKU!$A:$I,2,FALSE)</f>
        <v>#N/A</v>
      </c>
    </row>
    <row r="73" ht="15.75" spans="1:12">
      <c r="A73" s="6"/>
      <c r="B73" s="36" t="s">
        <v>426</v>
      </c>
      <c r="C73" s="37" t="s">
        <v>65</v>
      </c>
      <c r="D73" s="37"/>
      <c r="E73" s="38">
        <f>SUMIFS(Xuất出库!D:D,Xuất出库!G:G,B73,Xuất出库!C:C,D73)</f>
        <v>0</v>
      </c>
      <c r="F73" s="39">
        <f>SUMIFS(Xuất出库!E:E,Xuất出库!G:G,B73,Xuất出库!C:C,D73)+SUMIFS(Xuất出库!F:F,Xuất出库!G:G,B73,Xuất出库!C:C,D73)</f>
        <v>0</v>
      </c>
      <c r="G73" s="37"/>
      <c r="H73" s="39">
        <f>SUMIFS(Hoàn回库!E:E,Hoàn回库!G:G,B73,Hoàn回库!C:C,D73)+SUMIFS(Hoàn回库!F:F,Hoàn回库!G:G,B73,Hoàn回库!C:C,D73)</f>
        <v>0</v>
      </c>
      <c r="I73" s="39">
        <f>SUMIFS('Điều hàng调货'!E:E,'Điều hàng调货'!A:A,K73,'Điều hàng调货'!G:G,B73)*-1+SUMIFS('Điều hàng调货'!E:E,'Điều hàng调货'!A:A,K73,'Điều hàng调货'!H:H,B73)+SUMIFS('Điều hàng调货'!F:F,'Điều hàng调货'!A:A,K73,'Điều hàng调货'!G:G,B73)*-1+SUMIFS('Điều hàng调货'!F:F,'Điều hàng调货'!A:A,K73,'Điều hàng调货'!H:H,B73)</f>
        <v>0</v>
      </c>
      <c r="J73" s="39">
        <f t="shared" ref="J73:J83" si="3">F73-G73-H73+I73</f>
        <v>0</v>
      </c>
      <c r="K73" s="39" t="e">
        <f>VLOOKUP($D73,SKU!$A:$I,3,FALSE)</f>
        <v>#N/A</v>
      </c>
      <c r="L73" s="39" t="e">
        <f>VLOOKUP($D73,SKU!$A:$I,2,FALSE)</f>
        <v>#N/A</v>
      </c>
    </row>
    <row r="74" ht="15.75" spans="1:12">
      <c r="A74" s="6"/>
      <c r="B74" s="40" t="s">
        <v>432</v>
      </c>
      <c r="C74" s="6" t="s">
        <v>65</v>
      </c>
      <c r="D74" s="6" t="s">
        <v>87</v>
      </c>
      <c r="E74" s="24">
        <f>SUMIFS(Xuất出库!D:D,Xuất出库!G:G,B74,Xuất出库!C:C,D74)</f>
        <v>30</v>
      </c>
      <c r="F74" s="25">
        <f>SUMIFS(Xuất出库!E:E,Xuất出库!G:G,B74,Xuất出库!C:C,D74)+SUMIFS(Xuất出库!F:F,Xuất出库!G:G,B74,Xuất出库!C:C,D74)</f>
        <v>360</v>
      </c>
      <c r="G74" s="23">
        <f>26+48+60+7+1+3+9+78+92</f>
        <v>324</v>
      </c>
      <c r="H74" s="25">
        <f>SUMIFS(Hoàn回库!E:E,Hoàn回库!G:G,B74,Hoàn回库!C:C,D74)+SUMIFS(Hoàn回库!F:F,Hoàn回库!G:G,B74,Hoàn回库!C:C,D74)</f>
        <v>0</v>
      </c>
      <c r="I74" s="25">
        <f>SUMIFS('Điều hàng调货'!E:E,'Điều hàng调货'!A:A,K74,'Điều hàng调货'!G:G,B74)*-1+SUMIFS('Điều hàng调货'!E:E,'Điều hàng调货'!A:A,K74,'Điều hàng调货'!H:H,B74)+SUMIFS('Điều hàng调货'!F:F,'Điều hàng调货'!A:A,K74,'Điều hàng调货'!G:G,B74)*-1+SUMIFS('Điều hàng调货'!F:F,'Điều hàng调货'!A:A,K74,'Điều hàng调货'!H:H,B74)</f>
        <v>0</v>
      </c>
      <c r="J74" s="25">
        <f t="shared" si="3"/>
        <v>36</v>
      </c>
      <c r="K74" s="25">
        <f>VLOOKUP($D74,SKU!$A:$I,3,FALSE)</f>
        <v>10015</v>
      </c>
      <c r="L74" s="25" t="str">
        <f>VLOOKUP($D74,SKU!$A:$I,2,FALSE)</f>
        <v>梦绘文创-宫崎骏第二弹</v>
      </c>
    </row>
    <row r="75" spans="1:12">
      <c r="A75" s="6"/>
      <c r="B75" s="41" t="s">
        <v>432</v>
      </c>
      <c r="C75" s="6" t="s">
        <v>65</v>
      </c>
      <c r="D75" s="6" t="s">
        <v>71</v>
      </c>
      <c r="E75" s="8">
        <f>SUMIFS(Xuất出库!D:D,Xuất出库!G:G,B75,Xuất出库!C:C,D75)</f>
        <v>42</v>
      </c>
      <c r="F75" s="9">
        <f>SUMIFS(Xuất出库!E:E,Xuất出库!G:G,B75,Xuất出库!C:C,D75)+SUMIFS(Xuất出库!F:F,Xuất出库!G:G,B75,Xuất出库!C:C,D75)</f>
        <v>546</v>
      </c>
      <c r="G75" s="6">
        <f>8+62+37+49+24+55+14+15+20+13+65+15+3</f>
        <v>380</v>
      </c>
      <c r="H75" s="9">
        <f>SUMIFS(Hoàn回库!E:E,Hoàn回库!G:G,B75,Hoàn回库!C:C,D75)+SUMIFS(Hoàn回库!F:F,Hoàn回库!G:G,B75,Hoàn回库!C:C,D75)</f>
        <v>146</v>
      </c>
      <c r="I75" s="9">
        <f>SUMIFS('Điều hàng调货'!E:E,'Điều hàng调货'!A:A,K75,'Điều hàng调货'!G:G,B75)*-1+SUMIFS('Điều hàng调货'!E:E,'Điều hàng调货'!A:A,K75,'Điều hàng调货'!H:H,B75)+SUMIFS('Điều hàng调货'!F:F,'Điều hàng调货'!A:A,K75,'Điều hàng调货'!G:G,B75)*-1+SUMIFS('Điều hàng调货'!F:F,'Điều hàng调货'!A:A,K75,'Điều hàng调货'!H:H,B75)</f>
        <v>0</v>
      </c>
      <c r="J75" s="9">
        <f t="shared" si="3"/>
        <v>20</v>
      </c>
      <c r="K75" s="9">
        <f>VLOOKUP($D75,SKU!$A:$I,3,FALSE)</f>
        <v>10011</v>
      </c>
      <c r="L75" s="9" t="str">
        <f>VLOOKUP($D75,SKU!$A:$I,2,FALSE)</f>
        <v>灿卡文创宫崎骏第二弹《花涧物语》</v>
      </c>
    </row>
    <row r="76" spans="1:12">
      <c r="A76" s="6"/>
      <c r="B76" s="41" t="s">
        <v>432</v>
      </c>
      <c r="C76" s="6" t="s">
        <v>65</v>
      </c>
      <c r="D76" s="6" t="s">
        <v>43</v>
      </c>
      <c r="E76" s="8">
        <f>SUMIFS(Xuất出库!D:D,Xuất出库!G:G,B76,Xuất出库!C:C,D76)</f>
        <v>34</v>
      </c>
      <c r="F76" s="9">
        <f>SUMIFS(Xuất出库!E:E,Xuất出库!G:G,B76,Xuất出库!C:C,D76)+SUMIFS(Xuất出库!F:F,Xuất出库!G:G,B76,Xuất出库!C:C,D76)</f>
        <v>596</v>
      </c>
      <c r="G76" s="6">
        <f>3+34+44+71+59+13+9+3+32+28+13+75+85</f>
        <v>469</v>
      </c>
      <c r="H76" s="9">
        <f>SUMIFS(Hoàn回库!E:E,Hoàn回库!G:G,B76,Hoàn回库!C:C,D76)+SUMIFS(Hoàn回库!F:F,Hoàn回库!G:G,B76,Hoàn回库!C:C,D76)</f>
        <v>26</v>
      </c>
      <c r="I76" s="9">
        <f>SUMIFS('Điều hàng调货'!E:E,'Điều hàng调货'!A:A,K76,'Điều hàng调货'!G:G,B76)*-1+SUMIFS('Điều hàng调货'!E:E,'Điều hàng调货'!A:A,K76,'Điều hàng调货'!H:H,B76)+SUMIFS('Điều hàng调货'!F:F,'Điều hàng调货'!A:A,K76,'Điều hàng调货'!G:G,B76)*-1+SUMIFS('Điều hàng调货'!F:F,'Điều hàng调货'!A:A,K76,'Điều hàng调货'!H:H,B76)</f>
        <v>0</v>
      </c>
      <c r="J76" s="9">
        <f t="shared" si="3"/>
        <v>101</v>
      </c>
      <c r="K76" s="9">
        <f>VLOOKUP($D76,SKU!$A:$I,3,FALSE)</f>
        <v>10006</v>
      </c>
      <c r="L76" s="9" t="str">
        <f>VLOOKUP($D76,SKU!$A:$I,2,FALSE)</f>
        <v>云映文化「云之境の夏」第二弹·宫崎骏珍藏卡牌</v>
      </c>
    </row>
    <row r="77" spans="1:12">
      <c r="A77" s="6"/>
      <c r="B77" s="41" t="s">
        <v>432</v>
      </c>
      <c r="C77" s="6" t="s">
        <v>65</v>
      </c>
      <c r="D77" s="6" t="s">
        <v>49</v>
      </c>
      <c r="E77" s="8">
        <f>SUMIFS(Xuất出库!D:D,Xuất出库!G:G,B77,Xuất出库!C:C,D77)</f>
        <v>39</v>
      </c>
      <c r="F77" s="9">
        <f>SUMIFS(Xuất出库!E:E,Xuất出库!G:G,B77,Xuất出库!C:C,D77)+SUMIFS(Xuất出库!F:F,Xuất出库!G:G,B77,Xuất出库!C:C,D77)</f>
        <v>603</v>
      </c>
      <c r="G77" s="6">
        <v>437</v>
      </c>
      <c r="H77" s="9">
        <f>SUMIFS(Hoàn回库!E:E,Hoàn回库!G:G,B77,Hoàn回库!C:C,D77)+SUMIFS(Hoàn回库!F:F,Hoàn回库!G:G,B77,Hoàn回库!C:C,D77)</f>
        <v>166</v>
      </c>
      <c r="I77" s="9">
        <f>SUMIFS('Điều hàng调货'!E:E,'Điều hàng调货'!A:A,K77,'Điều hàng调货'!G:G,B77)*-1+SUMIFS('Điều hàng调货'!E:E,'Điều hàng调货'!A:A,K77,'Điều hàng调货'!H:H,B77)+SUMIFS('Điều hàng调货'!F:F,'Điều hàng调货'!A:A,K77,'Điều hàng调货'!G:G,B77)*-1+SUMIFS('Điều hàng调货'!F:F,'Điều hàng调货'!A:A,K77,'Điều hàng调货'!H:H,B77)</f>
        <v>0</v>
      </c>
      <c r="J77" s="9">
        <f t="shared" si="3"/>
        <v>0</v>
      </c>
      <c r="K77" s="9">
        <f>VLOOKUP($D77,SKU!$A:$I,3,FALSE)</f>
        <v>10007</v>
      </c>
      <c r="L77" s="9" t="str">
        <f>VLOOKUP($D77,SKU!$A:$I,2,FALSE)</f>
        <v>kawaii宫崎骏梦幻之国</v>
      </c>
    </row>
    <row r="78" spans="1:12">
      <c r="A78" s="6"/>
      <c r="B78" s="41" t="s">
        <v>432</v>
      </c>
      <c r="C78" s="6" t="s">
        <v>65</v>
      </c>
      <c r="D78" s="6" t="s">
        <v>12</v>
      </c>
      <c r="E78" s="8">
        <f>SUMIFS(Xuất出库!D:D,Xuất出库!G:G,B78,Xuất出库!C:C,D78)</f>
        <v>0</v>
      </c>
      <c r="F78" s="9">
        <f>SUMIFS(Xuất出库!E:E,Xuất出库!G:G,B78,Xuất出库!C:C,D78)+SUMIFS(Xuất出库!F:F,Xuất出库!G:G,B78,Xuất出库!C:C,D78)</f>
        <v>3</v>
      </c>
      <c r="G78" s="6">
        <v>3</v>
      </c>
      <c r="H78" s="9">
        <f>SUMIFS(Hoàn回库!E:E,Hoàn回库!G:G,B78,Hoàn回库!C:C,D78)+SUMIFS(Hoàn回库!F:F,Hoàn回库!G:G,B78,Hoàn回库!C:C,D78)</f>
        <v>0</v>
      </c>
      <c r="I78" s="9">
        <f>SUMIFS('Điều hàng调货'!E:E,'Điều hàng调货'!A:A,K78,'Điều hàng调货'!G:G,B78)*-1+SUMIFS('Điều hàng调货'!E:E,'Điều hàng调货'!A:A,K78,'Điều hàng调货'!H:H,B78)+SUMIFS('Điều hàng调货'!F:F,'Điều hàng调货'!A:A,K78,'Điều hàng调货'!G:G,B78)*-1+SUMIFS('Điều hàng调货'!F:F,'Điều hàng调货'!A:A,K78,'Điều hàng调货'!H:H,B78)</f>
        <v>0</v>
      </c>
      <c r="J78" s="9">
        <f t="shared" si="3"/>
        <v>0</v>
      </c>
      <c r="K78" s="9">
        <f>VLOOKUP($D78,SKU!$A:$I,3,FALSE)</f>
        <v>10001</v>
      </c>
      <c r="L78" s="9" t="str">
        <f>VLOOKUP($D78,SKU!$A:$I,2,FALSE)</f>
        <v>《东株社》宝可梦水晶砖</v>
      </c>
    </row>
    <row r="79" spans="1:12">
      <c r="A79" s="6"/>
      <c r="B79" s="41" t="s">
        <v>432</v>
      </c>
      <c r="C79" s="6" t="s">
        <v>65</v>
      </c>
      <c r="D79" s="6" t="s">
        <v>131</v>
      </c>
      <c r="E79" s="8">
        <f>SUMIFS(Xuất出库!D:D,Xuất出库!G:G,B79,Xuất出库!C:C,D79)</f>
        <v>100</v>
      </c>
      <c r="F79" s="9">
        <f>SUMIFS(Xuất出库!E:E,Xuất出库!G:G,B79,Xuất出库!C:C,D79)+SUMIFS(Xuất出库!F:F,Xuất出库!G:G,B79,Xuất出库!C:C,D79)</f>
        <v>100</v>
      </c>
      <c r="G79" s="6">
        <f>10+30</f>
        <v>40</v>
      </c>
      <c r="H79" s="9">
        <f>SUMIFS(Hoàn回库!E:E,Hoàn回库!G:G,B79,Hoàn回库!C:C,D79)+SUMIFS(Hoàn回库!F:F,Hoàn回库!G:G,B79,Hoàn回库!C:C,D79)</f>
        <v>20</v>
      </c>
      <c r="I79" s="9">
        <f>SUMIFS('Điều hàng调货'!E:E,'Điều hàng调货'!A:A,K79,'Điều hàng调货'!G:G,B79)*-1+SUMIFS('Điều hàng调货'!E:E,'Điều hàng调货'!A:A,K79,'Điều hàng调货'!H:H,B79)+SUMIFS('Điều hàng调货'!F:F,'Điều hàng调货'!A:A,K79,'Điều hàng调货'!G:G,B79)*-1+SUMIFS('Điều hàng调货'!F:F,'Điều hàng调货'!A:A,K79,'Điều hàng调货'!H:H,B79)</f>
        <v>-10</v>
      </c>
      <c r="J79" s="9">
        <f t="shared" si="3"/>
        <v>30</v>
      </c>
      <c r="K79" s="9">
        <f>VLOOKUP($D79,SKU!$A:$I,3,FALSE)</f>
        <v>10026</v>
      </c>
      <c r="L79" s="9" t="str">
        <f>VLOOKUP($D79,SKU!$A:$I,2,FALSE)</f>
        <v>星恋文创·恋与深空《晦明交错之间》亚克力相框卡</v>
      </c>
    </row>
    <row r="80" spans="1:12">
      <c r="A80" s="6"/>
      <c r="B80" s="41" t="s">
        <v>432</v>
      </c>
      <c r="C80" s="6" t="s">
        <v>65</v>
      </c>
      <c r="D80" s="6" t="s">
        <v>167</v>
      </c>
      <c r="E80" s="8">
        <f>SUMIFS(Xuất出库!D:D,Xuất出库!G:G,B80,Xuất出库!C:C,D80)</f>
        <v>26</v>
      </c>
      <c r="F80" s="9">
        <f>SUMIFS(Xuất出库!E:E,Xuất出库!G:G,B80,Xuất出库!C:C,D80)+SUMIFS(Xuất出库!F:F,Xuất出库!G:G,B80,Xuất出库!C:C,D80)</f>
        <v>370</v>
      </c>
      <c r="G80" s="6">
        <v>254</v>
      </c>
      <c r="H80" s="9">
        <f>SUMIFS(Hoàn回库!E:E,Hoàn回库!G:G,B80,Hoàn回库!C:C,D80)+SUMIFS(Hoàn回库!F:F,Hoàn回库!G:G,B80,Hoàn回库!C:C,D80)</f>
        <v>0</v>
      </c>
      <c r="I80" s="9">
        <f>SUMIFS('Điều hàng调货'!E:E,'Điều hàng调货'!A:A,K80,'Điều hàng调货'!G:G,B80)*-1+SUMIFS('Điều hàng调货'!E:E,'Điều hàng调货'!A:A,K80,'Điều hàng调货'!H:H,B80)+SUMIFS('Điều hàng调货'!F:F,'Điều hàng调货'!A:A,K80,'Điều hàng调货'!G:G,B80)*-1+SUMIFS('Điều hàng调货'!F:F,'Điều hàng调货'!A:A,K80,'Điều hàng调货'!H:H,B80)</f>
        <v>0</v>
      </c>
      <c r="J80" s="9">
        <f t="shared" si="3"/>
        <v>116</v>
      </c>
      <c r="K80" s="9">
        <f>VLOOKUP($D80,SKU!$A:$I,3,FALSE)</f>
        <v>10035</v>
      </c>
      <c r="L80" s="9" t="str">
        <f>VLOOKUP($D80,SKU!$A:$I,2,FALSE)</f>
        <v>KK CARD × 新海诚系列第一弹</v>
      </c>
    </row>
    <row r="81" spans="1:12">
      <c r="A81" s="6"/>
      <c r="B81" s="41" t="s">
        <v>432</v>
      </c>
      <c r="C81" s="6" t="s">
        <v>65</v>
      </c>
      <c r="D81" s="10" t="s">
        <v>83</v>
      </c>
      <c r="E81" s="8">
        <f>SUMIFS(Xuất出库!D:D,Xuất出库!G:G,B81,Xuất出库!C:C,D81)</f>
        <v>90</v>
      </c>
      <c r="F81" s="9">
        <f>SUMIFS(Xuất出库!E:E,Xuất出库!G:G,B81,Xuất出库!C:C,D81)+SUMIFS(Xuất出库!F:F,Xuất出库!G:G,B81,Xuất出库!C:C,D81)</f>
        <v>270</v>
      </c>
      <c r="G81" s="6">
        <v>247</v>
      </c>
      <c r="H81" s="9">
        <f>SUMIFS(Hoàn回库!E:E,Hoàn回库!G:G,B81,Hoàn回库!C:C,D81)+SUMIFS(Hoàn回库!F:F,Hoàn回库!G:G,B81,Hoàn回库!C:C,D81)</f>
        <v>1</v>
      </c>
      <c r="I81" s="9">
        <f>SUMIFS('Điều hàng调货'!E:E,'Điều hàng调货'!A:A,K81,'Điều hàng调货'!G:G,B81)*-1+SUMIFS('Điều hàng调货'!E:E,'Điều hàng调货'!A:A,K81,'Điều hàng调货'!H:H,B81)+SUMIFS('Điều hàng调货'!F:F,'Điều hàng调货'!A:A,K81,'Điều hàng调货'!G:G,B81)*-1+SUMIFS('Điều hàng调货'!F:F,'Điều hàng调货'!A:A,K81,'Điều hàng调货'!H:H,B81)</f>
        <v>0</v>
      </c>
      <c r="J81" s="9">
        <f t="shared" si="3"/>
        <v>22</v>
      </c>
      <c r="K81" s="9">
        <f>VLOOKUP($D81,SKU!$A:$I,3,FALSE)</f>
        <v>10014</v>
      </c>
      <c r="L81" s="9" t="str">
        <f>VLOOKUP($D81,SKU!$A:$I,2,FALSE)</f>
        <v>星梦文创-Studio Ghibli宫崎骏撕撕乐系列 </v>
      </c>
    </row>
    <row r="82" spans="1:12">
      <c r="A82" s="6"/>
      <c r="B82" s="41" t="s">
        <v>432</v>
      </c>
      <c r="C82" s="6" t="s">
        <v>65</v>
      </c>
      <c r="D82" s="10" t="s">
        <v>131</v>
      </c>
      <c r="E82" s="8">
        <f>SUMIFS(Xuất出库!D:D,Xuất出库!G:G,B82,Xuất出库!C:C,D82)</f>
        <v>100</v>
      </c>
      <c r="F82" s="9">
        <f>SUMIFS(Xuất出库!E:E,Xuất出库!G:G,B82,Xuất出库!C:C,D82)+SUMIFS(Xuất出库!F:F,Xuất出库!G:G,B82,Xuất出库!C:C,D82)</f>
        <v>100</v>
      </c>
      <c r="G82" s="6">
        <f>100-52</f>
        <v>48</v>
      </c>
      <c r="H82" s="9">
        <f>SUMIFS(Hoàn回库!E:E,Hoàn回库!G:G,B82,Hoàn回库!C:C,D82)+SUMIFS(Hoàn回库!F:F,Hoàn回库!G:G,B82,Hoàn回库!C:C,D82)</f>
        <v>20</v>
      </c>
      <c r="I82" s="9">
        <f>SUMIFS('Điều hàng调货'!E:E,'Điều hàng调货'!A:A,K82,'Điều hàng调货'!G:G,B82)*-1+SUMIFS('Điều hàng调货'!E:E,'Điều hàng调货'!A:A,K82,'Điều hàng调货'!H:H,B82)+SUMIFS('Điều hàng调货'!F:F,'Điều hàng调货'!A:A,K82,'Điều hàng调货'!G:G,B82)*-1+SUMIFS('Điều hàng调货'!F:F,'Điều hàng调货'!A:A,K82,'Điều hàng调货'!H:H,B82)</f>
        <v>-10</v>
      </c>
      <c r="J82" s="9">
        <f t="shared" si="3"/>
        <v>22</v>
      </c>
      <c r="K82" s="9">
        <f>VLOOKUP($D82,SKU!$A:$I,3,FALSE)</f>
        <v>10026</v>
      </c>
      <c r="L82" s="9" t="str">
        <f>VLOOKUP($D82,SKU!$A:$I,2,FALSE)</f>
        <v>星恋文创·恋与深空《晦明交错之间》亚克力相框卡</v>
      </c>
    </row>
    <row r="83" spans="1:12">
      <c r="A83" s="6"/>
      <c r="B83" s="41" t="s">
        <v>432</v>
      </c>
      <c r="C83" s="6" t="s">
        <v>65</v>
      </c>
      <c r="D83" s="10" t="s">
        <v>216</v>
      </c>
      <c r="E83" s="8">
        <f>SUMIFS(Xuất出库!D:D,Xuất出库!G:G,B83,Xuất出库!C:C,D83)</f>
        <v>52</v>
      </c>
      <c r="F83" s="9">
        <f>SUMIFS(Xuất出库!E:E,Xuất出库!G:G,B83,Xuất出库!C:C,D83)+SUMIFS(Xuất出库!F:F,Xuất出库!G:G,B83,Xuất出库!C:C,D83)</f>
        <v>156</v>
      </c>
      <c r="G83" s="6">
        <v>156</v>
      </c>
      <c r="H83" s="9">
        <f>SUMIFS(Hoàn回库!E:E,Hoàn回库!G:G,B83,Hoàn回库!C:C,D83)+SUMIFS(Hoàn回库!F:F,Hoàn回库!G:G,B83,Hoàn回库!C:C,D83)</f>
        <v>0</v>
      </c>
      <c r="I83" s="9">
        <f>SUMIFS('Điều hàng调货'!E:E,'Điều hàng调货'!A:A,K83,'Điều hàng调货'!G:G,B83)*-1+SUMIFS('Điều hàng调货'!E:E,'Điều hàng调货'!A:A,K83,'Điều hàng调货'!H:H,B83)+SUMIFS('Điều hàng调货'!F:F,'Điều hàng调货'!A:A,K83,'Điều hàng调货'!G:G,B83)*-1+SUMIFS('Điều hàng调货'!F:F,'Điều hàng调货'!A:A,K83,'Điều hàng调货'!H:H,B83)</f>
        <v>0</v>
      </c>
      <c r="J83" s="9">
        <f t="shared" si="3"/>
        <v>0</v>
      </c>
      <c r="K83" s="9">
        <f>VLOOKUP($D83,SKU!$A:$I,3,FALSE)</f>
        <v>10049</v>
      </c>
      <c r="L83" s="9" t="str">
        <f>VLOOKUP($D83,SKU!$A:$I,2,FALSE)</f>
        <v>野火文创《月下悸动》 韩漫耽美撕撕乐</v>
      </c>
    </row>
    <row r="84" spans="1:12">
      <c r="A84" s="6"/>
      <c r="B84" s="41" t="s">
        <v>432</v>
      </c>
      <c r="C84" s="6" t="s">
        <v>65</v>
      </c>
      <c r="D84" s="10" t="s">
        <v>159</v>
      </c>
      <c r="E84" s="8">
        <f>SUMIFS(Xuất出库!D:D,Xuất出库!G:G,B84,Xuất出库!C:C,D84)</f>
        <v>41</v>
      </c>
      <c r="F84" s="9">
        <f>SUMIFS(Xuất出库!E:E,Xuất出库!G:G,B84,Xuất出库!C:C,D84)+SUMIFS(Xuất出库!F:F,Xuất出库!G:G,B84,Xuất出库!C:C,D84)</f>
        <v>41</v>
      </c>
      <c r="G84" s="6">
        <v>15</v>
      </c>
      <c r="H84" s="9">
        <f>SUMIFS(Hoàn回库!E:E,Hoàn回库!G:G,B84,Hoàn回库!C:C,D84)+SUMIFS(Hoàn回库!F:F,Hoàn回库!G:G,B84,Hoàn回库!C:C,D84)</f>
        <v>0</v>
      </c>
      <c r="I84" s="9">
        <f>SUMIFS('Điều hàng调货'!E:E,'Điều hàng调货'!A:A,K84,'Điều hàng调货'!G:G,B84)*-1+SUMIFS('Điều hàng调货'!E:E,'Điều hàng调货'!A:A,K84,'Điều hàng调货'!H:H,B84)+SUMIFS('Điều hàng调货'!F:F,'Điều hàng调货'!A:A,K84,'Điều hàng调货'!G:G,B84)*-1+SUMIFS('Điều hàng调货'!F:F,'Điều hàng调货'!A:A,K84,'Điều hàng调货'!H:H,B84)</f>
        <v>0</v>
      </c>
      <c r="J84" s="9">
        <f t="shared" ref="J84:J98" si="4">F84-G84-H84+I84</f>
        <v>26</v>
      </c>
      <c r="K84" s="9">
        <f>VLOOKUP($D84,SKU!$A:$I,3,FALSE)</f>
        <v>10033</v>
      </c>
      <c r="L84" s="9" t="str">
        <f>VLOOKUP($D84,SKU!$A:$I,2,FALSE)</f>
        <v>慕光文创「一千次心动」系列撕撕乐</v>
      </c>
    </row>
    <row r="85" spans="1:12">
      <c r="A85" s="6"/>
      <c r="B85" s="41" t="s">
        <v>432</v>
      </c>
      <c r="C85" s="6" t="s">
        <v>65</v>
      </c>
      <c r="D85" s="10" t="s">
        <v>171</v>
      </c>
      <c r="E85" s="8">
        <f>SUMIFS(Xuất出库!D:D,Xuất出库!G:G,B85,Xuất出库!C:C,D85)</f>
        <v>5</v>
      </c>
      <c r="F85" s="9">
        <f>SUMIFS(Xuất出库!E:E,Xuất出库!G:G,B85,Xuất出库!C:C,D85)+SUMIFS(Xuất出库!F:F,Xuất出库!G:G,B85,Xuất出库!C:C,D85)</f>
        <v>30</v>
      </c>
      <c r="G85" s="6">
        <f>11</f>
        <v>11</v>
      </c>
      <c r="H85" s="9">
        <f>SUMIFS(Hoàn回库!E:E,Hoàn回库!G:G,B85,Hoàn回库!C:C,D85)+SUMIFS(Hoàn回库!F:F,Hoàn回库!G:G,B85,Hoàn回库!C:C,D85)</f>
        <v>0</v>
      </c>
      <c r="I85" s="9">
        <f>SUMIFS('Điều hàng调货'!E:E,'Điều hàng调货'!A:A,K85,'Điều hàng调货'!G:G,B85)*-1+SUMIFS('Điều hàng调货'!E:E,'Điều hàng调货'!A:A,K85,'Điều hàng调货'!H:H,B85)+SUMIFS('Điều hàng调货'!F:F,'Điều hàng调货'!A:A,K85,'Điều hàng调货'!G:G,B85)*-1+SUMIFS('Điều hàng调货'!F:F,'Điều hàng调货'!A:A,K85,'Điều hàng调货'!H:H,B85)</f>
        <v>0</v>
      </c>
      <c r="J85" s="9">
        <f t="shared" si="4"/>
        <v>19</v>
      </c>
      <c r="K85" s="9">
        <f>VLOOKUP($D85,SKU!$A:$I,3,FALSE)</f>
        <v>10036</v>
      </c>
      <c r="L85" s="9" t="str">
        <f>VLOOKUP($D85,SKU!$A:$I,2,FALSE)</f>
        <v>《研卡文创》第三弹收藏色纸</v>
      </c>
    </row>
    <row r="86" spans="1:12">
      <c r="A86" s="6"/>
      <c r="B86" s="41" t="s">
        <v>432</v>
      </c>
      <c r="C86" s="6" t="s">
        <v>65</v>
      </c>
      <c r="D86" s="10" t="s">
        <v>36</v>
      </c>
      <c r="E86" s="8">
        <f>SUMIFS(Xuất出库!D:D,Xuất出库!G:G,B86,Xuất出库!C:C,D86)</f>
        <v>94</v>
      </c>
      <c r="F86" s="9">
        <f>SUMIFS(Xuất出库!E:E,Xuất出库!G:G,B86,Xuất出库!C:C,D86)+SUMIFS(Xuất出库!F:F,Xuất出库!G:G,B86,Xuất出库!C:C,D86)</f>
        <v>94</v>
      </c>
      <c r="G86" s="6">
        <f>45+13+31</f>
        <v>89</v>
      </c>
      <c r="H86" s="9">
        <f>SUMIFS(Hoàn回库!E:E,Hoàn回库!G:G,B86,Hoàn回库!C:C,D86)+SUMIFS(Hoàn回库!F:F,Hoàn回库!G:G,B86,Hoàn回库!C:C,D86)</f>
        <v>0</v>
      </c>
      <c r="I86" s="9">
        <f>SUMIFS('Điều hàng调货'!E:E,'Điều hàng调货'!A:A,K86,'Điều hàng调货'!G:G,B86)*-1+SUMIFS('Điều hàng调货'!E:E,'Điều hàng调货'!A:A,K86,'Điều hàng调货'!H:H,B86)+SUMIFS('Điều hàng调货'!F:F,'Điều hàng调货'!A:A,K86,'Điều hàng调货'!G:G,B86)*-1+SUMIFS('Điều hàng调货'!F:F,'Điều hàng调货'!A:A,K86,'Điều hàng调货'!H:H,B86)</f>
        <v>0</v>
      </c>
      <c r="J86" s="9">
        <f t="shared" si="4"/>
        <v>5</v>
      </c>
      <c r="K86" s="9">
        <f>VLOOKUP($D86,SKU!$A:$I,3,FALSE)</f>
        <v>10005</v>
      </c>
      <c r="L86" s="9" t="str">
        <f>VLOOKUP($D86,SKU!$A:$I,2,FALSE)</f>
        <v>椿柚文创宫崎骏 被风吹散的秘密邮票第一弹</v>
      </c>
    </row>
    <row r="87" spans="1:12">
      <c r="A87" s="6"/>
      <c r="B87" s="41" t="s">
        <v>432</v>
      </c>
      <c r="C87" s="6" t="s">
        <v>65</v>
      </c>
      <c r="D87" s="6" t="s">
        <v>249</v>
      </c>
      <c r="E87" s="8">
        <f>SUMIFS(Xuất出库!D:D,Xuất出库!G:G,B87,Xuất出库!C:C,D87)</f>
        <v>21</v>
      </c>
      <c r="F87" s="9">
        <f>SUMIFS(Xuất出库!E:E,Xuất出库!G:G,B87,Xuất出库!C:C,D87)+SUMIFS(Xuất出库!F:F,Xuất出库!G:G,B87,Xuất出库!C:C,D87)</f>
        <v>273</v>
      </c>
      <c r="G87" s="6">
        <v>176</v>
      </c>
      <c r="H87" s="9">
        <f>SUMIFS(Hoàn回库!E:E,Hoàn回库!G:G,B87,Hoàn回库!C:C,D87)+SUMIFS(Hoàn回库!F:F,Hoàn回库!G:G,B87,Hoàn回库!C:C,D87)</f>
        <v>0</v>
      </c>
      <c r="I87" s="9">
        <f>SUMIFS('Điều hàng调货'!E:E,'Điều hàng调货'!A:A,K87,'Điều hàng调货'!G:G,B87)*-1+SUMIFS('Điều hàng调货'!E:E,'Điều hàng调货'!A:A,K87,'Điều hàng调货'!H:H,B87)+SUMIFS('Điều hàng调货'!F:F,'Điều hàng调货'!A:A,K87,'Điều hàng调货'!G:G,B87)*-1+SUMIFS('Điều hàng调货'!F:F,'Điều hàng调货'!A:A,K87,'Điều hàng调货'!H:H,B87)</f>
        <v>-13</v>
      </c>
      <c r="J87" s="9">
        <f t="shared" si="4"/>
        <v>84</v>
      </c>
      <c r="K87" s="9">
        <f>VLOOKUP($D87,SKU!$A:$I,3,FALSE)</f>
        <v>10060</v>
      </c>
      <c r="L87" s="9" t="str">
        <f>VLOOKUP($D87,SKU!$A:$I,2,FALSE)</f>
        <v>漫の森《宫崎骏第三弹·奇幻之旅》</v>
      </c>
    </row>
    <row r="88" spans="1:12">
      <c r="A88" s="6"/>
      <c r="B88" s="41" t="s">
        <v>432</v>
      </c>
      <c r="C88" s="6" t="s">
        <v>65</v>
      </c>
      <c r="D88" s="6" t="s">
        <v>61</v>
      </c>
      <c r="E88" s="8">
        <f>SUMIFS(Xuất出库!D:D,Xuất出库!G:G,B88,Xuất出库!C:C,D88)</f>
        <v>2</v>
      </c>
      <c r="F88" s="9">
        <f>SUMIFS(Xuất出库!E:E,Xuất出库!G:G,B88,Xuất出库!C:C,D88)+SUMIFS(Xuất出库!F:F,Xuất出库!G:G,B88,Xuất出库!C:C,D88)</f>
        <v>20</v>
      </c>
      <c r="G88" s="6">
        <v>3</v>
      </c>
      <c r="H88" s="9">
        <f>SUMIFS(Hoàn回库!E:E,Hoàn回库!G:G,B88,Hoàn回库!C:C,D88)+SUMIFS(Hoàn回库!F:F,Hoàn回库!G:G,B88,Hoàn回库!C:C,D88)</f>
        <v>0</v>
      </c>
      <c r="I88" s="9">
        <f>SUMIFS('Điều hàng调货'!E:E,'Điều hàng调货'!A:A,K88,'Điều hàng调货'!G:G,B88)*-1+SUMIFS('Điều hàng调货'!E:E,'Điều hàng调货'!A:A,K88,'Điều hàng调货'!H:H,B88)+SUMIFS('Điều hàng调货'!F:F,'Điều hàng调货'!A:A,K88,'Điều hàng调货'!G:G,B88)*-1+SUMIFS('Điều hàng调货'!F:F,'Điều hàng调货'!A:A,K88,'Điều hàng调货'!H:H,B88)</f>
        <v>0</v>
      </c>
      <c r="J88" s="9">
        <f t="shared" si="4"/>
        <v>17</v>
      </c>
      <c r="K88" s="9">
        <f>VLOOKUP($D88,SKU!$A:$I,3,FALSE)</f>
        <v>10009</v>
      </c>
      <c r="L88" s="9" t="str">
        <f>VLOOKUP($D88,SKU!$A:$I,2,FALSE)</f>
        <v>万画云游三丽鸥家族百变cos收藏卡</v>
      </c>
    </row>
    <row r="89" spans="1:12">
      <c r="A89" s="6"/>
      <c r="B89" s="41" t="s">
        <v>432</v>
      </c>
      <c r="C89" s="6" t="s">
        <v>65</v>
      </c>
      <c r="D89" s="6" t="s">
        <v>266</v>
      </c>
      <c r="E89" s="8">
        <f>SUMIFS(Xuất出库!D:D,Xuất出库!G:G,B89,Xuất出库!C:C,D89)</f>
        <v>5</v>
      </c>
      <c r="F89" s="9">
        <f>SUMIFS(Xuất出库!E:E,Xuất出库!G:G,B89,Xuất出库!C:C,D89)+SUMIFS(Xuất出库!F:F,Xuất出库!G:G,B89,Xuất出库!C:C,D89)</f>
        <v>180</v>
      </c>
      <c r="G89" s="6">
        <v>43</v>
      </c>
      <c r="H89" s="9">
        <f>SUMIFS(Hoàn回库!E:E,Hoàn回库!G:G,B89,Hoàn回库!C:C,D89)+SUMIFS(Hoàn回库!F:F,Hoàn回库!G:G,B89,Hoàn回库!C:C,D89)</f>
        <v>0</v>
      </c>
      <c r="I89" s="9">
        <f>SUMIFS('Điều hàng调货'!E:E,'Điều hàng调货'!A:A,K89,'Điều hàng调货'!G:G,B89)*-1+SUMIFS('Điều hàng调货'!E:E,'Điều hàng调货'!A:A,K89,'Điều hàng调货'!H:H,B89)+SUMIFS('Điều hàng调货'!F:F,'Điều hàng调货'!A:A,K89,'Điều hàng调货'!G:G,B89)*-1+SUMIFS('Điều hàng调货'!F:F,'Điều hàng调货'!A:A,K89,'Điều hàng调货'!H:H,B89)</f>
        <v>-137</v>
      </c>
      <c r="J89" s="9">
        <f t="shared" si="4"/>
        <v>0</v>
      </c>
      <c r="K89" s="9">
        <f>VLOOKUP($D89,SKU!$A:$I,3,FALSE)</f>
        <v>10066</v>
      </c>
      <c r="L89" s="9" t="str">
        <f>VLOOKUP($D89,SKU!$A:$I,2,FALSE)</f>
        <v>卡游柯南揭秘包第2弹</v>
      </c>
    </row>
    <row r="90" spans="1:12">
      <c r="A90" s="6"/>
      <c r="B90" s="41" t="s">
        <v>432</v>
      </c>
      <c r="C90" s="6" t="s">
        <v>65</v>
      </c>
      <c r="D90" s="6" t="s">
        <v>184</v>
      </c>
      <c r="E90" s="8">
        <f>SUMIFS(Xuất出库!D:D,Xuất出库!G:G,B90,Xuất出库!C:C,D90)</f>
        <v>0</v>
      </c>
      <c r="F90" s="9">
        <f>SUMIFS(Xuất出库!E:E,Xuất出库!G:G,B90,Xuất出库!C:C,D90)+SUMIFS(Xuất出库!F:F,Xuất出库!G:G,B90,Xuất出库!C:C,D90)</f>
        <v>125</v>
      </c>
      <c r="G90" s="6">
        <v>40</v>
      </c>
      <c r="H90" s="9">
        <f>SUMIFS(Hoàn回库!E:E,Hoàn回库!G:G,B90,Hoàn回库!C:C,D90)+SUMIFS(Hoàn回库!F:F,Hoàn回库!G:G,B90,Hoàn回库!C:C,D90)</f>
        <v>0</v>
      </c>
      <c r="I90" s="9">
        <f>SUMIFS('Điều hàng调货'!E:E,'Điều hàng调货'!A:A,K90,'Điều hàng调货'!G:G,B90)*-1+SUMIFS('Điều hàng调货'!E:E,'Điều hàng调货'!A:A,K90,'Điều hàng调货'!H:H,B90)+SUMIFS('Điều hàng调货'!F:F,'Điều hàng调货'!A:A,K90,'Điều hàng调货'!G:G,B90)*-1+SUMIFS('Điều hàng调货'!F:F,'Điều hàng调货'!A:A,K90,'Điều hàng调货'!H:H,B90)</f>
        <v>-85</v>
      </c>
      <c r="J90" s="9">
        <f t="shared" si="4"/>
        <v>0</v>
      </c>
      <c r="K90" s="9">
        <f>VLOOKUP($D90,SKU!$A:$I,3,FALSE)</f>
        <v>10039</v>
      </c>
      <c r="L90" s="9" t="str">
        <f>VLOOKUP($D90,SKU!$A:$I,2,FALSE)</f>
        <v>非凡航海王第五弹</v>
      </c>
    </row>
    <row r="91" spans="1:12">
      <c r="A91" s="6"/>
      <c r="B91" s="41" t="s">
        <v>432</v>
      </c>
      <c r="C91" s="6" t="s">
        <v>65</v>
      </c>
      <c r="D91" s="6" t="s">
        <v>282</v>
      </c>
      <c r="E91" s="8">
        <f>SUMIFS(Xuất出库!D:D,Xuất出库!G:G,B91,Xuất出库!C:C,D91)</f>
        <v>0</v>
      </c>
      <c r="F91" s="9">
        <f>SUMIFS(Xuất出库!E:E,Xuất出库!G:G,B91,Xuất出库!C:C,D91)+SUMIFS(Xuất出库!F:F,Xuất出库!G:G,B91,Xuất出库!C:C,D91)</f>
        <v>0</v>
      </c>
      <c r="G91" s="6">
        <v>1</v>
      </c>
      <c r="H91" s="9">
        <f>SUMIFS(Hoàn回库!E:E,Hoàn回库!G:G,B91,Hoàn回库!C:C,D91)+SUMIFS(Hoàn回库!F:F,Hoàn回库!G:G,B91,Hoàn回库!C:C,D91)</f>
        <v>0</v>
      </c>
      <c r="I91" s="9">
        <f>SUMIFS('Điều hàng调货'!E:E,'Điều hàng调货'!A:A,K91,'Điều hàng调货'!G:G,B91)*-1+SUMIFS('Điều hàng调货'!E:E,'Điều hàng调货'!A:A,K91,'Điều hàng调货'!H:H,B91)+SUMIFS('Điều hàng调货'!F:F,'Điều hàng调货'!A:A,K91,'Điều hàng调货'!G:G,B91)*-1+SUMIFS('Điều hàng调货'!F:F,'Điều hàng调货'!A:A,K91,'Điều hàng调货'!H:H,B91)</f>
        <v>5</v>
      </c>
      <c r="J91" s="9">
        <f t="shared" si="4"/>
        <v>4</v>
      </c>
      <c r="K91" s="9">
        <f>VLOOKUP($D91,SKU!$A:$I,3,FALSE)</f>
        <v>10072</v>
      </c>
      <c r="L91" s="9" t="str">
        <f>VLOOKUP($D91,SKU!$A:$I,2,FALSE)</f>
        <v>伴飞小鸟</v>
      </c>
    </row>
    <row r="92" spans="1:12">
      <c r="A92" s="6"/>
      <c r="B92" s="41" t="s">
        <v>432</v>
      </c>
      <c r="C92" s="6" t="s">
        <v>65</v>
      </c>
      <c r="D92" s="6" t="s">
        <v>330</v>
      </c>
      <c r="E92" s="8">
        <f>SUMIFS(Xuất出库!D:D,Xuất出库!G:G,B92,Xuất出库!C:C,D92)</f>
        <v>36</v>
      </c>
      <c r="F92" s="9">
        <f>SUMIFS(Xuất出库!E:E,Xuất出库!G:G,B92,Xuất出库!C:C,D92)+SUMIFS(Xuất出库!F:F,Xuất出库!G:G,B92,Xuất出库!C:C,D92)</f>
        <v>468</v>
      </c>
      <c r="G92" s="6">
        <v>311</v>
      </c>
      <c r="H92" s="9">
        <f>SUMIFS(Hoàn回库!E:E,Hoàn回库!G:G,B92,Hoàn回库!C:C,D92)+SUMIFS(Hoàn回库!F:F,Hoàn回库!G:G,B92,Hoàn回库!C:C,D92)</f>
        <v>0</v>
      </c>
      <c r="I92" s="9">
        <f>SUMIFS('Điều hàng调货'!E:E,'Điều hàng调货'!A:A,K92,'Điều hàng调货'!G:G,B92)*-1+SUMIFS('Điều hàng调货'!E:E,'Điều hàng调货'!A:A,K92,'Điều hàng调货'!H:H,B92)+SUMIFS('Điều hàng调货'!F:F,'Điều hàng调货'!A:A,K92,'Điều hàng调货'!G:G,B92)*-1+SUMIFS('Điều hàng调货'!F:F,'Điều hàng调货'!A:A,K92,'Điều hàng调货'!H:H,B92)</f>
        <v>0</v>
      </c>
      <c r="J92" s="9">
        <f t="shared" si="4"/>
        <v>157</v>
      </c>
      <c r="K92" s="9">
        <f>VLOOKUP($D92,SKU!$A:$I,3,FALSE)</f>
        <v>10090</v>
      </c>
      <c r="L92" s="9" t="str">
        <f>VLOOKUP($D92,SKU!$A:$I,2,FALSE)</f>
        <v>依梦×宫崎骏の治愈一生</v>
      </c>
    </row>
    <row r="93" spans="1:12">
      <c r="A93" s="6"/>
      <c r="B93" s="41" t="s">
        <v>432</v>
      </c>
      <c r="C93" s="6" t="s">
        <v>65</v>
      </c>
      <c r="D93" s="6" t="s">
        <v>290</v>
      </c>
      <c r="E93" s="8">
        <f>SUMIFS(Xuất出库!D:D,Xuất出库!G:G,B93,Xuất出库!C:C,D93)</f>
        <v>5</v>
      </c>
      <c r="F93" s="9">
        <f>SUMIFS(Xuất出库!E:E,Xuất出库!G:G,B93,Xuất出库!C:C,D93)+SUMIFS(Xuất出库!F:F,Xuất出库!G:G,B93,Xuất出库!C:C,D93)</f>
        <v>50</v>
      </c>
      <c r="G93" s="6"/>
      <c r="H93" s="9">
        <f>SUMIFS(Hoàn回库!E:E,Hoàn回库!G:G,B93,Hoàn回库!C:C,D93)+SUMIFS(Hoàn回库!F:F,Hoàn回库!G:G,B93,Hoàn回库!C:C,D93)</f>
        <v>0</v>
      </c>
      <c r="I93" s="9">
        <f>SUMIFS('Điều hàng调货'!E:E,'Điều hàng调货'!A:A,K93,'Điều hàng调货'!G:G,B93)*-1+SUMIFS('Điều hàng调货'!E:E,'Điều hàng调货'!A:A,K93,'Điều hàng调货'!H:H,B93)+SUMIFS('Điều hàng调货'!F:F,'Điều hàng调货'!A:A,K93,'Điều hàng调货'!G:G,B93)*-1+SUMIFS('Điều hàng调货'!F:F,'Điều hàng调货'!A:A,K93,'Điều hàng调货'!H:H,B93)</f>
        <v>-50</v>
      </c>
      <c r="J93" s="9">
        <f t="shared" si="4"/>
        <v>0</v>
      </c>
      <c r="K93" s="9">
        <f>VLOOKUP($D93,SKU!$A:$I,3,FALSE)</f>
        <v>10075</v>
      </c>
      <c r="L93" s="9" t="str">
        <f>VLOOKUP($D93,SKU!$A:$I,2,FALSE)</f>
        <v>《万卡卡文创》鬼灭之刃日轮破晓第一弹</v>
      </c>
    </row>
    <row r="94" spans="1:12">
      <c r="A94" s="6"/>
      <c r="B94" s="41" t="s">
        <v>432</v>
      </c>
      <c r="C94" s="6" t="s">
        <v>65</v>
      </c>
      <c r="D94" s="6" t="s">
        <v>61</v>
      </c>
      <c r="E94" s="8">
        <f>SUMIFS(Xuất出库!D:D,Xuất出库!G:G,B94,Xuất出库!C:C,D94)</f>
        <v>2</v>
      </c>
      <c r="F94" s="9">
        <f>SUMIFS(Xuất出库!E:E,Xuất出库!G:G,B94,Xuất出库!C:C,D94)+SUMIFS(Xuất出库!F:F,Xuất出库!G:G,B94,Xuất出库!C:C,D94)</f>
        <v>20</v>
      </c>
      <c r="G94" s="6"/>
      <c r="H94" s="9">
        <f>SUMIFS(Hoàn回库!E:E,Hoàn回库!G:G,B94,Hoàn回库!C:C,D94)+SUMIFS(Hoàn回库!F:F,Hoàn回库!G:G,B94,Hoàn回库!C:C,D94)</f>
        <v>0</v>
      </c>
      <c r="I94" s="9">
        <f>SUMIFS('Điều hàng调货'!E:E,'Điều hàng调货'!A:A,K94,'Điều hàng调货'!G:G,B94)*-1+SUMIFS('Điều hàng调货'!E:E,'Điều hàng调货'!A:A,K94,'Điều hàng调货'!H:H,B94)+SUMIFS('Điều hàng调货'!F:F,'Điều hàng调货'!A:A,K94,'Điều hàng调货'!G:G,B94)*-1+SUMIFS('Điều hàng调货'!F:F,'Điều hàng调货'!A:A,K94,'Điều hàng调货'!H:H,B94)</f>
        <v>0</v>
      </c>
      <c r="J94" s="9">
        <f t="shared" si="4"/>
        <v>20</v>
      </c>
      <c r="K94" s="9">
        <f>VLOOKUP($D94,SKU!$A:$I,3,FALSE)</f>
        <v>10009</v>
      </c>
      <c r="L94" s="9" t="str">
        <f>VLOOKUP($D94,SKU!$A:$I,2,FALSE)</f>
        <v>万画云游三丽鸥家族百变cos收藏卡</v>
      </c>
    </row>
    <row r="95" spans="1:12">
      <c r="A95" s="6"/>
      <c r="B95" s="41" t="s">
        <v>432</v>
      </c>
      <c r="C95" s="6" t="s">
        <v>65</v>
      </c>
      <c r="D95" s="10" t="s">
        <v>12</v>
      </c>
      <c r="E95" s="8">
        <f>SUMIFS(Xuất出库!D:D,Xuất出库!G:G,B95,Xuất出库!C:C,D95)</f>
        <v>0</v>
      </c>
      <c r="F95" s="9">
        <f>SUMIFS(Xuất出库!E:E,Xuất出库!G:G,B95,Xuất出库!C:C,D95)+SUMIFS(Xuất出库!F:F,Xuất出库!G:G,B95,Xuất出库!C:C,D95)</f>
        <v>3</v>
      </c>
      <c r="G95" s="6"/>
      <c r="H95" s="9">
        <f>SUMIFS(Hoàn回库!E:E,Hoàn回库!G:G,B95,Hoàn回库!C:C,D95)+SUMIFS(Hoàn回库!F:F,Hoàn回库!G:G,B95,Hoàn回库!C:C,D95)</f>
        <v>0</v>
      </c>
      <c r="I95" s="9">
        <f>SUMIFS('Điều hàng调货'!E:E,'Điều hàng调货'!A:A,K95,'Điều hàng调货'!G:G,B95)*-1+SUMIFS('Điều hàng调货'!E:E,'Điều hàng调货'!A:A,K95,'Điều hàng调货'!H:H,B95)+SUMIFS('Điều hàng调货'!F:F,'Điều hàng调货'!A:A,K95,'Điều hàng调货'!G:G,B95)*-1+SUMIFS('Điều hàng调货'!F:F,'Điều hàng调货'!A:A,K95,'Điều hàng调货'!H:H,B95)</f>
        <v>0</v>
      </c>
      <c r="J95" s="9">
        <f t="shared" si="4"/>
        <v>3</v>
      </c>
      <c r="K95" s="9">
        <f>VLOOKUP($D95,SKU!$A:$I,3,FALSE)</f>
        <v>10001</v>
      </c>
      <c r="L95" s="9" t="str">
        <f>VLOOKUP($D95,SKU!$A:$I,2,FALSE)</f>
        <v>《东株社》宝可梦水晶砖</v>
      </c>
    </row>
    <row r="96" spans="1:12">
      <c r="A96" s="6"/>
      <c r="B96" s="41" t="s">
        <v>432</v>
      </c>
      <c r="C96" s="6" t="s">
        <v>65</v>
      </c>
      <c r="D96" s="10" t="s">
        <v>338</v>
      </c>
      <c r="E96" s="8">
        <f>SUMIFS(Xuất出库!D:D,Xuất出库!G:G,B96,Xuất出库!C:C,D96)</f>
        <v>15</v>
      </c>
      <c r="F96" s="9">
        <f>SUMIFS(Xuất出库!E:E,Xuất出库!G:G,B96,Xuất出库!C:C,D96)+SUMIFS(Xuất出库!F:F,Xuất出库!G:G,B96,Xuất出库!C:C,D96)</f>
        <v>195</v>
      </c>
      <c r="G96" s="6">
        <v>92</v>
      </c>
      <c r="H96" s="9">
        <f>SUMIFS(Hoàn回库!E:E,Hoàn回库!G:G,B96,Hoàn回库!C:C,D96)+SUMIFS(Hoàn回库!F:F,Hoàn回库!G:G,B96,Hoàn回库!C:C,D96)</f>
        <v>0</v>
      </c>
      <c r="I96" s="9">
        <f>SUMIFS('Điều hàng调货'!E:E,'Điều hàng调货'!A:A,K96,'Điều hàng调货'!G:G,B96)*-1+SUMIFS('Điều hàng调货'!E:E,'Điều hàng调货'!A:A,K96,'Điều hàng调货'!H:H,B96)+SUMIFS('Điều hàng调货'!F:F,'Điều hàng调货'!A:A,K96,'Điều hàng调货'!G:G,B96)*-1+SUMIFS('Điều hàng调货'!F:F,'Điều hàng调货'!A:A,K96,'Điều hàng调货'!H:H,B96)</f>
        <v>0</v>
      </c>
      <c r="J96" s="9">
        <f t="shared" si="4"/>
        <v>103</v>
      </c>
      <c r="K96" s="9">
        <f>VLOOKUP($D96,SKU!$A:$I,3,FALSE)</f>
        <v>10093</v>
      </c>
      <c r="L96" s="9" t="str">
        <f>VLOOKUP($D96,SKU!$A:$I,2,FALSE)</f>
        <v>星绘社新海诚系列卡牌</v>
      </c>
    </row>
    <row r="97" spans="1:12">
      <c r="A97" s="6"/>
      <c r="B97" s="41" t="s">
        <v>432</v>
      </c>
      <c r="C97" s="6" t="s">
        <v>65</v>
      </c>
      <c r="D97" s="6" t="s">
        <v>384</v>
      </c>
      <c r="E97" s="8">
        <f>SUMIFS(Xuất出库!D:D,Xuất出库!G:G,B97,Xuất出库!C:C,D97)</f>
        <v>1</v>
      </c>
      <c r="F97" s="9">
        <f>SUMIFS(Xuất出库!E:E,Xuất出库!G:G,B97,Xuất出库!C:C,D97)+SUMIFS(Xuất出库!F:F,Xuất出库!G:G,B97,Xuất出库!C:C,D97)</f>
        <v>20</v>
      </c>
      <c r="G97" s="6">
        <v>3</v>
      </c>
      <c r="H97" s="9">
        <f>SUMIFS(Hoàn回库!E:E,Hoàn回库!G:G,B97,Hoàn回库!C:C,D97)+SUMIFS(Hoàn回库!F:F,Hoàn回库!G:G,B97,Hoàn回库!C:C,D97)</f>
        <v>0</v>
      </c>
      <c r="I97" s="9">
        <f>SUMIFS('Điều hàng调货'!E:E,'Điều hàng调货'!A:A,K97,'Điều hàng调货'!G:G,B97)*-1+SUMIFS('Điều hàng调货'!E:E,'Điều hàng调货'!A:A,K97,'Điều hàng调货'!H:H,B97)+SUMIFS('Điều hàng调货'!F:F,'Điều hàng调货'!A:A,K97,'Điều hàng调货'!G:G,B97)*-1+SUMIFS('Điều hàng调货'!F:F,'Điều hàng调货'!A:A,K97,'Điều hàng调货'!H:H,B97)</f>
        <v>0</v>
      </c>
      <c r="J97" s="9">
        <f t="shared" si="4"/>
        <v>17</v>
      </c>
      <c r="K97" s="9">
        <f>VLOOKUP($D97,SKU!$A:$I,3,FALSE)</f>
        <v>10111</v>
      </c>
      <c r="L97" s="9">
        <f>VLOOKUP($D97,SKU!$A:$I,2,FALSE)</f>
        <v>0</v>
      </c>
    </row>
    <row r="98" spans="1:12">
      <c r="A98" s="6"/>
      <c r="B98" s="41" t="s">
        <v>432</v>
      </c>
      <c r="C98" s="6" t="s">
        <v>65</v>
      </c>
      <c r="D98" s="16" t="s">
        <v>374</v>
      </c>
      <c r="E98" s="8">
        <f>SUMIFS(Xuất出库!D:D,Xuất出库!G:G,B98,Xuất出库!C:C,D98)</f>
        <v>25</v>
      </c>
      <c r="F98" s="9">
        <f>SUMIFS(Xuất出库!E:E,Xuất出库!G:G,B98,Xuất出库!C:C,D98)+SUMIFS(Xuất出库!F:F,Xuất出库!G:G,B98,Xuất出库!C:C,D98)</f>
        <v>325</v>
      </c>
      <c r="G98" s="12">
        <v>251</v>
      </c>
      <c r="H98" s="9">
        <f>SUMIFS(Hoàn回库!E:E,Hoàn回库!G:G,B98,Hoàn回库!C:C,D98)+SUMIFS(Hoàn回库!F:F,Hoàn回库!G:G,B98,Hoàn回库!C:C,D98)</f>
        <v>0</v>
      </c>
      <c r="I98" s="9">
        <f>SUMIFS('Điều hàng调货'!E:E,'Điều hàng调货'!A:A,K98,'Điều hàng调货'!G:G,B98)*-1+SUMIFS('Điều hàng调货'!E:E,'Điều hàng调货'!A:A,K98,'Điều hàng调货'!H:H,B98)+SUMIFS('Điều hàng调货'!F:F,'Điều hàng调货'!A:A,K98,'Điều hàng调货'!G:G,B98)*-1+SUMIFS('Điều hàng调货'!F:F,'Điều hàng调货'!A:A,K98,'Điều hàng调货'!H:H,B98)</f>
        <v>0</v>
      </c>
      <c r="J98" s="9">
        <f t="shared" ref="J98:J109" si="5">F98-G98-H98+I98</f>
        <v>74</v>
      </c>
      <c r="K98" s="9">
        <f>VLOOKUP($D98,SKU!$A:$I,3,FALSE)</f>
        <v>10106</v>
      </c>
      <c r="L98" s="9" t="str">
        <f>VLOOKUP($D98,SKU!$A:$I,2,FALSE)</f>
        <v>云映文化时光绘卷·宫崎骏珍藏卡牌</v>
      </c>
    </row>
    <row r="99" spans="1:12">
      <c r="A99" s="6"/>
      <c r="B99" s="41" t="s">
        <v>432</v>
      </c>
      <c r="C99" s="6" t="s">
        <v>65</v>
      </c>
      <c r="D99" s="16"/>
      <c r="E99" s="8">
        <f>SUMIFS(Xuất出库!D:D,Xuất出库!G:G,B99,Xuất出库!C:C,D99)</f>
        <v>0</v>
      </c>
      <c r="F99" s="9">
        <f>SUMIFS(Xuất出库!E:E,Xuất出库!G:G,B99,Xuất出库!C:C,D99)+SUMIFS(Xuất出库!F:F,Xuất出库!G:G,B99,Xuất出库!C:C,D99)</f>
        <v>0</v>
      </c>
      <c r="G99" s="12"/>
      <c r="H99" s="9">
        <f>SUMIFS(Hoàn回库!E:E,Hoàn回库!G:G,B99,Hoàn回库!C:C,D99)+SUMIFS(Hoàn回库!F:F,Hoàn回库!G:G,B99,Hoàn回库!C:C,D99)</f>
        <v>0</v>
      </c>
      <c r="I99" s="9">
        <f>SUMIFS('Điều hàng调货'!E:E,'Điều hàng调货'!A:A,K99,'Điều hàng调货'!G:G,B99)*-1+SUMIFS('Điều hàng调货'!E:E,'Điều hàng调货'!A:A,K99,'Điều hàng调货'!H:H,B99)+SUMIFS('Điều hàng调货'!F:F,'Điều hàng调货'!A:A,K99,'Điều hàng调货'!G:G,B99)*-1+SUMIFS('Điều hàng调货'!F:F,'Điều hàng调货'!A:A,K99,'Điều hàng调货'!H:H,B99)</f>
        <v>0</v>
      </c>
      <c r="J99" s="9">
        <f t="shared" si="5"/>
        <v>0</v>
      </c>
      <c r="K99" s="9" t="e">
        <f>VLOOKUP($D99,SKU!$A:$I,3,FALSE)</f>
        <v>#N/A</v>
      </c>
      <c r="L99" s="9" t="e">
        <f>VLOOKUP($D99,SKU!$A:$I,2,FALSE)</f>
        <v>#N/A</v>
      </c>
    </row>
    <row r="100" spans="1:12">
      <c r="A100" s="6"/>
      <c r="B100" s="41" t="s">
        <v>432</v>
      </c>
      <c r="C100" s="6" t="s">
        <v>65</v>
      </c>
      <c r="D100" s="12"/>
      <c r="E100" s="8">
        <f>SUMIFS(Xuất出库!D:D,Xuất出库!G:G,B100,Xuất出库!C:C,D100)</f>
        <v>0</v>
      </c>
      <c r="F100" s="9">
        <f>SUMIFS(Xuất出库!E:E,Xuất出库!G:G,B100,Xuất出库!C:C,D100)+SUMIFS(Xuất出库!F:F,Xuất出库!G:G,B100,Xuất出库!C:C,D100)</f>
        <v>0</v>
      </c>
      <c r="G100" s="12"/>
      <c r="H100" s="9">
        <f>SUMIFS(Hoàn回库!E:E,Hoàn回库!G:G,B100,Hoàn回库!C:C,D100)+SUMIFS(Hoàn回库!F:F,Hoàn回库!G:G,B100,Hoàn回库!C:C,D100)</f>
        <v>0</v>
      </c>
      <c r="I100" s="9">
        <f>SUMIFS('Điều hàng调货'!E:E,'Điều hàng调货'!A:A,K100,'Điều hàng调货'!G:G,B100)*-1+SUMIFS('Điều hàng调货'!E:E,'Điều hàng调货'!A:A,K100,'Điều hàng调货'!H:H,B100)+SUMIFS('Điều hàng调货'!F:F,'Điều hàng调货'!A:A,K100,'Điều hàng调货'!G:G,B100)*-1+SUMIFS('Điều hàng调货'!F:F,'Điều hàng调货'!A:A,K100,'Điều hàng调货'!H:H,B100)</f>
        <v>0</v>
      </c>
      <c r="J100" s="9">
        <f t="shared" si="5"/>
        <v>0</v>
      </c>
      <c r="K100" s="9" t="e">
        <f>VLOOKUP($D100,SKU!$A:$I,3,FALSE)</f>
        <v>#N/A</v>
      </c>
      <c r="L100" s="9" t="e">
        <f>VLOOKUP($D100,SKU!$A:$I,2,FALSE)</f>
        <v>#N/A</v>
      </c>
    </row>
    <row r="101" spans="1:12">
      <c r="A101" s="6"/>
      <c r="B101" s="41" t="s">
        <v>432</v>
      </c>
      <c r="C101" s="6" t="s">
        <v>65</v>
      </c>
      <c r="D101" s="12"/>
      <c r="E101" s="8">
        <f>SUMIFS(Xuất出库!D:D,Xuất出库!G:G,B101,Xuất出库!C:C,D101)</f>
        <v>0</v>
      </c>
      <c r="F101" s="9">
        <f>SUMIFS(Xuất出库!E:E,Xuất出库!G:G,B101,Xuất出库!C:C,D101)+SUMIFS(Xuất出库!F:F,Xuất出库!G:G,B101,Xuất出库!C:C,D101)</f>
        <v>0</v>
      </c>
      <c r="G101" s="12"/>
      <c r="H101" s="9">
        <f>SUMIFS(Hoàn回库!E:E,Hoàn回库!G:G,B101,Hoàn回库!C:C,D101)+SUMIFS(Hoàn回库!F:F,Hoàn回库!G:G,B101,Hoàn回库!C:C,D101)</f>
        <v>0</v>
      </c>
      <c r="I101" s="9">
        <f>SUMIFS('Điều hàng调货'!E:E,'Điều hàng调货'!A:A,K101,'Điều hàng调货'!G:G,B101)*-1+SUMIFS('Điều hàng调货'!E:E,'Điều hàng调货'!A:A,K101,'Điều hàng调货'!H:H,B101)+SUMIFS('Điều hàng调货'!F:F,'Điều hàng调货'!A:A,K101,'Điều hàng调货'!G:G,B101)*-1+SUMIFS('Điều hàng调货'!F:F,'Điều hàng调货'!A:A,K101,'Điều hàng调货'!H:H,B101)</f>
        <v>0</v>
      </c>
      <c r="J101" s="9">
        <f t="shared" si="5"/>
        <v>0</v>
      </c>
      <c r="K101" s="9" t="e">
        <f>VLOOKUP($D101,SKU!$A:$I,3,FALSE)</f>
        <v>#N/A</v>
      </c>
      <c r="L101" s="9" t="e">
        <f>VLOOKUP($D101,SKU!$A:$I,2,FALSE)</f>
        <v>#N/A</v>
      </c>
    </row>
    <row r="102" spans="1:12">
      <c r="A102" s="6"/>
      <c r="B102" s="41" t="s">
        <v>432</v>
      </c>
      <c r="C102" s="6" t="s">
        <v>65</v>
      </c>
      <c r="D102" s="12"/>
      <c r="E102" s="8">
        <f>SUMIFS(Xuất出库!D:D,Xuất出库!G:G,B102,Xuất出库!C:C,D102)</f>
        <v>0</v>
      </c>
      <c r="F102" s="9">
        <f>SUMIFS(Xuất出库!E:E,Xuất出库!G:G,B102,Xuất出库!C:C,D102)+SUMIFS(Xuất出库!F:F,Xuất出库!G:G,B102,Xuất出库!C:C,D102)</f>
        <v>0</v>
      </c>
      <c r="G102" s="12"/>
      <c r="H102" s="9">
        <f>SUMIFS(Hoàn回库!E:E,Hoàn回库!G:G,B102,Hoàn回库!C:C,D102)+SUMIFS(Hoàn回库!F:F,Hoàn回库!G:G,B102,Hoàn回库!C:C,D102)</f>
        <v>0</v>
      </c>
      <c r="I102" s="9">
        <f>SUMIFS('Điều hàng调货'!E:E,'Điều hàng调货'!A:A,K102,'Điều hàng调货'!G:G,B102)*-1+SUMIFS('Điều hàng调货'!E:E,'Điều hàng调货'!A:A,K102,'Điều hàng调货'!H:H,B102)+SUMIFS('Điều hàng调货'!F:F,'Điều hàng调货'!A:A,K102,'Điều hàng调货'!G:G,B102)*-1+SUMIFS('Điều hàng调货'!F:F,'Điều hàng调货'!A:A,K102,'Điều hàng调货'!H:H,B102)</f>
        <v>0</v>
      </c>
      <c r="J102" s="9">
        <f t="shared" si="5"/>
        <v>0</v>
      </c>
      <c r="K102" s="9" t="e">
        <f>VLOOKUP($D102,SKU!$A:$I,3,FALSE)</f>
        <v>#N/A</v>
      </c>
      <c r="L102" s="9" t="e">
        <f>VLOOKUP($D102,SKU!$A:$I,2,FALSE)</f>
        <v>#N/A</v>
      </c>
    </row>
    <row r="103" spans="1:12">
      <c r="A103" s="6"/>
      <c r="B103" s="41" t="s">
        <v>432</v>
      </c>
      <c r="C103" s="6" t="s">
        <v>65</v>
      </c>
      <c r="D103" s="12"/>
      <c r="E103" s="8">
        <f>SUMIFS(Xuất出库!D:D,Xuất出库!G:G,B103,Xuất出库!C:C,D103)</f>
        <v>0</v>
      </c>
      <c r="F103" s="9">
        <f>SUMIFS(Xuất出库!E:E,Xuất出库!G:G,B103,Xuất出库!C:C,D103)+SUMIFS(Xuất出库!F:F,Xuất出库!G:G,B103,Xuất出库!C:C,D103)</f>
        <v>0</v>
      </c>
      <c r="G103" s="12"/>
      <c r="H103" s="9">
        <f>SUMIFS(Hoàn回库!E:E,Hoàn回库!G:G,B103,Hoàn回库!C:C,D103)+SUMIFS(Hoàn回库!F:F,Hoàn回库!G:G,B103,Hoàn回库!C:C,D103)</f>
        <v>0</v>
      </c>
      <c r="I103" s="9">
        <f>SUMIFS('Điều hàng调货'!E:E,'Điều hàng调货'!A:A,K103,'Điều hàng调货'!G:G,B103)*-1+SUMIFS('Điều hàng调货'!E:E,'Điều hàng调货'!A:A,K103,'Điều hàng调货'!H:H,B103)+SUMIFS('Điều hàng调货'!F:F,'Điều hàng调货'!A:A,K103,'Điều hàng调货'!G:G,B103)*-1+SUMIFS('Điều hàng调货'!F:F,'Điều hàng调货'!A:A,K103,'Điều hàng调货'!H:H,B103)</f>
        <v>0</v>
      </c>
      <c r="J103" s="9">
        <f t="shared" si="5"/>
        <v>0</v>
      </c>
      <c r="K103" s="9" t="e">
        <f>VLOOKUP($D103,SKU!$A:$I,3,FALSE)</f>
        <v>#N/A</v>
      </c>
      <c r="L103" s="9" t="e">
        <f>VLOOKUP($D103,SKU!$A:$I,2,FALSE)</f>
        <v>#N/A</v>
      </c>
    </row>
    <row r="104" spans="1:12">
      <c r="A104" s="6"/>
      <c r="B104" s="41" t="s">
        <v>432</v>
      </c>
      <c r="C104" s="6" t="s">
        <v>65</v>
      </c>
      <c r="D104" s="12"/>
      <c r="E104" s="8">
        <f>SUMIFS(Xuất出库!D:D,Xuất出库!G:G,B104,Xuất出库!C:C,D104)</f>
        <v>0</v>
      </c>
      <c r="F104" s="9">
        <f>SUMIFS(Xuất出库!E:E,Xuất出库!G:G,B104,Xuất出库!C:C,D104)+SUMIFS(Xuất出库!F:F,Xuất出库!G:G,B104,Xuất出库!C:C,D104)</f>
        <v>0</v>
      </c>
      <c r="G104" s="12"/>
      <c r="H104" s="9">
        <f>SUMIFS(Hoàn回库!E:E,Hoàn回库!G:G,B104,Hoàn回库!C:C,D104)+SUMIFS(Hoàn回库!F:F,Hoàn回库!G:G,B104,Hoàn回库!C:C,D104)</f>
        <v>0</v>
      </c>
      <c r="I104" s="9">
        <f>SUMIFS('Điều hàng调货'!E:E,'Điều hàng调货'!A:A,K104,'Điều hàng调货'!G:G,B104)*-1+SUMIFS('Điều hàng调货'!E:E,'Điều hàng调货'!A:A,K104,'Điều hàng调货'!H:H,B104)+SUMIFS('Điều hàng调货'!F:F,'Điều hàng调货'!A:A,K104,'Điều hàng调货'!G:G,B104)*-1+SUMIFS('Điều hàng调货'!F:F,'Điều hàng调货'!A:A,K104,'Điều hàng调货'!H:H,B104)</f>
        <v>0</v>
      </c>
      <c r="J104" s="9">
        <f t="shared" si="5"/>
        <v>0</v>
      </c>
      <c r="K104" s="9" t="e">
        <f>VLOOKUP($D104,SKU!$A:$I,3,FALSE)</f>
        <v>#N/A</v>
      </c>
      <c r="L104" s="9" t="e">
        <f>VLOOKUP($D104,SKU!$A:$I,2,FALSE)</f>
        <v>#N/A</v>
      </c>
    </row>
    <row r="105" spans="1:12">
      <c r="A105" s="6"/>
      <c r="B105" s="41" t="s">
        <v>432</v>
      </c>
      <c r="C105" s="6" t="s">
        <v>65</v>
      </c>
      <c r="D105" s="12"/>
      <c r="E105" s="8">
        <f>SUMIFS(Xuất出库!D:D,Xuất出库!G:G,B105,Xuất出库!C:C,D105)</f>
        <v>0</v>
      </c>
      <c r="F105" s="9">
        <f>SUMIFS(Xuất出库!E:E,Xuất出库!G:G,B105,Xuất出库!C:C,D105)+SUMIFS(Xuất出库!F:F,Xuất出库!G:G,B105,Xuất出库!C:C,D105)</f>
        <v>0</v>
      </c>
      <c r="G105" s="12"/>
      <c r="H105" s="9">
        <f>SUMIFS(Hoàn回库!E:E,Hoàn回库!G:G,B105,Hoàn回库!C:C,D105)+SUMIFS(Hoàn回库!F:F,Hoàn回库!G:G,B105,Hoàn回库!C:C,D105)</f>
        <v>0</v>
      </c>
      <c r="I105" s="9">
        <f>SUMIFS('Điều hàng调货'!E:E,'Điều hàng调货'!A:A,K105,'Điều hàng调货'!G:G,B105)*-1+SUMIFS('Điều hàng调货'!E:E,'Điều hàng调货'!A:A,K105,'Điều hàng调货'!H:H,B105)+SUMIFS('Điều hàng调货'!F:F,'Điều hàng调货'!A:A,K105,'Điều hàng调货'!G:G,B105)*-1+SUMIFS('Điều hàng调货'!F:F,'Điều hàng调货'!A:A,K105,'Điều hàng调货'!H:H,B105)</f>
        <v>0</v>
      </c>
      <c r="J105" s="9">
        <f t="shared" si="5"/>
        <v>0</v>
      </c>
      <c r="K105" s="9" t="e">
        <f>VLOOKUP($D105,SKU!$A:$I,3,FALSE)</f>
        <v>#N/A</v>
      </c>
      <c r="L105" s="9" t="e">
        <f>VLOOKUP($D105,SKU!$A:$I,2,FALSE)</f>
        <v>#N/A</v>
      </c>
    </row>
    <row r="106" spans="1:12">
      <c r="A106" s="6"/>
      <c r="B106" s="41" t="s">
        <v>432</v>
      </c>
      <c r="C106" s="6" t="s">
        <v>65</v>
      </c>
      <c r="D106" s="12"/>
      <c r="E106" s="8">
        <f>SUMIFS(Xuất出库!D:D,Xuất出库!G:G,B106,Xuất出库!C:C,D106)</f>
        <v>0</v>
      </c>
      <c r="F106" s="9">
        <f>SUMIFS(Xuất出库!E:E,Xuất出库!G:G,B106,Xuất出库!C:C,D106)+SUMIFS(Xuất出库!F:F,Xuất出库!G:G,B106,Xuất出库!C:C,D106)</f>
        <v>0</v>
      </c>
      <c r="G106" s="12"/>
      <c r="H106" s="9">
        <f>SUMIFS(Hoàn回库!E:E,Hoàn回库!G:G,B106,Hoàn回库!C:C,D106)+SUMIFS(Hoàn回库!F:F,Hoàn回库!G:G,B106,Hoàn回库!C:C,D106)</f>
        <v>0</v>
      </c>
      <c r="I106" s="9">
        <f>SUMIFS('Điều hàng调货'!E:E,'Điều hàng调货'!A:A,K106,'Điều hàng调货'!G:G,B106)*-1+SUMIFS('Điều hàng调货'!E:E,'Điều hàng调货'!A:A,K106,'Điều hàng调货'!H:H,B106)+SUMIFS('Điều hàng调货'!F:F,'Điều hàng调货'!A:A,K106,'Điều hàng调货'!G:G,B106)*-1+SUMIFS('Điều hàng调货'!F:F,'Điều hàng调货'!A:A,K106,'Điều hàng调货'!H:H,B106)</f>
        <v>0</v>
      </c>
      <c r="J106" s="9">
        <f t="shared" si="5"/>
        <v>0</v>
      </c>
      <c r="K106" s="9" t="e">
        <f>VLOOKUP($D106,SKU!$A:$I,3,FALSE)</f>
        <v>#N/A</v>
      </c>
      <c r="L106" s="9" t="e">
        <f>VLOOKUP($D106,SKU!$A:$I,2,FALSE)</f>
        <v>#N/A</v>
      </c>
    </row>
    <row r="107" spans="1:12">
      <c r="A107" s="6"/>
      <c r="B107" s="41" t="s">
        <v>432</v>
      </c>
      <c r="C107" s="6" t="s">
        <v>65</v>
      </c>
      <c r="D107" s="12"/>
      <c r="E107" s="8">
        <f>SUMIFS(Xuất出库!D:D,Xuất出库!G:G,B107,Xuất出库!C:C,D107)</f>
        <v>0</v>
      </c>
      <c r="F107" s="9">
        <f>SUMIFS(Xuất出库!E:E,Xuất出库!G:G,B107,Xuất出库!C:C,D107)+SUMIFS(Xuất出库!F:F,Xuất出库!G:G,B107,Xuất出库!C:C,D107)</f>
        <v>0</v>
      </c>
      <c r="G107" s="12"/>
      <c r="H107" s="9">
        <f>SUMIFS(Hoàn回库!E:E,Hoàn回库!G:G,B107,Hoàn回库!C:C,D107)+SUMIFS(Hoàn回库!F:F,Hoàn回库!G:G,B107,Hoàn回库!C:C,D107)</f>
        <v>0</v>
      </c>
      <c r="I107" s="9">
        <f>SUMIFS('Điều hàng调货'!E:E,'Điều hàng调货'!A:A,K107,'Điều hàng调货'!G:G,B107)*-1+SUMIFS('Điều hàng调货'!E:E,'Điều hàng调货'!A:A,K107,'Điều hàng调货'!H:H,B107)+SUMIFS('Điều hàng调货'!F:F,'Điều hàng调货'!A:A,K107,'Điều hàng调货'!G:G,B107)*-1+SUMIFS('Điều hàng调货'!F:F,'Điều hàng调货'!A:A,K107,'Điều hàng调货'!H:H,B107)</f>
        <v>0</v>
      </c>
      <c r="J107" s="9">
        <f t="shared" si="5"/>
        <v>0</v>
      </c>
      <c r="K107" s="9" t="e">
        <f>VLOOKUP($D107,SKU!$A:$I,3,FALSE)</f>
        <v>#N/A</v>
      </c>
      <c r="L107" s="9" t="e">
        <f>VLOOKUP($D107,SKU!$A:$I,2,FALSE)</f>
        <v>#N/A</v>
      </c>
    </row>
    <row r="108" spans="1:12">
      <c r="A108" s="6"/>
      <c r="B108" s="41" t="s">
        <v>432</v>
      </c>
      <c r="C108" s="6" t="s">
        <v>65</v>
      </c>
      <c r="D108" s="12"/>
      <c r="E108" s="8">
        <f>SUMIFS(Xuất出库!D:D,Xuất出库!G:G,B108,Xuất出库!C:C,D108)</f>
        <v>0</v>
      </c>
      <c r="F108" s="9">
        <f>SUMIFS(Xuất出库!E:E,Xuất出库!G:G,B108,Xuất出库!C:C,D108)+SUMIFS(Xuất出库!F:F,Xuất出库!G:G,B108,Xuất出库!C:C,D108)</f>
        <v>0</v>
      </c>
      <c r="G108" s="12"/>
      <c r="H108" s="9">
        <f>SUMIFS(Hoàn回库!E:E,Hoàn回库!G:G,B108,Hoàn回库!C:C,D108)+SUMIFS(Hoàn回库!F:F,Hoàn回库!G:G,B108,Hoàn回库!C:C,D108)</f>
        <v>0</v>
      </c>
      <c r="I108" s="9">
        <f>SUMIFS('Điều hàng调货'!E:E,'Điều hàng调货'!A:A,K108,'Điều hàng调货'!G:G,B108)*-1+SUMIFS('Điều hàng调货'!E:E,'Điều hàng调货'!A:A,K108,'Điều hàng调货'!H:H,B108)+SUMIFS('Điều hàng调货'!F:F,'Điều hàng调货'!A:A,K108,'Điều hàng调货'!G:G,B108)*-1+SUMIFS('Điều hàng调货'!F:F,'Điều hàng调货'!A:A,K108,'Điều hàng调货'!H:H,B108)</f>
        <v>0</v>
      </c>
      <c r="J108" s="9">
        <f t="shared" si="5"/>
        <v>0</v>
      </c>
      <c r="K108" s="9" t="e">
        <f>VLOOKUP($D108,SKU!$A:$I,3,FALSE)</f>
        <v>#N/A</v>
      </c>
      <c r="L108" s="9" t="e">
        <f>VLOOKUP($D108,SKU!$A:$I,2,FALSE)</f>
        <v>#N/A</v>
      </c>
    </row>
    <row r="109" ht="15.75" spans="1:12">
      <c r="A109" s="6"/>
      <c r="B109" s="42" t="s">
        <v>432</v>
      </c>
      <c r="C109" s="43" t="s">
        <v>65</v>
      </c>
      <c r="D109" s="43"/>
      <c r="E109" s="20">
        <f>SUMIFS(Xuất出库!D:D,Xuất出库!G:G,B109,Xuất出库!C:C,D109)</f>
        <v>0</v>
      </c>
      <c r="F109" s="21">
        <f>SUMIFS(Xuất出库!E:E,Xuất出库!G:G,B109,Xuất出库!C:C,D109)+SUMIFS(Xuất出库!F:F,Xuất出库!G:G,B109,Xuất出库!C:C,D109)</f>
        <v>0</v>
      </c>
      <c r="G109" s="43"/>
      <c r="H109" s="21">
        <f>SUMIFS(Hoàn回库!E:E,Hoàn回库!G:G,B109,Hoàn回库!C:C,D109)+SUMIFS(Hoàn回库!F:F,Hoàn回库!G:G,B109,Hoàn回库!C:C,D109)</f>
        <v>0</v>
      </c>
      <c r="I109" s="21">
        <f>SUMIFS('Điều hàng调货'!E:E,'Điều hàng调货'!A:A,K109,'Điều hàng调货'!G:G,B109)*-1+SUMIFS('Điều hàng调货'!E:E,'Điều hàng调货'!A:A,K109,'Điều hàng调货'!H:H,B109)+SUMIFS('Điều hàng调货'!F:F,'Điều hàng调货'!A:A,K109,'Điều hàng调货'!G:G,B109)*-1+SUMIFS('Điều hàng调货'!F:F,'Điều hàng调货'!A:A,K109,'Điều hàng调货'!H:H,B109)</f>
        <v>0</v>
      </c>
      <c r="J109" s="21">
        <f t="shared" si="5"/>
        <v>0</v>
      </c>
      <c r="K109" s="21" t="e">
        <f>VLOOKUP($D109,SKU!$A:$I,3,FALSE)</f>
        <v>#N/A</v>
      </c>
      <c r="L109" s="21" t="e">
        <f>VLOOKUP($D109,SKU!$A:$I,2,FALSE)</f>
        <v>#N/A</v>
      </c>
    </row>
    <row r="110" ht="15.75" spans="1:12">
      <c r="B110" s="44" t="s">
        <v>162</v>
      </c>
      <c r="C110" s="45" t="s">
        <v>65</v>
      </c>
      <c r="D110" s="45" t="s">
        <v>184</v>
      </c>
      <c r="E110" s="46">
        <f>SUMIFS(Xuất出库!D:D,Xuất出库!G:G,B110,Xuất出库!C:C,D110)</f>
        <v>15</v>
      </c>
      <c r="F110" s="47">
        <f>SUMIFS(Xuất出库!E:E,Xuất出库!G:G,B110,Xuất出库!C:C,D110)+SUMIFS(Xuất出库!F:F,Xuất出库!G:G,B110,Xuất出库!C:C,D110)</f>
        <v>300</v>
      </c>
      <c r="G110" s="45">
        <v>220</v>
      </c>
      <c r="H110" s="47">
        <f>SUMIFS(Hoàn回库!E:E,Hoàn回库!G:G,B110,Hoàn回库!C:C,D110)+SUMIFS(Hoàn回库!F:F,Hoàn回库!G:G,B110,Hoàn回库!C:C,D110)</f>
        <v>0</v>
      </c>
      <c r="I110" s="47">
        <f>SUMIFS('Điều hàng调货'!E:E,'Điều hàng调货'!A:A,K110,'Điều hàng调货'!G:G,B110)*-1+SUMIFS('Điều hàng调货'!E:E,'Điều hàng调货'!A:A,K110,'Điều hàng调货'!H:H,B110)+SUMIFS('Điều hàng调货'!F:F,'Điều hàng调货'!A:A,K110,'Điều hàng调货'!G:G,B110)*-1+SUMIFS('Điều hàng调货'!F:F,'Điều hàng调货'!A:A,K110,'Điều hàng调货'!H:H,B110)</f>
        <v>-80</v>
      </c>
      <c r="J110" s="47">
        <f t="shared" ref="J110:J125" si="6">F110-G110-H110+I110</f>
        <v>0</v>
      </c>
      <c r="K110" s="47">
        <f>VLOOKUP($D110,SKU!$A:$I,3,FALSE)</f>
        <v>10039</v>
      </c>
      <c r="L110" s="47" t="str">
        <f>VLOOKUP($D110,SKU!$A:$I,2,FALSE)</f>
        <v>非凡航海王第五弹</v>
      </c>
    </row>
    <row r="111" spans="1:12">
      <c r="B111" s="48" t="s">
        <v>162</v>
      </c>
      <c r="C111" s="29" t="s">
        <v>65</v>
      </c>
      <c r="D111" s="29" t="s">
        <v>290</v>
      </c>
      <c r="E111" s="30">
        <f>SUMIFS(Xuất出库!D:D,Xuất出库!G:G,B111,Xuất出库!C:C,D111)</f>
        <v>1</v>
      </c>
      <c r="F111" s="31">
        <f>SUMIFS(Xuất出库!E:E,Xuất出库!G:G,B111,Xuất出库!C:C,D111)+SUMIFS(Xuất出库!F:F,Xuất出库!G:G,B111,Xuất出库!C:C,D111)</f>
        <v>10</v>
      </c>
      <c r="G111" s="29">
        <v>15</v>
      </c>
      <c r="H111" s="31">
        <f>SUMIFS(Hoàn回库!E:E,Hoàn回库!G:G,B111,Hoàn回库!C:C,D111)+SUMIFS(Hoàn回库!F:F,Hoàn回库!G:G,B111,Hoàn回库!C:C,D111)</f>
        <v>0</v>
      </c>
      <c r="I111" s="31">
        <f>SUMIFS('Điều hàng调货'!E:E,'Điều hàng调货'!A:A,K111,'Điều hàng调货'!G:G,B111)*-1+SUMIFS('Điều hàng调货'!E:E,'Điều hàng调货'!A:A,K111,'Điều hàng调货'!H:H,B111)+SUMIFS('Điều hàng调货'!F:F,'Điều hàng调货'!A:A,K111,'Điều hàng调货'!G:G,B111)*-1+SUMIFS('Điều hàng调货'!F:F,'Điều hàng调货'!A:A,K111,'Điều hàng调货'!H:H,B111)</f>
        <v>5</v>
      </c>
      <c r="J111" s="31">
        <f t="shared" si="6"/>
        <v>0</v>
      </c>
      <c r="K111" s="31">
        <f>VLOOKUP($D111,SKU!$A:$I,3,FALSE)</f>
        <v>10075</v>
      </c>
      <c r="L111" s="31" t="str">
        <f>VLOOKUP($D111,SKU!$A:$I,2,FALSE)</f>
        <v>《万卡卡文创》鬼灭之刃日轮破晓第一弹</v>
      </c>
    </row>
    <row r="112" spans="1:12">
      <c r="B112" s="48" t="s">
        <v>162</v>
      </c>
      <c r="C112" s="29" t="s">
        <v>65</v>
      </c>
      <c r="D112" s="34" t="s">
        <v>255</v>
      </c>
      <c r="E112" s="30">
        <f>SUMIFS(Xuất出库!D:D,Xuất出库!G:G,B112,Xuất出库!C:C,D112)</f>
        <v>0</v>
      </c>
      <c r="F112" s="31">
        <f>SUMIFS(Xuất出库!E:E,Xuất出库!G:G,B112,Xuất出库!C:C,D112)+SUMIFS(Xuất出库!F:F,Xuất出库!G:G,B112,Xuất出库!C:C,D112)</f>
        <v>0</v>
      </c>
      <c r="G112" s="29"/>
      <c r="H112" s="31">
        <f>SUMIFS(Hoàn回库!E:E,Hoàn回库!G:G,B112,Hoàn回库!C:C,D112)+SUMIFS(Hoàn回库!F:F,Hoàn回库!G:G,B112,Hoàn回库!C:C,D112)</f>
        <v>0</v>
      </c>
      <c r="I112" s="31">
        <f>SUMIFS('Điều hàng调货'!E:E,'Điều hàng调货'!A:A,K112,'Điều hàng调货'!G:G,B112)*-1+SUMIFS('Điều hàng调货'!E:E,'Điều hàng调货'!A:A,K112,'Điều hàng调货'!H:H,B112)+SUMIFS('Điều hàng调货'!F:F,'Điều hàng调货'!A:A,K112,'Điều hàng调货'!G:G,B112)*-1+SUMIFS('Điều hàng调货'!F:F,'Điều hàng调货'!A:A,K112,'Điều hàng调货'!H:H,B112)</f>
        <v>20</v>
      </c>
      <c r="J112" s="31">
        <f t="shared" si="6"/>
        <v>20</v>
      </c>
      <c r="K112" s="31">
        <f>VLOOKUP($D112,SKU!$A:$I,3,FALSE)</f>
        <v>10062</v>
      </c>
      <c r="L112" s="31" t="str">
        <f>VLOOKUP($D112,SKU!$A:$I,2,FALSE)</f>
        <v>Mobile Legends: Bang Bang-Collectible Cards-Hand of Destiny-001A-SEA</v>
      </c>
    </row>
    <row r="113" spans="1:12">
      <c r="B113" s="48" t="s">
        <v>162</v>
      </c>
      <c r="C113" s="29" t="s">
        <v>65</v>
      </c>
      <c r="D113" s="34" t="s">
        <v>249</v>
      </c>
      <c r="E113" s="30">
        <f>SUMIFS(Xuất出库!D:D,Xuất出库!G:G,B113,Xuất出库!C:C,D113)</f>
        <v>0</v>
      </c>
      <c r="F113" s="31">
        <f>SUMIFS(Xuất出库!E:E,Xuất出库!G:G,B113,Xuất出库!C:C,D113)+SUMIFS(Xuất出库!F:F,Xuất出库!G:G,B113,Xuất出库!C:C,D113)</f>
        <v>0</v>
      </c>
      <c r="G113" s="29"/>
      <c r="H113" s="31">
        <f>SUMIFS(Hoàn回库!E:E,Hoàn回库!G:G,B113,Hoàn回库!C:C,D113)+SUMIFS(Hoàn回库!F:F,Hoàn回库!G:G,B113,Hoàn回库!C:C,D113)</f>
        <v>0</v>
      </c>
      <c r="I113" s="31">
        <f>SUMIFS('Điều hàng调货'!E:E,'Điều hàng调货'!A:A,K113,'Điều hàng调货'!G:G,B113)*-1+SUMIFS('Điều hàng调货'!E:E,'Điều hàng调货'!A:A,K113,'Điều hàng调货'!H:H,B113)+SUMIFS('Điều hàng调货'!F:F,'Điều hàng调货'!A:A,K113,'Điều hàng调货'!G:G,B113)*-1+SUMIFS('Điều hàng调货'!F:F,'Điều hàng调货'!A:A,K113,'Điều hàng调货'!H:H,B113)</f>
        <v>13</v>
      </c>
      <c r="J113" s="31">
        <f t="shared" si="6"/>
        <v>13</v>
      </c>
      <c r="K113" s="31">
        <f>VLOOKUP($D113,SKU!$A:$I,3,FALSE)</f>
        <v>10060</v>
      </c>
      <c r="L113" s="31" t="str">
        <f>VLOOKUP($D113,SKU!$A:$I,2,FALSE)</f>
        <v>漫の森《宫崎骏第三弹·奇幻之旅》</v>
      </c>
    </row>
    <row r="114" spans="1:12">
      <c r="B114" s="48" t="s">
        <v>162</v>
      </c>
      <c r="C114" s="29" t="s">
        <v>65</v>
      </c>
      <c r="D114" s="29" t="s">
        <v>293</v>
      </c>
      <c r="E114" s="30">
        <f>SUMIFS(Xuất出库!D:D,Xuất出库!G:G,B114,Xuất出库!C:C,D114)</f>
        <v>0</v>
      </c>
      <c r="F114" s="31">
        <f>SUMIFS(Xuất出库!E:E,Xuất出库!G:G,B114,Xuất出库!C:C,D114)+SUMIFS(Xuất出库!F:F,Xuất出库!G:G,B114,Xuất出库!C:C,D114)</f>
        <v>0</v>
      </c>
      <c r="G114" s="29">
        <v>13</v>
      </c>
      <c r="H114" s="31">
        <f>SUMIFS(Hoàn回库!E:E,Hoàn回库!G:G,B114,Hoàn回库!C:C,D114)+SUMIFS(Hoàn回库!F:F,Hoàn回库!G:G,B114,Hoàn回库!C:C,D114)</f>
        <v>0</v>
      </c>
      <c r="I114" s="31">
        <f>SUMIFS('Điều hàng调货'!E:E,'Điều hàng调货'!A:A,K114,'Điều hàng调货'!G:G,B114)*-1+SUMIFS('Điều hàng调货'!E:E,'Điều hàng调货'!A:A,K114,'Điều hàng调货'!H:H,B114)+SUMIFS('Điều hàng调货'!F:F,'Điều hàng调货'!A:A,K114,'Điều hàng调货'!G:G,B114)*-1+SUMIFS('Điều hàng调货'!F:F,'Điều hàng调货'!A:A,K114,'Điều hàng调货'!H:H,B114)</f>
        <v>13</v>
      </c>
      <c r="J114" s="31">
        <f t="shared" si="6"/>
        <v>0</v>
      </c>
      <c r="K114" s="31">
        <f>VLOOKUP($D114,SKU!$A:$I,3,FALSE)</f>
        <v>10076</v>
      </c>
      <c r="L114" s="31" t="str">
        <f>VLOOKUP($D114,SKU!$A:$I,2,FALSE)</f>
        <v>【Aikaho】鬼灭之刃第四弹 集结 【DS-04 Muster】</v>
      </c>
    </row>
    <row r="115" spans="1:12">
      <c r="B115" s="48" t="s">
        <v>162</v>
      </c>
      <c r="C115" s="29" t="s">
        <v>65</v>
      </c>
      <c r="D115" s="29" t="s">
        <v>338</v>
      </c>
      <c r="E115" s="30">
        <f>SUMIFS(Xuất出库!D:D,Xuất出库!G:G,B115,Xuất出库!C:C,D115)</f>
        <v>2</v>
      </c>
      <c r="F115" s="31">
        <f>SUMIFS(Xuất出库!E:E,Xuất出库!G:G,B115,Xuất出库!C:C,D115)+SUMIFS(Xuất出库!F:F,Xuất出库!G:G,B115,Xuất出库!C:C,D115)</f>
        <v>26</v>
      </c>
      <c r="G115" s="29">
        <v>3</v>
      </c>
      <c r="H115" s="31">
        <f>SUMIFS(Hoàn回库!E:E,Hoàn回库!G:G,B115,Hoàn回库!C:C,D115)+SUMIFS(Hoàn回库!F:F,Hoàn回库!G:G,B115,Hoàn回库!C:C,D115)</f>
        <v>0</v>
      </c>
      <c r="I115" s="31">
        <f>SUMIFS('Điều hàng调货'!E:E,'Điều hàng调货'!A:A,K115,'Điều hàng调货'!G:G,B115)*-1+SUMIFS('Điều hàng调货'!E:E,'Điều hàng调货'!A:A,K115,'Điều hàng调货'!H:H,B115)+SUMIFS('Điều hàng调货'!F:F,'Điều hàng调货'!A:A,K115,'Điều hàng调货'!G:G,B115)*-1+SUMIFS('Điều hàng调货'!F:F,'Điều hàng调货'!A:A,K115,'Điều hàng调货'!H:H,B115)</f>
        <v>0</v>
      </c>
      <c r="J115" s="31">
        <f t="shared" si="6"/>
        <v>23</v>
      </c>
      <c r="K115" s="31">
        <f>VLOOKUP($D115,SKU!$A:$I,3,FALSE)</f>
        <v>10093</v>
      </c>
      <c r="L115" s="31" t="str">
        <f>VLOOKUP($D115,SKU!$A:$I,2,FALSE)</f>
        <v>星绘社新海诚系列卡牌</v>
      </c>
    </row>
    <row r="116" spans="1:12">
      <c r="B116" s="48" t="s">
        <v>162</v>
      </c>
      <c r="C116" s="29" t="s">
        <v>65</v>
      </c>
      <c r="D116" s="29" t="s">
        <v>367</v>
      </c>
      <c r="E116" s="30">
        <f>SUMIFS(Xuất出库!D:D,Xuất出库!G:G,B116,Xuất出库!C:C,D116)</f>
        <v>1</v>
      </c>
      <c r="F116" s="31">
        <f>SUMIFS(Xuất出库!E:E,Xuất出库!G:G,B116,Xuất出库!C:C,D116)+SUMIFS(Xuất出库!F:F,Xuất出库!G:G,B116,Xuất出库!C:C,D116)</f>
        <v>20</v>
      </c>
      <c r="G116" s="29">
        <v>18</v>
      </c>
      <c r="H116" s="31">
        <f>SUMIFS(Hoàn回库!E:E,Hoàn回库!G:G,B116,Hoàn回库!C:C,D116)+SUMIFS(Hoàn回库!F:F,Hoàn回库!G:G,B116,Hoàn回库!C:C,D116)</f>
        <v>0</v>
      </c>
      <c r="I116" s="31">
        <f>SUMIFS('Điều hàng调货'!E:E,'Điều hàng调货'!A:A,K116,'Điều hàng调货'!G:G,B116)*-1+SUMIFS('Điều hàng调货'!E:E,'Điều hàng调货'!A:A,K116,'Điều hàng调货'!H:H,B116)+SUMIFS('Điều hàng调货'!F:F,'Điều hàng调货'!A:A,K116,'Điều hàng调货'!G:G,B116)*-1+SUMIFS('Điều hàng调货'!F:F,'Điều hàng调货'!A:A,K116,'Điều hàng调货'!H:H,B116)</f>
        <v>78</v>
      </c>
      <c r="J116" s="31">
        <f t="shared" si="6"/>
        <v>80</v>
      </c>
      <c r="K116" s="31">
        <f>VLOOKUP($D116,SKU!$A:$I,3,FALSE)</f>
        <v>10103</v>
      </c>
      <c r="L116" s="31" t="str">
        <f>VLOOKUP($D116,SKU!$A:$I,2,FALSE)</f>
        <v>疯狂动物城白金收藏卡狐兔神探</v>
      </c>
    </row>
    <row r="117" spans="1:12">
      <c r="B117" s="48" t="s">
        <v>162</v>
      </c>
      <c r="C117" s="29" t="s">
        <v>65</v>
      </c>
      <c r="D117" s="29" t="s">
        <v>266</v>
      </c>
      <c r="E117" s="30">
        <f>SUMIFS(Xuất出库!D:D,Xuất出库!G:G,B117,Xuất出库!C:C,D117)</f>
        <v>0</v>
      </c>
      <c r="F117" s="31">
        <f>SUMIFS(Xuất出库!E:E,Xuất出库!G:G,B117,Xuất出库!C:C,D117)+SUMIFS(Xuất出库!F:F,Xuất出库!G:G,B117,Xuất出库!C:C,D117)</f>
        <v>0</v>
      </c>
      <c r="G117" s="29">
        <v>5</v>
      </c>
      <c r="H117" s="31">
        <f>SUMIFS(Hoàn回库!E:E,Hoàn回库!G:G,B117,Hoàn回库!C:C,D117)+SUMIFS(Hoàn回库!F:F,Hoàn回库!G:G,B117,Hoàn回库!C:C,D117)</f>
        <v>0</v>
      </c>
      <c r="I117" s="31">
        <f>SUMIFS('Điều hàng调货'!E:E,'Điều hàng调货'!A:A,K117,'Điều hàng调货'!G:G,B117)*-1+SUMIFS('Điều hàng调货'!E:E,'Điều hàng调货'!A:A,K117,'Điều hàng调货'!H:H,B117)+SUMIFS('Điều hàng调货'!F:F,'Điều hàng调货'!A:A,K117,'Điều hàng调货'!G:G,B117)*-1+SUMIFS('Điều hàng调货'!F:F,'Điều hàng调货'!A:A,K117,'Điều hàng调货'!H:H,B117)</f>
        <v>5</v>
      </c>
      <c r="J117" s="31">
        <f t="shared" si="6"/>
        <v>0</v>
      </c>
      <c r="K117" s="31">
        <f>VLOOKUP($D117,SKU!$A:$I,3,FALSE)</f>
        <v>10066</v>
      </c>
      <c r="L117" s="31" t="str">
        <f>VLOOKUP($D117,SKU!$A:$I,2,FALSE)</f>
        <v>卡游柯南揭秘包第2弹</v>
      </c>
    </row>
    <row r="118" spans="1:12">
      <c r="B118" s="48" t="s">
        <v>162</v>
      </c>
      <c r="C118" s="29" t="s">
        <v>65</v>
      </c>
      <c r="D118" s="29"/>
      <c r="E118" s="30">
        <f>SUMIFS(Xuất出库!D:D,Xuất出库!G:G,B118,Xuất出库!C:C,D118)</f>
        <v>0</v>
      </c>
      <c r="F118" s="31">
        <f>SUMIFS(Xuất出库!E:E,Xuất出库!G:G,B118,Xuất出库!C:C,D118)+SUMIFS(Xuất出库!F:F,Xuất出库!G:G,B118,Xuất出库!C:C,D118)</f>
        <v>0</v>
      </c>
      <c r="G118" s="29"/>
      <c r="H118" s="31">
        <f>SUMIFS(Hoàn回库!E:E,Hoàn回库!G:G,B118,Hoàn回库!C:C,D118)+SUMIFS(Hoàn回库!F:F,Hoàn回库!G:G,B118,Hoàn回库!C:C,D118)</f>
        <v>0</v>
      </c>
      <c r="I118" s="31">
        <f>SUMIFS('Điều hàng调货'!E:E,'Điều hàng调货'!A:A,K118,'Điều hàng调货'!G:G,B118)*-1+SUMIFS('Điều hàng调货'!E:E,'Điều hàng调货'!A:A,K118,'Điều hàng调货'!H:H,B118)+SUMIFS('Điều hàng调货'!F:F,'Điều hàng调货'!A:A,K118,'Điều hàng调货'!G:G,B118)*-1+SUMIFS('Điều hàng调货'!F:F,'Điều hàng调货'!A:A,K118,'Điều hàng调货'!H:H,B118)</f>
        <v>0</v>
      </c>
      <c r="J118" s="31">
        <f t="shared" si="6"/>
        <v>0</v>
      </c>
      <c r="K118" s="31" t="e">
        <f>VLOOKUP($D118,SKU!$A:$I,3,FALSE)</f>
        <v>#N/A</v>
      </c>
      <c r="L118" s="31" t="e">
        <f>VLOOKUP($D118,SKU!$A:$I,2,FALSE)</f>
        <v>#N/A</v>
      </c>
    </row>
    <row r="119" spans="1:12">
      <c r="B119" s="48" t="s">
        <v>162</v>
      </c>
      <c r="C119" s="29" t="s">
        <v>65</v>
      </c>
      <c r="D119" s="29"/>
      <c r="E119" s="30">
        <f>SUMIFS(Xuất出库!D:D,Xuất出库!G:G,B119,Xuất出库!C:C,D119)</f>
        <v>0</v>
      </c>
      <c r="F119" s="31">
        <f>SUMIFS(Xuất出库!E:E,Xuất出库!G:G,B119,Xuất出库!C:C,D119)+SUMIFS(Xuất出库!F:F,Xuất出库!G:G,B119,Xuất出库!C:C,D119)</f>
        <v>0</v>
      </c>
      <c r="G119" s="29"/>
      <c r="H119" s="31">
        <f>SUMIFS(Hoàn回库!E:E,Hoàn回库!G:G,B119,Hoàn回库!C:C,D119)+SUMIFS(Hoàn回库!F:F,Hoàn回库!G:G,B119,Hoàn回库!C:C,D119)</f>
        <v>0</v>
      </c>
      <c r="I119" s="31">
        <f>SUMIFS('Điều hàng调货'!E:E,'Điều hàng调货'!A:A,K119,'Điều hàng调货'!G:G,B119)*-1+SUMIFS('Điều hàng调货'!E:E,'Điều hàng调货'!A:A,K119,'Điều hàng调货'!H:H,B119)+SUMIFS('Điều hàng调货'!F:F,'Điều hàng调货'!A:A,K119,'Điều hàng调货'!G:G,B119)*-1+SUMIFS('Điều hàng调货'!F:F,'Điều hàng调货'!A:A,K119,'Điều hàng调货'!H:H,B119)</f>
        <v>0</v>
      </c>
      <c r="J119" s="31">
        <f t="shared" si="6"/>
        <v>0</v>
      </c>
      <c r="K119" s="31" t="e">
        <f>VLOOKUP($D119,SKU!$A:$I,3,FALSE)</f>
        <v>#N/A</v>
      </c>
      <c r="L119" s="31" t="e">
        <f>VLOOKUP($D119,SKU!$A:$I,2,FALSE)</f>
        <v>#N/A</v>
      </c>
    </row>
    <row r="120" ht="15.75" spans="1:12">
      <c r="B120" s="49" t="s">
        <v>162</v>
      </c>
      <c r="C120" s="18" t="s">
        <v>65</v>
      </c>
      <c r="D120" s="18"/>
      <c r="E120" s="50">
        <f>SUMIFS(Xuất出库!D:D,Xuất出库!G:G,B120,Xuất出库!C:C,D120)</f>
        <v>0</v>
      </c>
      <c r="F120" s="51">
        <f>SUMIFS(Xuất出库!E:E,Xuất出库!G:G,B120,Xuất出库!C:C,D120)+SUMIFS(Xuất出库!F:F,Xuất出库!G:G,B120,Xuất出库!C:C,D120)</f>
        <v>0</v>
      </c>
      <c r="G120" s="18"/>
      <c r="H120" s="51">
        <f>SUMIFS(Hoàn回库!E:E,Hoàn回库!G:G,B120,Hoàn回库!C:C,D120)+SUMIFS(Hoàn回库!F:F,Hoàn回库!G:G,B120,Hoàn回库!C:C,D120)</f>
        <v>0</v>
      </c>
      <c r="I120" s="51">
        <f>SUMIFS('Điều hàng调货'!E:E,'Điều hàng调货'!A:A,K120,'Điều hàng调货'!G:G,B120)*-1+SUMIFS('Điều hàng调货'!E:E,'Điều hàng调货'!A:A,K120,'Điều hàng调货'!H:H,B120)+SUMIFS('Điều hàng调货'!F:F,'Điều hàng调货'!A:A,K120,'Điều hàng调货'!G:G,B120)*-1+SUMIFS('Điều hàng调货'!F:F,'Điều hàng调货'!A:A,K120,'Điều hàng调货'!H:H,B120)</f>
        <v>0</v>
      </c>
      <c r="J120" s="51">
        <f t="shared" si="6"/>
        <v>0</v>
      </c>
      <c r="K120" s="51" t="e">
        <f>VLOOKUP($D120,SKU!$A:$I,3,FALSE)</f>
        <v>#N/A</v>
      </c>
      <c r="L120" s="51" t="e">
        <f>VLOOKUP($D120,SKU!$A:$I,2,FALSE)</f>
        <v>#N/A</v>
      </c>
    </row>
    <row r="121" ht="15.75" spans="1:12">
      <c r="B121" s="52" t="s">
        <v>138</v>
      </c>
      <c r="C121" s="53" t="s">
        <v>406</v>
      </c>
      <c r="D121" s="23" t="s">
        <v>199</v>
      </c>
      <c r="E121" s="25">
        <f>SUMIFS(Xuất出库!D:D,Xuất出库!G:G,B121,Xuất出库!C:C,D121)</f>
        <v>2</v>
      </c>
      <c r="F121" s="25">
        <f>SUMIFS(Xuất出库!E:E,Xuất出库!G:G,B121,Xuất出库!C:C,D121)+SUMIFS(Xuất出库!F:F,Xuất出库!G:G,B121,Xuất出库!C:C,D121)</f>
        <v>26</v>
      </c>
      <c r="G121" s="54">
        <v>1</v>
      </c>
      <c r="H121" s="25">
        <f>SUMIFS(Hoàn回库!E:E,Hoàn回库!G:G,B121,Hoàn回库!C:C,D121)+SUMIFS(Hoàn回库!F:F,Hoàn回库!G:G,B121,Hoàn回库!C:C,D121)</f>
        <v>0</v>
      </c>
      <c r="I121" s="25">
        <f>SUMIFS('Điều hàng调货'!E:E,'Điều hàng调货'!A:A,K121,'Điều hàng调货'!G:G,B121)*-1+SUMIFS('Điều hàng调货'!E:E,'Điều hàng调货'!A:A,K121,'Điều hàng调货'!H:H,B121)+SUMIFS('Điều hàng调货'!F:F,'Điều hàng调货'!A:A,K121,'Điều hàng调货'!G:G,B121)*-1+SUMIFS('Điều hàng调货'!F:F,'Điều hàng调货'!A:A,K121,'Điều hàng调货'!H:H,B121)</f>
        <v>0</v>
      </c>
      <c r="J121" s="25">
        <f t="shared" si="6"/>
        <v>25</v>
      </c>
      <c r="K121" s="25">
        <f>VLOOKUP($D121,SKU!$A:$I,3,FALSE)</f>
        <v>10043</v>
      </c>
      <c r="L121" s="25" t="str">
        <f>VLOOKUP($D121,SKU!$A:$I,2,FALSE)</f>
        <v>光恋XR-披荆斩棘-美少女战士</v>
      </c>
    </row>
    <row r="122" spans="1:12">
      <c r="B122" s="52" t="s">
        <v>138</v>
      </c>
      <c r="C122" s="53" t="s">
        <v>406</v>
      </c>
      <c r="D122" s="6" t="s">
        <v>99</v>
      </c>
      <c r="E122" s="9">
        <f>SUMIFS(Xuất出库!D:D,Xuất出库!G:G,B122,Xuất出库!C:C,D122)</f>
        <v>2</v>
      </c>
      <c r="F122" s="9">
        <f>SUMIFS(Xuất出库!E:E,Xuất出库!G:G,B122,Xuất出库!C:C,D122)+SUMIFS(Xuất出库!F:F,Xuất出库!G:G,B122,Xuất出库!C:C,D122)</f>
        <v>26</v>
      </c>
      <c r="G122" s="6"/>
      <c r="H122" s="9">
        <f>SUMIFS(Hoàn回库!E:E,Hoàn回库!G:G,B122,Hoàn回库!C:C,D122)+SUMIFS(Hoàn回库!F:F,Hoàn回库!G:G,B122,Hoàn回库!C:C,D122)</f>
        <v>0</v>
      </c>
      <c r="I122" s="9">
        <f>SUMIFS('Điều hàng调货'!E:E,'Điều hàng调货'!A:A,K122,'Điều hàng调货'!G:G,B122)*-1+SUMIFS('Điều hàng调货'!E:E,'Điều hàng调货'!A:A,K122,'Điều hàng调货'!H:H,B122)+SUMIFS('Điều hàng调货'!F:F,'Điều hàng调货'!A:A,K122,'Điều hàng调货'!G:G,B122)*-1+SUMIFS('Điều hàng调货'!F:F,'Điều hàng调货'!A:A,K122,'Điều hàng调货'!H:H,B122)</f>
        <v>0</v>
      </c>
      <c r="J122" s="9">
        <f t="shared" si="6"/>
        <v>26</v>
      </c>
      <c r="K122" s="9">
        <f>VLOOKUP($D122,SKU!$A:$I,3,FALSE)</f>
        <v>10018</v>
      </c>
      <c r="L122" s="9" t="str">
        <f>VLOOKUP($D122,SKU!$A:$I,2,FALSE)</f>
        <v>圣月美少女战士星尘协奏曲长卡</v>
      </c>
    </row>
    <row r="123" spans="1:12">
      <c r="B123" s="52" t="s">
        <v>138</v>
      </c>
      <c r="C123" s="53" t="s">
        <v>406</v>
      </c>
      <c r="D123" s="6" t="s">
        <v>184</v>
      </c>
      <c r="E123" s="9">
        <f>SUMIFS(Xuất出库!D:D,Xuất出库!G:G,B123,Xuất出库!C:C,D123)</f>
        <v>4</v>
      </c>
      <c r="F123" s="9">
        <f>SUMIFS(Xuất出库!E:E,Xuất出库!G:G,B123,Xuất出库!C:C,D123)+SUMIFS(Xuất出库!F:F,Xuất出库!G:G,B123,Xuất出库!C:C,D123)</f>
        <v>80</v>
      </c>
      <c r="G123" s="6"/>
      <c r="H123" s="9">
        <f>SUMIFS(Hoàn回库!E:E,Hoàn回库!G:G,B123,Hoàn回库!C:C,D123)+SUMIFS(Hoàn回库!F:F,Hoàn回库!G:G,B123,Hoàn回库!C:C,D123)</f>
        <v>0</v>
      </c>
      <c r="I123" s="9">
        <f>SUMIFS('Điều hàng调货'!E:E,'Điều hàng调货'!A:A,K123,'Điều hàng调货'!G:G,B123)*-1+SUMIFS('Điều hàng调货'!E:E,'Điều hàng调货'!A:A,K123,'Điều hàng调货'!H:H,B123)+SUMIFS('Điều hàng调货'!F:F,'Điều hàng调货'!A:A,K123,'Điều hàng调货'!G:G,B123)*-1+SUMIFS('Điều hàng调货'!F:F,'Điều hàng调货'!A:A,K123,'Điều hàng调货'!H:H,B123)</f>
        <v>-80</v>
      </c>
      <c r="J123" s="9">
        <f t="shared" si="6"/>
        <v>0</v>
      </c>
      <c r="K123" s="9">
        <f>VLOOKUP($D123,SKU!$A:$I,3,FALSE)</f>
        <v>10039</v>
      </c>
      <c r="L123" s="9" t="str">
        <f>VLOOKUP($D123,SKU!$A:$I,2,FALSE)</f>
        <v>非凡航海王第五弹</v>
      </c>
    </row>
    <row r="124" spans="1:12">
      <c r="B124" s="52" t="s">
        <v>138</v>
      </c>
      <c r="C124" s="53" t="s">
        <v>406</v>
      </c>
      <c r="D124" s="6" t="s">
        <v>83</v>
      </c>
      <c r="E124" s="9">
        <f>SUMIFS(Xuất出库!D:D,Xuất出库!G:G,B124,Xuất出库!C:C,D124)</f>
        <v>10</v>
      </c>
      <c r="F124" s="9">
        <f>SUMIFS(Xuất出库!E:E,Xuất出库!G:G,B124,Xuất出库!C:C,D124)+SUMIFS(Xuất出库!F:F,Xuất出库!G:G,B124,Xuất出库!C:C,D124)</f>
        <v>30</v>
      </c>
      <c r="G124" s="6"/>
      <c r="H124" s="9">
        <f>SUMIFS(Hoàn回库!E:E,Hoàn回库!G:G,B124,Hoàn回库!C:C,D124)+SUMIFS(Hoàn回库!F:F,Hoàn回库!G:G,B124,Hoàn回库!C:C,D124)</f>
        <v>30</v>
      </c>
      <c r="I124" s="9">
        <f>SUMIFS('Điều hàng调货'!E:E,'Điều hàng调货'!A:A,K124,'Điều hàng调货'!G:G,B124)*-1+SUMIFS('Điều hàng调货'!E:E,'Điều hàng调货'!A:A,K124,'Điều hàng调货'!H:H,B124)+SUMIFS('Điều hàng调货'!F:F,'Điều hàng调货'!A:A,K124,'Điều hàng调货'!G:G,B124)*-1+SUMIFS('Điều hàng调货'!F:F,'Điều hàng调货'!A:A,K124,'Điều hàng调货'!H:H,B124)</f>
        <v>0</v>
      </c>
      <c r="J124" s="9">
        <f t="shared" si="6"/>
        <v>0</v>
      </c>
      <c r="K124" s="9">
        <f>VLOOKUP($D124,SKU!$A:$I,3,FALSE)</f>
        <v>10014</v>
      </c>
      <c r="L124" s="9" t="str">
        <f>VLOOKUP($D124,SKU!$A:$I,2,FALSE)</f>
        <v>星梦文创-Studio Ghibli宫崎骏撕撕乐系列 </v>
      </c>
    </row>
    <row r="125" ht="15.75" spans="1:12">
      <c r="B125" s="55" t="s">
        <v>138</v>
      </c>
      <c r="C125" s="56" t="s">
        <v>406</v>
      </c>
      <c r="D125" s="43" t="s">
        <v>222</v>
      </c>
      <c r="E125" s="21">
        <f>SUMIFS(Xuất出库!D:D,Xuất出库!G:G,B125,Xuất出库!C:C,D125)</f>
        <v>1</v>
      </c>
      <c r="F125" s="21">
        <f>SUMIFS(Xuất出库!E:E,Xuất出库!G:G,B125,Xuất出库!C:C,D125)+SUMIFS(Xuất出库!F:F,Xuất出库!G:G,B125,Xuất出库!C:C,D125)</f>
        <v>15</v>
      </c>
      <c r="G125" s="43">
        <v>4</v>
      </c>
      <c r="H125" s="21">
        <f>SUMIFS(Hoàn回库!E:E,Hoàn回库!G:G,B125,Hoàn回库!C:C,D125)+SUMIFS(Hoàn回库!F:F,Hoàn回库!G:G,B125,Hoàn回库!C:C,D125)</f>
        <v>11</v>
      </c>
      <c r="I125" s="21">
        <f>SUMIFS('Điều hàng调货'!E:E,'Điều hàng调货'!A:A,K125,'Điều hàng调货'!G:G,B125)*-1+SUMIFS('Điều hàng调货'!E:E,'Điều hàng调货'!A:A,K125,'Điều hàng调货'!H:H,B125)+SUMIFS('Điều hàng调货'!F:F,'Điều hàng调货'!A:A,K125,'Điều hàng调货'!G:G,B125)*-1+SUMIFS('Điều hàng调货'!F:F,'Điều hàng调货'!A:A,K125,'Điều hàng调货'!H:H,B125)</f>
        <v>0</v>
      </c>
      <c r="J125" s="21">
        <f t="shared" si="6"/>
        <v>0</v>
      </c>
      <c r="K125" s="21">
        <f>VLOOKUP($D125,SKU!$A:$I,3,FALSE)</f>
        <v>10051</v>
      </c>
      <c r="L125" s="21" t="str">
        <f>VLOOKUP($D125,SKU!$A:$I,2,FALSE)</f>
        <v>南卡《魔卡少女樱》</v>
      </c>
    </row>
    <row r="126" ht="15.75" spans="1:12">
      <c r="A126" s="6"/>
      <c r="B126" s="57" t="s">
        <v>33</v>
      </c>
      <c r="C126" s="23" t="s">
        <v>424</v>
      </c>
      <c r="D126" s="23" t="s">
        <v>111</v>
      </c>
      <c r="E126" s="24">
        <f>SUMIFS(Xuất出库!D:D,Xuất出库!G:G,B126,Xuất出库!C:C,D126)</f>
        <v>27</v>
      </c>
      <c r="F126" s="25">
        <f>SUMIFS(Xuất出库!E:E,Xuất出库!G:G,B126,Xuất出库!C:C,D126)+SUMIFS(Xuất出库!F:F,Xuất出库!G:G,B126,Xuất出库!C:C,D126)</f>
        <v>162</v>
      </c>
      <c r="G126" s="23">
        <f>18+3+6+7+11+40+16+6+1+33</f>
        <v>141</v>
      </c>
      <c r="H126" s="25">
        <f>SUMIFS(Hoàn回库!E:E,Hoàn回库!G:G,B126,Hoàn回库!C:C,D126)+SUMIFS(Hoàn回库!F:F,Hoàn回库!G:G,B126,Hoàn回库!C:C,D126)</f>
        <v>21</v>
      </c>
      <c r="I126" s="25">
        <f>SUMIFS('Điều hàng调货'!E:E,'Điều hàng调货'!A:A,K126,'Điều hàng调货'!G:G,B126)*-1+SUMIFS('Điều hàng调货'!E:E,'Điều hàng调货'!A:A,K126,'Điều hàng调货'!H:H,B126)+SUMIFS('Điều hàng调货'!F:F,'Điều hàng调货'!A:A,K126,'Điều hàng调货'!G:G,B126)*-1+SUMIFS('Điều hàng调货'!F:F,'Điều hàng调货'!A:A,K126,'Điều hàng调货'!H:H,B126)</f>
        <v>0</v>
      </c>
      <c r="J126" s="25">
        <f t="shared" ref="J126:J163" si="7">F126-G126-H126+I126</f>
        <v>0</v>
      </c>
      <c r="K126" s="25">
        <f>VLOOKUP($D126,SKU!$A:$I,3,FALSE)</f>
        <v>10021</v>
      </c>
      <c r="L126" s="25" t="str">
        <f>VLOOKUP($D126,SKU!$A:$I,2,FALSE)</f>
        <v>新谷动漫名侦探柯南·仲夏夜之恋邮票集</v>
      </c>
    </row>
    <row r="127" spans="1:12">
      <c r="A127" s="6"/>
      <c r="B127" s="7" t="s">
        <v>33</v>
      </c>
      <c r="C127" s="6" t="s">
        <v>424</v>
      </c>
      <c r="D127" s="1" t="s">
        <v>123</v>
      </c>
      <c r="E127" s="8">
        <f>SUMIFS(Xuất出库!D:D,Xuất出库!G:G,B127,Xuất出库!C:C,D127)</f>
        <v>21</v>
      </c>
      <c r="F127" s="9">
        <f>SUMIFS(Xuất出库!E:E,Xuất出库!G:G,B127,Xuất出库!C:C,D127)+SUMIFS(Xuất出库!F:F,Xuất出库!G:G,B127,Xuất出库!C:C,D127)</f>
        <v>21</v>
      </c>
      <c r="G127" s="6">
        <f>2+1+3+1</f>
        <v>7</v>
      </c>
      <c r="H127" s="9">
        <f>SUMIFS(Hoàn回库!E:E,Hoàn回库!G:G,B127,Hoàn回库!C:C,D127)+SUMIFS(Hoàn回库!F:F,Hoàn回库!G:G,B127,Hoàn回库!C:C,D127)</f>
        <v>14</v>
      </c>
      <c r="I127" s="9">
        <f>SUMIFS('Điều hàng调货'!E:E,'Điều hàng调货'!A:A,K127,'Điều hàng调货'!G:G,B127)*-1+SUMIFS('Điều hàng调货'!E:E,'Điều hàng调货'!A:A,K127,'Điều hàng调货'!H:H,B127)+SUMIFS('Điều hàng调货'!F:F,'Điều hàng调货'!A:A,K127,'Điều hàng调货'!G:G,B127)*-1+SUMIFS('Điều hàng调货'!F:F,'Điều hàng调货'!A:A,K127,'Điều hàng调货'!H:H,B127)</f>
        <v>0</v>
      </c>
      <c r="J127" s="9">
        <f t="shared" si="7"/>
        <v>0</v>
      </c>
      <c r="K127" s="9">
        <f>VLOOKUP($D127,SKU!$A:$I,3,FALSE)</f>
        <v>10024</v>
      </c>
      <c r="L127" s="9" t="str">
        <f>VLOOKUP($D127,SKU!$A:$I,2,FALSE)</f>
        <v>漫影工作室-柯南-A5 大卡第一弹</v>
      </c>
    </row>
    <row r="128" spans="1:12">
      <c r="A128" s="6"/>
      <c r="B128" s="7" t="s">
        <v>33</v>
      </c>
      <c r="C128" s="6" t="s">
        <v>424</v>
      </c>
      <c r="D128" s="6" t="s">
        <v>205</v>
      </c>
      <c r="E128" s="8">
        <f>SUMIFS(Xuất出库!D:D,Xuất出库!G:G,B128,Xuất出库!C:C,D128)</f>
        <v>16</v>
      </c>
      <c r="F128" s="9">
        <f>SUMIFS(Xuất出库!E:E,Xuất出库!G:G,B128,Xuất出库!C:C,D128)+SUMIFS(Xuất出库!F:F,Xuất出库!G:G,B128,Xuất出库!C:C,D128)</f>
        <v>16</v>
      </c>
      <c r="G128" s="10">
        <f>2+1+4+2</f>
        <v>9</v>
      </c>
      <c r="H128" s="9">
        <f>SUMIFS(Hoàn回库!E:E,Hoàn回库!G:G,B128,Hoàn回库!C:C,D128)+SUMIFS(Hoàn回库!F:F,Hoàn回库!G:G,B128,Hoàn回库!C:C,D128)</f>
        <v>0</v>
      </c>
      <c r="I128" s="9">
        <f>SUMIFS('Điều hàng调货'!E:E,'Điều hàng调货'!A:A,K128,'Điều hàng调货'!G:G,B128)*-1+SUMIFS('Điều hàng调货'!E:E,'Điều hàng调货'!A:A,K128,'Điều hàng调货'!H:H,B128)+SUMIFS('Điều hàng调货'!F:F,'Điều hàng调货'!A:A,K128,'Điều hàng调货'!G:G,B128)*-1+SUMIFS('Điều hàng调货'!F:F,'Điều hàng调货'!A:A,K128,'Điều hàng调货'!H:H,B128)</f>
        <v>0</v>
      </c>
      <c r="J128" s="9">
        <f t="shared" si="7"/>
        <v>7</v>
      </c>
      <c r="K128" s="9">
        <f>VLOOKUP($D128,SKU!$A:$I,3,FALSE)</f>
        <v>10045</v>
      </c>
      <c r="L128" s="9" t="str">
        <f>VLOOKUP($D128,SKU!$A:$I,2,FALSE)</f>
        <v>名侦探柯南谜层交错</v>
      </c>
    </row>
    <row r="129" spans="1:12">
      <c r="A129" s="6"/>
      <c r="B129" s="7" t="s">
        <v>33</v>
      </c>
      <c r="C129" s="6" t="s">
        <v>424</v>
      </c>
      <c r="D129" s="6" t="s">
        <v>49</v>
      </c>
      <c r="E129" s="8">
        <f>SUMIFS(Xuất出库!D:D,Xuất出库!G:G,B129,Xuất出库!C:C,D129)</f>
        <v>10</v>
      </c>
      <c r="F129" s="9">
        <f>SUMIFS(Xuất出库!E:E,Xuất出库!G:G,B129,Xuất出库!C:C,D129)+SUMIFS(Xuất出库!F:F,Xuất出库!G:G,B129,Xuất出库!C:C,D129)</f>
        <v>165</v>
      </c>
      <c r="G129" s="6">
        <f>15+9+2+13+30+3+23</f>
        <v>95</v>
      </c>
      <c r="H129" s="9">
        <f>SUMIFS(Hoàn回库!E:E,Hoàn回库!G:G,B129,Hoàn回库!C:C,D129)+SUMIFS(Hoàn回库!F:F,Hoàn回库!G:G,B129,Hoàn回库!C:C,D129)</f>
        <v>39</v>
      </c>
      <c r="I129" s="9">
        <f>SUMIFS('Điều hàng调货'!E:E,'Điều hàng调货'!A:A,K129,'Điều hàng调货'!G:G,B129)*-1+SUMIFS('Điều hàng调货'!E:E,'Điều hàng调货'!A:A,K129,'Điều hàng调货'!H:H,B129)+SUMIFS('Điều hàng调货'!F:F,'Điều hàng调货'!A:A,K129,'Điều hàng调货'!G:G,B129)*-1+SUMIFS('Điều hàng调货'!F:F,'Điều hàng调货'!A:A,K129,'Điều hàng调货'!H:H,B129)</f>
        <v>-31</v>
      </c>
      <c r="J129" s="9">
        <f t="shared" si="7"/>
        <v>0</v>
      </c>
      <c r="K129" s="9">
        <f>VLOOKUP($D129,SKU!$A:$I,3,FALSE)</f>
        <v>10007</v>
      </c>
      <c r="L129" s="9" t="str">
        <f>VLOOKUP($D129,SKU!$A:$I,2,FALSE)</f>
        <v>kawaii宫崎骏梦幻之国</v>
      </c>
    </row>
    <row r="130" spans="1:12">
      <c r="A130" s="6"/>
      <c r="B130" s="7" t="s">
        <v>33</v>
      </c>
      <c r="C130" s="6" t="s">
        <v>424</v>
      </c>
      <c r="D130" s="6" t="s">
        <v>184</v>
      </c>
      <c r="E130" s="8">
        <f>SUMIFS(Xuất出库!D:D,Xuất出库!G:G,B130,Xuất出库!C:C,D130)</f>
        <v>118</v>
      </c>
      <c r="F130" s="9">
        <f>SUMIFS(Xuất出库!E:E,Xuất出库!G:G,B130,Xuất出库!C:C,D130)+SUMIFS(Xuất出库!F:F,Xuất出库!G:G,B130,Xuất出库!C:C,D130)</f>
        <v>2431</v>
      </c>
      <c r="G130" s="6">
        <f>5+5+12+174+353+192+1+23+22+6+393+29+30+94+20+85+20+20+44+79+80+84</f>
        <v>1771</v>
      </c>
      <c r="H130" s="9">
        <f>SUMIFS(Hoàn回库!E:E,Hoàn回库!G:G,B130,Hoàn回库!C:C,D130)+SUMIFS(Hoàn回库!F:F,Hoàn回库!G:G,B130,Hoàn回库!C:C,D130)</f>
        <v>340</v>
      </c>
      <c r="I130" s="9">
        <f>SUMIFS('Điều hàng调货'!E:E,'Điều hàng调货'!A:A,K130,'Điều hàng调货'!G:G,B130)*-1+SUMIFS('Điều hàng调货'!E:E,'Điều hàng调货'!A:A,K130,'Điều hàng调货'!H:H,B130)+SUMIFS('Điều hàng调货'!F:F,'Điều hàng调货'!A:A,K130,'Điều hàng调货'!G:G,B130)*-1+SUMIFS('Điều hàng调货'!F:F,'Điều hàng调货'!A:A,K130,'Điều hàng调货'!H:H,B130)</f>
        <v>-320</v>
      </c>
      <c r="J130" s="9">
        <f t="shared" si="7"/>
        <v>0</v>
      </c>
      <c r="K130" s="9">
        <f>VLOOKUP($D130,SKU!$A:$I,3,FALSE)</f>
        <v>10039</v>
      </c>
      <c r="L130" s="9" t="str">
        <f>VLOOKUP($D130,SKU!$A:$I,2,FALSE)</f>
        <v>非凡航海王第五弹</v>
      </c>
    </row>
    <row r="131" spans="1:12">
      <c r="A131" s="6"/>
      <c r="B131" s="7" t="s">
        <v>33</v>
      </c>
      <c r="C131" s="6" t="s">
        <v>424</v>
      </c>
      <c r="D131" s="6" t="s">
        <v>24</v>
      </c>
      <c r="E131" s="8">
        <f>SUMIFS(Xuất出库!D:D,Xuất出库!G:G,B131,Xuất出库!C:C,D131)</f>
        <v>23</v>
      </c>
      <c r="F131" s="9">
        <f>SUMIFS(Xuất出库!E:E,Xuất出库!G:G,B131,Xuất出库!C:C,D131)+SUMIFS(Xuất出库!F:F,Xuất出库!G:G,B131,Xuất出库!C:C,D131)</f>
        <v>334</v>
      </c>
      <c r="G131" s="6">
        <f>34+36+45+15+35+33</f>
        <v>198</v>
      </c>
      <c r="H131" s="9">
        <f>SUMIFS(Hoàn回库!E:E,Hoàn回库!G:G,B131,Hoàn回库!C:C,D131)+SUMIFS(Hoàn回库!F:F,Hoàn回库!G:G,B131,Hoàn回库!C:C,D131)</f>
        <v>117</v>
      </c>
      <c r="I131" s="9">
        <f>SUMIFS('Điều hàng调货'!E:E,'Điều hàng调货'!A:A,K131,'Điều hàng调货'!G:G,B131)*-1+SUMIFS('Điều hàng调货'!E:E,'Điều hàng调货'!A:A,K131,'Điều hàng调货'!H:H,B131)+SUMIFS('Điều hàng调货'!F:F,'Điều hàng调货'!A:A,K131,'Điều hàng调货'!G:G,B131)*-1+SUMIFS('Điều hàng调货'!F:F,'Điều hàng调货'!A:A,K131,'Điều hàng调货'!H:H,B131)</f>
        <v>0</v>
      </c>
      <c r="J131" s="9">
        <f t="shared" si="7"/>
        <v>19</v>
      </c>
      <c r="K131" s="9">
        <f>VLOOKUP($D131,SKU!$A:$I,3,FALSE)</f>
        <v>10003</v>
      </c>
      <c r="L131" s="9" t="str">
        <f>VLOOKUP($D131,SKU!$A:$I,2,FALSE)</f>
        <v>DUO米全新出品鬼灭之刃-柱合会议篇第二弹</v>
      </c>
    </row>
    <row r="132" spans="1:12">
      <c r="A132" s="6"/>
      <c r="B132" s="7" t="s">
        <v>33</v>
      </c>
      <c r="C132" s="6" t="s">
        <v>424</v>
      </c>
      <c r="D132" s="6" t="s">
        <v>202</v>
      </c>
      <c r="E132" s="8">
        <f>SUMIFS(Xuất出库!D:D,Xuất出库!G:G,B132,Xuất出库!C:C,D132)</f>
        <v>1</v>
      </c>
      <c r="F132" s="9">
        <f>SUMIFS(Xuất出库!E:E,Xuất出库!G:G,B132,Xuất出库!C:C,D132)+SUMIFS(Xuất出库!F:F,Xuất出库!G:G,B132,Xuất出库!C:C,D132)</f>
        <v>1</v>
      </c>
      <c r="G132" s="6">
        <v>1</v>
      </c>
      <c r="H132" s="9">
        <f>SUMIFS(Hoàn回库!E:E,Hoàn回库!G:G,B132,Hoàn回库!C:C,D132)+SUMIFS(Hoàn回库!F:F,Hoàn回库!G:G,B132,Hoàn回库!C:C,D132)</f>
        <v>0</v>
      </c>
      <c r="I132" s="9">
        <f>SUMIFS('Điều hàng调货'!E:E,'Điều hàng调货'!A:A,K132,'Điều hàng调货'!G:G,B132)*-1+SUMIFS('Điều hàng调货'!E:E,'Điều hàng调货'!A:A,K132,'Điều hàng调货'!H:H,B132)+SUMIFS('Điều hàng调货'!F:F,'Điều hàng调货'!A:A,K132,'Điều hàng调货'!G:G,B132)*-1+SUMIFS('Điều hàng调货'!F:F,'Điều hàng调货'!A:A,K132,'Điều hàng调货'!H:H,B132)</f>
        <v>0</v>
      </c>
      <c r="J132" s="9">
        <f t="shared" si="7"/>
        <v>0</v>
      </c>
      <c r="K132" s="9">
        <f>VLOOKUP($D132,SKU!$A:$I,3,FALSE)</f>
        <v>10044</v>
      </c>
      <c r="L132" s="9" t="str">
        <f>VLOOKUP($D132,SKU!$A:$I,2,FALSE)</f>
        <v>源宇宙原神.空月の歌·周边CD票根邮票组合套装</v>
      </c>
    </row>
    <row r="133" spans="1:12">
      <c r="A133" s="6"/>
      <c r="B133" s="7" t="s">
        <v>33</v>
      </c>
      <c r="C133" s="6" t="s">
        <v>424</v>
      </c>
      <c r="D133" s="6" t="s">
        <v>30</v>
      </c>
      <c r="E133" s="8">
        <f>SUMIFS(Xuất出库!D:D,Xuất出库!G:G,B133,Xuất出库!C:C,D133)</f>
        <v>0</v>
      </c>
      <c r="F133" s="9">
        <f>SUMIFS(Xuất出库!E:E,Xuất出库!G:G,B133,Xuất出库!C:C,D133)+SUMIFS(Xuất出库!F:F,Xuất出库!G:G,B133,Xuất出库!C:C,D133)</f>
        <v>59</v>
      </c>
      <c r="G133" s="6">
        <f>6+4+3+6+3+22</f>
        <v>44</v>
      </c>
      <c r="H133" s="9">
        <f>SUMIFS(Hoàn回库!E:E,Hoàn回库!G:G,B133,Hoàn回库!C:C,D133)+SUMIFS(Hoàn回库!F:F,Hoàn回库!G:G,B133,Hoàn回库!C:C,D133)</f>
        <v>15</v>
      </c>
      <c r="I133" s="9">
        <f>SUMIFS('Điều hàng调货'!E:E,'Điều hàng调货'!A:A,K133,'Điều hàng调货'!G:G,B133)*-1+SUMIFS('Điều hàng调货'!E:E,'Điều hàng调货'!A:A,K133,'Điều hàng调货'!H:H,B133)+SUMIFS('Điều hàng调货'!F:F,'Điều hàng调货'!A:A,K133,'Điều hàng调货'!G:G,B133)*-1+SUMIFS('Điều hàng调货'!F:F,'Điều hàng调货'!A:A,K133,'Điều hàng调货'!H:H,B133)</f>
        <v>0</v>
      </c>
      <c r="J133" s="9">
        <f t="shared" si="7"/>
        <v>0</v>
      </c>
      <c r="K133" s="9">
        <f>VLOOKUP($D133,SKU!$A:$I,3,FALSE)</f>
        <v>10004</v>
      </c>
      <c r="L133" s="9" t="str">
        <f>VLOOKUP($D133,SKU!$A:$I,2,FALSE)</f>
        <v>初见花海咒术回战第一弹</v>
      </c>
    </row>
    <row r="134" spans="1:12">
      <c r="A134" s="6"/>
      <c r="B134" s="7" t="s">
        <v>33</v>
      </c>
      <c r="C134" s="6" t="s">
        <v>424</v>
      </c>
      <c r="D134" s="6" t="s">
        <v>119</v>
      </c>
      <c r="E134" s="8">
        <f>SUMIFS(Xuất出库!D:D,Xuất出库!G:G,B134,Xuất出库!C:C,D134)</f>
        <v>10</v>
      </c>
      <c r="F134" s="9">
        <f>SUMIFS(Xuất出库!E:E,Xuất出库!G:G,B134,Xuất出库!C:C,D134)+SUMIFS(Xuất出库!F:F,Xuất出库!G:G,B134,Xuất出库!C:C,D134)</f>
        <v>10</v>
      </c>
      <c r="G134" s="6">
        <v>0</v>
      </c>
      <c r="H134" s="9">
        <f>SUMIFS(Hoàn回库!E:E,Hoàn回库!G:G,B134,Hoàn回库!C:C,D134)+SUMIFS(Hoàn回库!F:F,Hoàn回库!G:G,B134,Hoàn回库!C:C,D134)</f>
        <v>0</v>
      </c>
      <c r="I134" s="9">
        <f>SUMIFS('Điều hàng调货'!E:E,'Điều hàng调货'!A:A,K134,'Điều hàng调货'!G:G,B134)*-1+SUMIFS('Điều hàng调货'!E:E,'Điều hàng调货'!A:A,K134,'Điều hàng调货'!H:H,B134)+SUMIFS('Điều hàng调货'!F:F,'Điều hàng调货'!A:A,K134,'Điều hàng调货'!G:G,B134)*-1+SUMIFS('Điều hàng调货'!F:F,'Điều hàng调货'!A:A,K134,'Điều hàng调货'!H:H,B134)</f>
        <v>0</v>
      </c>
      <c r="J134" s="9">
        <f t="shared" si="7"/>
        <v>10</v>
      </c>
      <c r="K134" s="9">
        <f>VLOOKUP($D134,SKU!$A:$I,3,FALSE)</f>
        <v>10023</v>
      </c>
      <c r="L134" s="9" t="str">
        <f>VLOOKUP($D134,SKU!$A:$I,2,FALSE)</f>
        <v>风信文创尘世相逢之约星光来信原神邮票第一弹</v>
      </c>
    </row>
    <row r="135" spans="1:12">
      <c r="A135" s="6"/>
      <c r="B135" s="7" t="s">
        <v>33</v>
      </c>
      <c r="C135" s="6" t="s">
        <v>424</v>
      </c>
      <c r="D135" s="6" t="s">
        <v>139</v>
      </c>
      <c r="E135" s="8">
        <f>SUMIFS(Xuất出库!D:D,Xuất出库!G:G,B135,Xuất出库!C:C,D135)</f>
        <v>2</v>
      </c>
      <c r="F135" s="9">
        <f>SUMIFS(Xuất出库!E:E,Xuất出库!G:G,B135,Xuất出库!C:C,D135)+SUMIFS(Xuất出库!F:F,Xuất出库!G:G,B135,Xuất出库!C:C,D135)</f>
        <v>26</v>
      </c>
      <c r="G135" s="6">
        <f>11+3+3+9</f>
        <v>26</v>
      </c>
      <c r="H135" s="9">
        <f>SUMIFS(Hoàn回库!E:E,Hoàn回库!G:G,B135,Hoàn回库!C:C,D135)+SUMIFS(Hoàn回库!F:F,Hoàn回库!G:G,B135,Hoàn回库!C:C,D135)</f>
        <v>0</v>
      </c>
      <c r="I135" s="9">
        <f>SUMIFS('Điều hàng调货'!E:E,'Điều hàng调货'!A:A,K135,'Điều hàng调货'!G:G,B135)*-1+SUMIFS('Điều hàng调货'!E:E,'Điều hàng调货'!A:A,K135,'Điều hàng调货'!H:H,B135)+SUMIFS('Điều hàng调货'!F:F,'Điều hàng调货'!A:A,K135,'Điều hàng调货'!G:G,B135)*-1+SUMIFS('Điều hàng调货'!F:F,'Điều hàng调货'!A:A,K135,'Điều hàng调货'!H:H,B135)</f>
        <v>0</v>
      </c>
      <c r="J135" s="9">
        <f t="shared" si="7"/>
        <v>0</v>
      </c>
      <c r="K135" s="9">
        <f>VLOOKUP($D135,SKU!$A:$I,3,FALSE)</f>
        <v>10028</v>
      </c>
      <c r="L135" s="9" t="str">
        <f>VLOOKUP($D135,SKU!$A:$I,2,FALSE)</f>
        <v>潮玩咔原神 尘世收藏卡</v>
      </c>
    </row>
    <row r="136" spans="1:12">
      <c r="A136" s="6"/>
      <c r="B136" s="7" t="s">
        <v>33</v>
      </c>
      <c r="C136" s="6" t="s">
        <v>424</v>
      </c>
      <c r="D136" s="6" t="s">
        <v>225</v>
      </c>
      <c r="E136" s="8">
        <f>SUMIFS(Xuất出库!D:D,Xuất出库!G:G,B136,Xuất出库!C:C,D136)</f>
        <v>36</v>
      </c>
      <c r="F136" s="9">
        <f>SUMIFS(Xuất出库!E:E,Xuất出库!G:G,B136,Xuất出库!C:C,D136)+SUMIFS(Xuất出库!F:F,Xuất出库!G:G,B136,Xuất出库!C:C,D136)</f>
        <v>803</v>
      </c>
      <c r="G136" s="6">
        <f>163+64+8+19+3+25+59</f>
        <v>341</v>
      </c>
      <c r="H136" s="9">
        <f>SUMIFS(Hoàn回库!E:E,Hoàn回库!G:G,B136,Hoàn回库!C:C,D136)+SUMIFS(Hoàn回库!F:F,Hoàn回库!G:G,B136,Hoàn回库!C:C,D136)</f>
        <v>462</v>
      </c>
      <c r="I136" s="9">
        <f>SUMIFS('Điều hàng调货'!E:E,'Điều hàng调货'!A:A,K136,'Điều hàng调货'!G:G,B136)*-1+SUMIFS('Điều hàng调货'!E:E,'Điều hàng调货'!A:A,K136,'Điều hàng调货'!H:H,B136)+SUMIFS('Điều hàng调货'!F:F,'Điều hàng调货'!A:A,K136,'Điều hàng调货'!G:G,B136)*-1+SUMIFS('Điều hàng调货'!F:F,'Điều hàng调货'!A:A,K136,'Điều hàng调货'!H:H,B136)</f>
        <v>0</v>
      </c>
      <c r="J136" s="9">
        <f t="shared" si="7"/>
        <v>0</v>
      </c>
      <c r="K136" s="9">
        <f>VLOOKUP($D136,SKU!$A:$I,3,FALSE)</f>
        <v>10052</v>
      </c>
      <c r="L136" s="9" t="str">
        <f>VLOOKUP($D136,SKU!$A:$I,2,FALSE)</f>
        <v>柯南洞悉包第五弹</v>
      </c>
    </row>
    <row r="137" spans="1:12">
      <c r="A137" s="6"/>
      <c r="B137" s="7" t="s">
        <v>33</v>
      </c>
      <c r="C137" s="6" t="s">
        <v>424</v>
      </c>
      <c r="D137" s="6" t="s">
        <v>188</v>
      </c>
      <c r="E137" s="8">
        <f>SUMIFS(Xuất出库!D:D,Xuất出库!G:G,B137,Xuất出库!C:C,D137)</f>
        <v>22</v>
      </c>
      <c r="F137" s="9">
        <f>SUMIFS(Xuất出库!E:E,Xuất出库!G:G,B137,Xuất出库!C:C,D137)+SUMIFS(Xuất出库!F:F,Xuất出库!G:G,B137,Xuất出库!C:C,D137)</f>
        <v>307</v>
      </c>
      <c r="G137" s="6">
        <f>11+59+13+124</f>
        <v>207</v>
      </c>
      <c r="H137" s="9">
        <f>SUMIFS(Hoàn回库!E:E,Hoàn回库!G:G,B137,Hoàn回库!C:C,D137)+SUMIFS(Hoàn回库!F:F,Hoàn回库!G:G,B137,Hoàn回库!C:C,D137)</f>
        <v>100</v>
      </c>
      <c r="I137" s="9">
        <f>SUMIFS('Điều hàng调货'!E:E,'Điều hàng调货'!A:A,K137,'Điều hàng调货'!G:G,B137)*-1+SUMIFS('Điều hàng调货'!E:E,'Điều hàng调货'!A:A,K137,'Điều hàng调货'!H:H,B137)+SUMIFS('Điều hàng调货'!F:F,'Điều hàng调货'!A:A,K137,'Điều hàng调货'!G:G,B137)*-1+SUMIFS('Điều hàng调货'!F:F,'Điều hàng调货'!A:A,K137,'Điều hàng调货'!H:H,B137)</f>
        <v>0</v>
      </c>
      <c r="J137" s="9">
        <f t="shared" si="7"/>
        <v>0</v>
      </c>
      <c r="K137" s="9">
        <f>VLOOKUP($D137,SKU!$A:$I,3,FALSE)</f>
        <v>10040</v>
      </c>
      <c r="L137" s="9" t="str">
        <f>VLOOKUP($D137,SKU!$A:$I,2,FALSE)</f>
        <v>酷卡文化-线条小狗3弹</v>
      </c>
    </row>
    <row r="138" spans="1:12">
      <c r="A138" s="6"/>
      <c r="B138" s="7" t="s">
        <v>33</v>
      </c>
      <c r="C138" s="6" t="s">
        <v>424</v>
      </c>
      <c r="D138" s="6" t="s">
        <v>207</v>
      </c>
      <c r="E138" s="8">
        <f>SUMIFS(Xuất出库!D:D,Xuất出库!G:G,B138,Xuất出库!C:C,D138)</f>
        <v>4</v>
      </c>
      <c r="F138" s="9">
        <f>SUMIFS(Xuất出库!E:E,Xuất出库!G:G,B138,Xuất出库!C:C,D138)+SUMIFS(Xuất出库!F:F,Xuất出库!G:G,B138,Xuất出库!C:C,D138)</f>
        <v>4</v>
      </c>
      <c r="G138" s="6">
        <f>1</f>
        <v>1</v>
      </c>
      <c r="H138" s="9">
        <f>SUMIFS(Hoàn回库!E:E,Hoàn回库!G:G,B138,Hoàn回库!C:C,D138)+SUMIFS(Hoàn回库!F:F,Hoàn回库!G:G,B138,Hoàn回库!C:C,D138)</f>
        <v>0</v>
      </c>
      <c r="I138" s="9">
        <f>SUMIFS('Điều hàng调货'!E:E,'Điều hàng调货'!A:A,K138,'Điều hàng调货'!G:G,B138)*-1+SUMIFS('Điều hàng调货'!E:E,'Điều hàng调货'!A:A,K138,'Điều hàng调货'!H:H,B138)+SUMIFS('Điều hàng调货'!F:F,'Điều hàng调货'!A:A,K138,'Điều hàng调货'!G:G,B138)*-1+SUMIFS('Điều hàng调货'!F:F,'Điều hàng调货'!A:A,K138,'Điều hàng调货'!H:H,B138)</f>
        <v>0</v>
      </c>
      <c r="J138" s="9">
        <f t="shared" si="7"/>
        <v>3</v>
      </c>
      <c r="K138" s="9">
        <f>VLOOKUP($D138,SKU!$A:$I,3,FALSE)</f>
        <v>10046</v>
      </c>
      <c r="L138" s="9" t="str">
        <f>VLOOKUP($D138,SKU!$A:$I,2,FALSE)</f>
        <v>夜灯</v>
      </c>
    </row>
    <row r="139" spans="1:12">
      <c r="A139" s="6"/>
      <c r="B139" s="7" t="s">
        <v>33</v>
      </c>
      <c r="C139" s="6" t="s">
        <v>424</v>
      </c>
      <c r="D139" s="6" t="s">
        <v>71</v>
      </c>
      <c r="E139" s="8">
        <f>SUMIFS(Xuất出库!D:D,Xuất出库!G:G,B139,Xuất出库!C:C,D139)</f>
        <v>1</v>
      </c>
      <c r="F139" s="9">
        <f>SUMIFS(Xuất出库!E:E,Xuất出库!G:G,B139,Xuất出库!C:C,D139)+SUMIFS(Xuất出库!F:F,Xuất出库!G:G,B139,Xuất出库!C:C,D139)</f>
        <v>83</v>
      </c>
      <c r="G139" s="6">
        <v>83</v>
      </c>
      <c r="H139" s="9">
        <f>SUMIFS(Hoàn回库!E:E,Hoàn回库!G:G,B139,Hoàn回库!C:C,D139)+SUMIFS(Hoàn回库!F:F,Hoàn回库!G:G,B139,Hoàn回库!C:C,D139)</f>
        <v>0</v>
      </c>
      <c r="I139" s="9">
        <f>SUMIFS('Điều hàng调货'!E:E,'Điều hàng调货'!A:A,K139,'Điều hàng调货'!G:G,B139)*-1+SUMIFS('Điều hàng调货'!E:E,'Điều hàng调货'!A:A,K139,'Điều hàng调货'!H:H,B139)+SUMIFS('Điều hàng调货'!F:F,'Điều hàng调货'!A:A,K139,'Điều hàng调货'!G:G,B139)*-1+SUMIFS('Điều hàng调货'!F:F,'Điều hàng调货'!A:A,K139,'Điều hàng调货'!H:H,B139)</f>
        <v>0</v>
      </c>
      <c r="J139" s="9">
        <f t="shared" si="7"/>
        <v>0</v>
      </c>
      <c r="K139" s="9">
        <f>VLOOKUP($D139,SKU!$A:$I,3,FALSE)</f>
        <v>10011</v>
      </c>
      <c r="L139" s="9" t="str">
        <f>VLOOKUP($D139,SKU!$A:$I,2,FALSE)</f>
        <v>灿卡文创宫崎骏第二弹《花涧物语》</v>
      </c>
    </row>
    <row r="140" spans="1:12">
      <c r="A140" s="6"/>
      <c r="B140" s="7" t="s">
        <v>33</v>
      </c>
      <c r="C140" s="6" t="s">
        <v>424</v>
      </c>
      <c r="D140" s="6" t="s">
        <v>12</v>
      </c>
      <c r="E140" s="8">
        <f>SUMIFS(Xuất出库!D:D,Xuất出库!G:G,B140,Xuất出库!C:C,D140)</f>
        <v>15</v>
      </c>
      <c r="F140" s="9">
        <f>SUMIFS(Xuất出库!E:E,Xuất出库!G:G,B140,Xuất出库!C:C,D140)+SUMIFS(Xuất出库!F:F,Xuất出库!G:G,B140,Xuất出库!C:C,D140)</f>
        <v>15</v>
      </c>
      <c r="G140" s="6">
        <v>3</v>
      </c>
      <c r="H140" s="9">
        <f>SUMIFS(Hoàn回库!E:E,Hoàn回库!G:G,B140,Hoàn回库!C:C,D140)+SUMIFS(Hoàn回库!F:F,Hoàn回库!G:G,B140,Hoàn回库!C:C,D140)</f>
        <v>0</v>
      </c>
      <c r="I140" s="9">
        <f>SUMIFS('Điều hàng调货'!E:E,'Điều hàng调货'!A:A,K140,'Điều hàng调货'!G:G,B140)*-1+SUMIFS('Điều hàng调货'!E:E,'Điều hàng调货'!A:A,K140,'Điều hàng调货'!H:H,B140)+SUMIFS('Điều hàng调货'!F:F,'Điều hàng调货'!A:A,K140,'Điều hàng调货'!G:G,B140)*-1+SUMIFS('Điều hàng调货'!F:F,'Điều hàng调货'!A:A,K140,'Điều hàng调货'!H:H,B140)</f>
        <v>-12</v>
      </c>
      <c r="J140" s="9">
        <f t="shared" si="7"/>
        <v>0</v>
      </c>
      <c r="K140" s="9">
        <f>VLOOKUP($D140,SKU!$A:$I,3,FALSE)</f>
        <v>10001</v>
      </c>
      <c r="L140" s="9" t="str">
        <f>VLOOKUP($D140,SKU!$A:$I,2,FALSE)</f>
        <v>《东株社》宝可梦水晶砖</v>
      </c>
    </row>
    <row r="141" spans="1:12">
      <c r="A141" s="6"/>
      <c r="B141" s="7" t="s">
        <v>33</v>
      </c>
      <c r="C141" s="6" t="s">
        <v>424</v>
      </c>
      <c r="D141" s="6" t="s">
        <v>43</v>
      </c>
      <c r="E141" s="8">
        <f>SUMIFS(Xuất出库!D:D,Xuất出库!G:G,B141,Xuất出库!C:C,D141)</f>
        <v>3</v>
      </c>
      <c r="F141" s="9">
        <f>SUMIFS(Xuất出库!E:E,Xuất出库!G:G,B141,Xuất出库!C:C,D141)+SUMIFS(Xuất出库!F:F,Xuất出库!G:G,B141,Xuất出库!C:C,D141)</f>
        <v>39</v>
      </c>
      <c r="G141" s="6">
        <v>9</v>
      </c>
      <c r="H141" s="9">
        <f>SUMIFS(Hoàn回库!E:E,Hoàn回库!G:G,B141,Hoàn回库!C:C,D141)+SUMIFS(Hoàn回库!F:F,Hoàn回库!G:G,B141,Hoàn回库!C:C,D141)</f>
        <v>30</v>
      </c>
      <c r="I141" s="9">
        <f>SUMIFS('Điều hàng调货'!E:E,'Điều hàng调货'!A:A,K141,'Điều hàng调货'!G:G,B141)*-1+SUMIFS('Điều hàng调货'!E:E,'Điều hàng调货'!A:A,K141,'Điều hàng调货'!H:H,B141)+SUMIFS('Điều hàng调货'!F:F,'Điều hàng调货'!A:A,K141,'Điều hàng调货'!G:G,B141)*-1+SUMIFS('Điều hàng调货'!F:F,'Điều hàng调货'!A:A,K141,'Điều hàng调货'!H:H,B141)</f>
        <v>0</v>
      </c>
      <c r="J141" s="9">
        <f t="shared" si="7"/>
        <v>0</v>
      </c>
      <c r="K141" s="9">
        <f>VLOOKUP($D141,SKU!$A:$I,3,FALSE)</f>
        <v>10006</v>
      </c>
      <c r="L141" s="9" t="str">
        <f>VLOOKUP($D141,SKU!$A:$I,2,FALSE)</f>
        <v>云映文化「云之境の夏」第二弹·宫崎骏珍藏卡牌</v>
      </c>
    </row>
    <row r="142" spans="1:12">
      <c r="A142" s="6"/>
      <c r="B142" s="7" t="s">
        <v>33</v>
      </c>
      <c r="C142" s="6" t="s">
        <v>424</v>
      </c>
      <c r="D142" s="6" t="s">
        <v>167</v>
      </c>
      <c r="E142" s="8">
        <f>SUMIFS(Xuất出库!D:D,Xuất出库!G:G,B142,Xuất出库!C:C,D142)</f>
        <v>5</v>
      </c>
      <c r="F142" s="9">
        <f>SUMIFS(Xuất出库!E:E,Xuất出库!G:G,B142,Xuất出库!C:C,D142)+SUMIFS(Xuất出库!F:F,Xuất出库!G:G,B142,Xuất出库!C:C,D142)</f>
        <v>72</v>
      </c>
      <c r="G142" s="6">
        <f>17</f>
        <v>17</v>
      </c>
      <c r="H142" s="9">
        <f>SUMIFS(Hoàn回库!E:E,Hoàn回库!G:G,B142,Hoàn回库!C:C,D142)+SUMIFS(Hoàn回库!F:F,Hoàn回库!G:G,B142,Hoàn回库!C:C,D142)</f>
        <v>4</v>
      </c>
      <c r="I142" s="9">
        <f>SUMIFS('Điều hàng调货'!E:E,'Điều hàng调货'!A:A,K142,'Điều hàng调货'!G:G,B142)*-1+SUMIFS('Điều hàng调货'!E:E,'Điều hàng调货'!A:A,K142,'Điều hàng调货'!H:H,B142)+SUMIFS('Điều hàng调货'!F:F,'Điều hàng调货'!A:A,K142,'Điều hàng调货'!G:G,B142)*-1+SUMIFS('Điều hàng调货'!F:F,'Điều hàng调货'!A:A,K142,'Điều hàng调货'!H:H,B142)</f>
        <v>-31</v>
      </c>
      <c r="J142" s="9">
        <f t="shared" si="7"/>
        <v>20</v>
      </c>
      <c r="K142" s="9">
        <f>VLOOKUP($D142,SKU!$A:$I,3,FALSE)</f>
        <v>10035</v>
      </c>
      <c r="L142" s="9" t="str">
        <f>VLOOKUP($D142,SKU!$A:$I,2,FALSE)</f>
        <v>KK CARD × 新海诚系列第一弹</v>
      </c>
    </row>
    <row r="143" spans="1:12">
      <c r="A143" s="6"/>
      <c r="B143" s="7" t="s">
        <v>33</v>
      </c>
      <c r="C143" s="6" t="s">
        <v>424</v>
      </c>
      <c r="D143" s="6" t="s">
        <v>222</v>
      </c>
      <c r="E143" s="8">
        <f>SUMIFS(Xuất出库!D:D,Xuất出库!G:G,B143,Xuất出库!C:C,D143)</f>
        <v>7</v>
      </c>
      <c r="F143" s="9">
        <f>SUMIFS(Xuất出库!E:E,Xuất出库!G:G,B143,Xuất出库!C:C,D143)+SUMIFS(Xuất出库!F:F,Xuất出库!G:G,B143,Xuất出库!C:C,D143)</f>
        <v>85</v>
      </c>
      <c r="G143" s="6">
        <f>61</f>
        <v>61</v>
      </c>
      <c r="H143" s="9">
        <f>SUMIFS(Hoàn回库!E:E,Hoàn回库!G:G,B143,Hoàn回库!C:C,D143)+SUMIFS(Hoàn回库!F:F,Hoàn回库!G:G,B143,Hoàn回库!C:C,D143)</f>
        <v>24</v>
      </c>
      <c r="I143" s="9">
        <f>SUMIFS('Điều hàng调货'!E:E,'Điều hàng调货'!A:A,K143,'Điều hàng调货'!G:G,B143)*-1+SUMIFS('Điều hàng调货'!E:E,'Điều hàng调货'!A:A,K143,'Điều hàng调货'!H:H,B143)+SUMIFS('Điều hàng调货'!F:F,'Điều hàng调货'!A:A,K143,'Điều hàng调货'!G:G,B143)*-1+SUMIFS('Điều hàng调货'!F:F,'Điều hàng调货'!A:A,K143,'Điều hàng调货'!H:H,B143)</f>
        <v>0</v>
      </c>
      <c r="J143" s="9">
        <f t="shared" si="7"/>
        <v>0</v>
      </c>
      <c r="K143" s="9">
        <f>VLOOKUP($D143,SKU!$A:$I,3,FALSE)</f>
        <v>10051</v>
      </c>
      <c r="L143" s="9" t="str">
        <f>VLOOKUP($D143,SKU!$A:$I,2,FALSE)</f>
        <v>南卡《魔卡少女樱》</v>
      </c>
    </row>
    <row r="144" spans="1:12">
      <c r="A144" s="6"/>
      <c r="B144" s="7" t="s">
        <v>33</v>
      </c>
      <c r="C144" s="6" t="s">
        <v>424</v>
      </c>
      <c r="D144" s="6" t="s">
        <v>18</v>
      </c>
      <c r="E144" s="8">
        <f>SUMIFS(Xuất出库!D:D,Xuất出库!G:G,B144,Xuất出库!C:C,D144)</f>
        <v>3</v>
      </c>
      <c r="F144" s="9">
        <f>SUMIFS(Xuất出库!E:E,Xuất出库!G:G,B144,Xuất出库!C:C,D144)+SUMIFS(Xuất出库!F:F,Xuất出库!G:G,B144,Xuất出库!C:C,D144)</f>
        <v>39</v>
      </c>
      <c r="G144" s="6">
        <f>10</f>
        <v>10</v>
      </c>
      <c r="H144" s="9">
        <f>SUMIFS(Hoàn回库!E:E,Hoàn回库!G:G,B144,Hoàn回库!C:C,D144)+SUMIFS(Hoàn回库!F:F,Hoàn回库!G:G,B144,Hoàn回库!C:C,D144)</f>
        <v>0</v>
      </c>
      <c r="I144" s="9">
        <f>SUMIFS('Điều hàng调货'!E:E,'Điều hàng调货'!A:A,K144,'Điều hàng调货'!G:G,B144)*-1+SUMIFS('Điều hàng调货'!E:E,'Điều hàng调货'!A:A,K144,'Điều hàng调货'!H:H,B144)+SUMIFS('Điều hàng调货'!F:F,'Điều hàng调货'!A:A,K144,'Điều hàng调货'!G:G,B144)*-1+SUMIFS('Điều hàng调货'!F:F,'Điều hàng调货'!A:A,K144,'Điều hàng调货'!H:H,B144)</f>
        <v>0</v>
      </c>
      <c r="J144" s="9">
        <f t="shared" si="7"/>
        <v>29</v>
      </c>
      <c r="K144" s="9">
        <f>VLOOKUP($D144,SKU!$A:$I,3,FALSE)</f>
        <v>10002</v>
      </c>
      <c r="L144" s="9" t="str">
        <f>VLOOKUP($D144,SKU!$A:$I,2,FALSE)</f>
        <v>MoonCard月卡《美少女战士》第三弹</v>
      </c>
    </row>
    <row r="145" spans="1:12">
      <c r="A145" s="6"/>
      <c r="B145" s="7" t="s">
        <v>33</v>
      </c>
      <c r="C145" s="6" t="s">
        <v>424</v>
      </c>
      <c r="D145" s="6" t="s">
        <v>91</v>
      </c>
      <c r="E145" s="8">
        <f>SUMIFS(Xuất出库!D:D,Xuất出库!G:G,B145,Xuất出库!C:C,D145)</f>
        <v>5</v>
      </c>
      <c r="F145" s="9">
        <f>SUMIFS(Xuất出库!E:E,Xuất出库!G:G,B145,Xuất出库!C:C,D145)+SUMIFS(Xuất出库!F:F,Xuất出库!G:G,B145,Xuất出库!C:C,D145)</f>
        <v>50</v>
      </c>
      <c r="G145" s="6">
        <f>2+10</f>
        <v>12</v>
      </c>
      <c r="H145" s="9">
        <f>SUMIFS(Hoàn回库!E:E,Hoàn回库!G:G,B145,Hoàn回库!C:C,D145)+SUMIFS(Hoàn回库!F:F,Hoàn回库!G:G,B145,Hoàn回库!C:C,D145)</f>
        <v>0</v>
      </c>
      <c r="I145" s="9">
        <f>SUMIFS('Điều hàng调货'!E:E,'Điều hàng调货'!A:A,K145,'Điều hàng调货'!G:G,B145)*-1+SUMIFS('Điều hàng调货'!E:E,'Điều hàng调货'!A:A,K145,'Điều hàng调货'!H:H,B145)+SUMIFS('Điều hàng调货'!F:F,'Điều hàng调货'!A:A,K145,'Điều hàng调货'!G:G,B145)*-1+SUMIFS('Điều hàng调货'!F:F,'Điều hàng调货'!A:A,K145,'Điều hàng调货'!H:H,B145)</f>
        <v>-38</v>
      </c>
      <c r="J145" s="9">
        <f t="shared" si="7"/>
        <v>0</v>
      </c>
      <c r="K145" s="9">
        <f>VLOOKUP($D145,SKU!$A:$I,3,FALSE)</f>
        <v>10016</v>
      </c>
      <c r="L145" s="9" t="str">
        <f>VLOOKUP($D145,SKU!$A:$I,2,FALSE)</f>
        <v>思梨普文创《hey!国王陛下》集换式艺术家典藏卡</v>
      </c>
    </row>
    <row r="146" spans="1:12">
      <c r="A146" s="6"/>
      <c r="B146" s="7" t="s">
        <v>33</v>
      </c>
      <c r="C146" s="6" t="s">
        <v>424</v>
      </c>
      <c r="D146" s="6" t="s">
        <v>234</v>
      </c>
      <c r="E146" s="8">
        <f>SUMIFS(Xuất出库!D:D,Xuất出库!G:G,B146,Xuất出库!C:C,D146)</f>
        <v>5</v>
      </c>
      <c r="F146" s="9">
        <f>SUMIFS(Xuất出库!E:E,Xuất出库!G:G,B146,Xuất出库!C:C,D146)+SUMIFS(Xuất出库!F:F,Xuất出库!G:G,B146,Xuất出库!C:C,D146)</f>
        <v>25</v>
      </c>
      <c r="G146" s="6">
        <f>1+1</f>
        <v>2</v>
      </c>
      <c r="H146" s="9">
        <f>SUMIFS(Hoàn回库!E:E,Hoàn回库!G:G,B146,Hoàn回库!C:C,D146)+SUMIFS(Hoàn回库!F:F,Hoàn回库!G:G,B146,Hoàn回库!C:C,D146)</f>
        <v>23</v>
      </c>
      <c r="I146" s="9">
        <f>SUMIFS('Điều hàng调货'!E:E,'Điều hàng调货'!A:A,K146,'Điều hàng调货'!G:G,B146)*-1+SUMIFS('Điều hàng调货'!E:E,'Điều hàng调货'!A:A,K146,'Điều hàng调货'!H:H,B146)+SUMIFS('Điều hàng调货'!F:F,'Điều hàng调货'!A:A,K146,'Điều hàng调货'!G:G,B146)*-1+SUMIFS('Điều hàng调货'!F:F,'Điều hàng调货'!A:A,K146,'Điều hàng调货'!H:H,B146)</f>
        <v>0</v>
      </c>
      <c r="J146" s="9">
        <f t="shared" si="7"/>
        <v>0</v>
      </c>
      <c r="K146" s="9">
        <f>VLOOKUP($D146,SKU!$A:$I,3,FALSE)</f>
        <v>10055</v>
      </c>
      <c r="L146" s="9" t="str">
        <f>VLOOKUP($D146,SKU!$A:$I,2,FALSE)</f>
        <v>绘卷文创 - 梦境入画【鬼灭之刃系列收藏卡砖】</v>
      </c>
    </row>
    <row r="147" spans="1:12">
      <c r="A147" s="6"/>
      <c r="B147" s="7" t="s">
        <v>33</v>
      </c>
      <c r="C147" s="6" t="s">
        <v>424</v>
      </c>
      <c r="D147" s="6" t="s">
        <v>196</v>
      </c>
      <c r="E147" s="8">
        <f>SUMIFS(Xuất出库!D:D,Xuất出库!G:G,B147,Xuất出库!C:C,D147)</f>
        <v>3</v>
      </c>
      <c r="F147" s="9">
        <f>SUMIFS(Xuất出库!E:E,Xuất出库!G:G,B147,Xuất出库!C:C,D147)+SUMIFS(Xuất出库!F:F,Xuất出库!G:G,B147,Xuất出库!C:C,D147)</f>
        <v>48</v>
      </c>
      <c r="G147" s="6">
        <f>5</f>
        <v>5</v>
      </c>
      <c r="H147" s="9">
        <f>SUMIFS(Hoàn回库!E:E,Hoàn回库!G:G,B147,Hoàn回库!C:C,D147)+SUMIFS(Hoàn回库!F:F,Hoàn回库!G:G,B147,Hoàn回库!C:C,D147)</f>
        <v>0</v>
      </c>
      <c r="I147" s="9">
        <f>SUMIFS('Điều hàng调货'!E:E,'Điều hàng调货'!A:A,K147,'Điều hàng调货'!G:G,B147)*-1+SUMIFS('Điều hàng调货'!E:E,'Điều hàng调货'!A:A,K147,'Điều hàng调货'!H:H,B147)+SUMIFS('Điều hàng调货'!F:F,'Điều hàng调货'!A:A,K147,'Điều hàng调货'!G:G,B147)*-1+SUMIFS('Điều hàng调货'!F:F,'Điều hàng调货'!A:A,K147,'Điều hàng调货'!H:H,B147)</f>
        <v>0</v>
      </c>
      <c r="J147" s="9">
        <f t="shared" si="7"/>
        <v>43</v>
      </c>
      <c r="K147" s="9">
        <f>VLOOKUP($D147,SKU!$A:$I,3,FALSE)</f>
        <v>10042</v>
      </c>
      <c r="L147" s="9" t="str">
        <f>VLOOKUP($D147,SKU!$A:$I,2,FALSE)</f>
        <v>黄油小熊系列收藏卡第二弹 小熊的观察日记</v>
      </c>
    </row>
    <row r="148" spans="1:12">
      <c r="A148" s="6"/>
      <c r="B148" s="7" t="s">
        <v>33</v>
      </c>
      <c r="C148" s="6" t="s">
        <v>424</v>
      </c>
      <c r="D148" s="6" t="s">
        <v>266</v>
      </c>
      <c r="E148" s="8">
        <f>SUMIFS(Xuất出库!D:D,Xuất出库!G:G,B148,Xuất出库!C:C,D148)</f>
        <v>5</v>
      </c>
      <c r="F148" s="9">
        <f>SUMIFS(Xuất出库!E:E,Xuất出库!G:G,B148,Xuất出库!C:C,D148)+SUMIFS(Xuất出库!F:F,Xuất出库!G:G,B148,Xuất出库!C:C,D148)</f>
        <v>180</v>
      </c>
      <c r="G148" s="6">
        <f>55+9+10</f>
        <v>74</v>
      </c>
      <c r="H148" s="9">
        <f>SUMIFS(Hoàn回库!E:E,Hoàn回库!G:G,B148,Hoàn回库!C:C,D148)+SUMIFS(Hoàn回库!F:F,Hoàn回库!G:G,B148,Hoàn回库!C:C,D148)</f>
        <v>0</v>
      </c>
      <c r="I148" s="9">
        <f>SUMIFS('Điều hàng调货'!E:E,'Điều hàng调货'!A:A,K148,'Điều hàng调货'!G:G,B148)*-1+SUMIFS('Điều hàng调货'!E:E,'Điều hàng调货'!A:A,K148,'Điều hàng调货'!H:H,B148)+SUMIFS('Điều hàng调货'!F:F,'Điều hàng调货'!A:A,K148,'Điều hàng调货'!G:G,B148)*-1+SUMIFS('Điều hàng调货'!F:F,'Điều hàng调货'!A:A,K148,'Điều hàng调货'!H:H,B148)</f>
        <v>-106</v>
      </c>
      <c r="J148" s="9">
        <f t="shared" si="7"/>
        <v>0</v>
      </c>
      <c r="K148" s="9">
        <f>VLOOKUP($D148,SKU!$A:$I,3,FALSE)</f>
        <v>10066</v>
      </c>
      <c r="L148" s="9" t="str">
        <f>VLOOKUP($D148,SKU!$A:$I,2,FALSE)</f>
        <v>卡游柯南揭秘包第2弹</v>
      </c>
    </row>
    <row r="149" spans="1:12">
      <c r="A149" s="6"/>
      <c r="B149" s="7" t="s">
        <v>33</v>
      </c>
      <c r="C149" s="6" t="s">
        <v>424</v>
      </c>
      <c r="D149" s="6" t="s">
        <v>83</v>
      </c>
      <c r="E149" s="8">
        <f>SUMIFS(Xuất出库!D:D,Xuất出库!G:G,B149,Xuất出库!C:C,D149)</f>
        <v>10</v>
      </c>
      <c r="F149" s="9">
        <f>SUMIFS(Xuất出库!E:E,Xuất出库!G:G,B149,Xuất出库!C:C,D149)+SUMIFS(Xuất出库!F:F,Xuất出库!G:G,B149,Xuất出库!C:C,D149)</f>
        <v>30</v>
      </c>
      <c r="G149" s="6">
        <f>5</f>
        <v>5</v>
      </c>
      <c r="H149" s="9">
        <f>SUMIFS(Hoàn回库!E:E,Hoàn回库!G:G,B149,Hoàn回库!C:C,D149)+SUMIFS(Hoàn回库!F:F,Hoàn回库!G:G,B149,Hoàn回库!C:C,D149)</f>
        <v>0</v>
      </c>
      <c r="I149" s="9">
        <f>SUMIFS('Điều hàng调货'!E:E,'Điều hàng调货'!A:A,K149,'Điều hàng调货'!G:G,B149)*-1+SUMIFS('Điều hàng调货'!E:E,'Điều hàng调货'!A:A,K149,'Điều hàng调货'!H:H,B149)+SUMIFS('Điều hàng调货'!F:F,'Điều hàng调货'!A:A,K149,'Điều hàng调货'!G:G,B149)*-1+SUMIFS('Điều hàng调货'!F:F,'Điều hàng调货'!A:A,K149,'Điều hàng调货'!H:H,B149)</f>
        <v>-2</v>
      </c>
      <c r="J149" s="9">
        <f t="shared" si="7"/>
        <v>23</v>
      </c>
      <c r="K149" s="9">
        <f>VLOOKUP($D149,SKU!$A:$I,3,FALSE)</f>
        <v>10014</v>
      </c>
      <c r="L149" s="9" t="str">
        <f>VLOOKUP($D149,SKU!$A:$I,2,FALSE)</f>
        <v>星梦文创-Studio Ghibli宫崎骏撕撕乐系列 </v>
      </c>
    </row>
    <row r="150" spans="1:12">
      <c r="A150" s="6"/>
      <c r="B150" s="7" t="s">
        <v>33</v>
      </c>
      <c r="C150" s="6" t="s">
        <v>424</v>
      </c>
      <c r="D150" s="12" t="s">
        <v>280</v>
      </c>
      <c r="E150" s="8">
        <f>SUMIFS(Xuất出库!D:D,Xuất出库!G:G,B150,Xuất出库!C:C,D150)</f>
        <v>4</v>
      </c>
      <c r="F150" s="9">
        <f>SUMIFS(Xuất出库!E:E,Xuất出库!G:G,B150,Xuất出库!C:C,D150)+SUMIFS(Xuất出库!F:F,Xuất出库!G:G,B150,Xuất出库!C:C,D150)</f>
        <v>72</v>
      </c>
      <c r="G150" s="12">
        <f>20+6</f>
        <v>26</v>
      </c>
      <c r="H150" s="9">
        <f>SUMIFS(Hoàn回库!E:E,Hoàn回库!G:G,B150,Hoàn回库!C:C,D150)+SUMIFS(Hoàn回库!F:F,Hoàn回库!G:G,B150,Hoàn回库!C:C,D150)</f>
        <v>0</v>
      </c>
      <c r="I150" s="9">
        <f>SUMIFS('Điều hàng调货'!E:E,'Điều hàng调货'!A:A,K150,'Điều hàng调货'!G:G,B150)*-1+SUMIFS('Điều hàng调货'!E:E,'Điều hàng调货'!A:A,K150,'Điều hàng调货'!H:H,B150)+SUMIFS('Điều hàng调货'!F:F,'Điều hàng调货'!A:A,K150,'Điều hàng调货'!G:G,B150)*-1+SUMIFS('Điều hàng调货'!F:F,'Điều hàng调货'!A:A,K150,'Điều hàng调货'!H:H,B150)</f>
        <v>0</v>
      </c>
      <c r="J150" s="9">
        <f t="shared" si="7"/>
        <v>46</v>
      </c>
      <c r="K150" s="9">
        <f>VLOOKUP($D150,SKU!$A:$I,3,FALSE)</f>
        <v>10071</v>
      </c>
      <c r="L150" s="9" t="str">
        <f>VLOOKUP($D150,SKU!$A:$I,2,FALSE)</f>
        <v>咒术回战-术士收藏卡-高专篇</v>
      </c>
    </row>
    <row r="151" spans="1:12">
      <c r="A151" s="6"/>
      <c r="B151" s="7" t="s">
        <v>33</v>
      </c>
      <c r="C151" s="6" t="s">
        <v>424</v>
      </c>
      <c r="D151" s="12" t="s">
        <v>299</v>
      </c>
      <c r="E151" s="8">
        <f>SUMIFS(Xuất出库!D:D,Xuất出库!G:G,B151,Xuất出库!C:C,D151)</f>
        <v>0</v>
      </c>
      <c r="F151" s="9">
        <f>SUMIFS(Xuất出库!E:E,Xuất出库!G:G,B151,Xuất出库!C:C,D151)+SUMIFS(Xuất出库!F:F,Xuất出库!G:G,B151,Xuất出库!C:C,D151)</f>
        <v>20</v>
      </c>
      <c r="G151" s="12">
        <f>3+1+3+1+1</f>
        <v>9</v>
      </c>
      <c r="H151" s="9">
        <f>SUMIFS(Hoàn回库!E:E,Hoàn回库!G:G,B151,Hoàn回库!C:C,D151)+SUMIFS(Hoàn回库!F:F,Hoàn回库!G:G,B151,Hoàn回库!C:C,D151)</f>
        <v>0</v>
      </c>
      <c r="I151" s="9">
        <f>SUMIFS('Điều hàng调货'!E:E,'Điều hàng调货'!A:A,K151,'Điều hàng调货'!G:G,B151)*-1+SUMIFS('Điều hàng调货'!E:E,'Điều hàng调货'!A:A,K151,'Điều hàng调货'!H:H,B151)+SUMIFS('Điều hàng调货'!F:F,'Điều hàng调货'!A:A,K151,'Điều hàng调货'!G:G,B151)*-1+SUMIFS('Điều hàng调货'!F:F,'Điều hàng调货'!A:A,K151,'Điều hàng调货'!H:H,B151)</f>
        <v>0</v>
      </c>
      <c r="J151" s="9">
        <f t="shared" si="7"/>
        <v>11</v>
      </c>
      <c r="K151" s="9">
        <f>VLOOKUP($D151,SKU!$A:$I,3,FALSE)</f>
        <v>10078</v>
      </c>
      <c r="L151" s="9" t="str">
        <f>VLOOKUP($D151,SKU!$A:$I,2,FALSE)</f>
        <v>摩斯社×名侦探柯南-摩斯密码系列评级邮票</v>
      </c>
    </row>
    <row r="152" spans="1:12">
      <c r="A152" s="6"/>
      <c r="B152" s="7" t="s">
        <v>33</v>
      </c>
      <c r="C152" s="6" t="s">
        <v>424</v>
      </c>
      <c r="D152" s="12" t="s">
        <v>290</v>
      </c>
      <c r="E152" s="8">
        <f>SUMIFS(Xuất出库!D:D,Xuất出库!G:G,B152,Xuất出库!C:C,D152)</f>
        <v>7</v>
      </c>
      <c r="F152" s="9">
        <f>SUMIFS(Xuất出库!E:E,Xuất出库!G:G,B152,Xuất出库!C:C,D152)+SUMIFS(Xuất出库!F:F,Xuất出库!G:G,B152,Xuất出库!C:C,D152)</f>
        <v>70</v>
      </c>
      <c r="G152" s="12">
        <f>5+8+3+2</f>
        <v>18</v>
      </c>
      <c r="H152" s="9">
        <f>SUMIFS(Hoàn回库!E:E,Hoàn回库!G:G,B152,Hoàn回库!C:C,D152)+SUMIFS(Hoàn回库!F:F,Hoàn回库!G:G,B152,Hoàn回库!C:C,D152)</f>
        <v>0</v>
      </c>
      <c r="I152" s="9">
        <f>SUMIFS('Điều hàng调货'!E:E,'Điều hàng调货'!A:A,K152,'Điều hàng调货'!G:G,B152)*-1+SUMIFS('Điều hàng调货'!E:E,'Điều hàng调货'!A:A,K152,'Điều hàng调货'!H:H,B152)+SUMIFS('Điều hàng调货'!F:F,'Điều hàng调货'!A:A,K152,'Điều hàng调货'!G:G,B152)*-1+SUMIFS('Điều hàng调货'!F:F,'Điều hàng调货'!A:A,K152,'Điều hàng调货'!H:H,B152)</f>
        <v>-52</v>
      </c>
      <c r="J152" s="9">
        <f t="shared" si="7"/>
        <v>0</v>
      </c>
      <c r="K152" s="9">
        <f>VLOOKUP($D152,SKU!$A:$I,3,FALSE)</f>
        <v>10075</v>
      </c>
      <c r="L152" s="9" t="str">
        <f>VLOOKUP($D152,SKU!$A:$I,2,FALSE)</f>
        <v>《万卡卡文创》鬼灭之刃日轮破晓第一弹</v>
      </c>
    </row>
    <row r="153" spans="1:12">
      <c r="A153" s="6"/>
      <c r="B153" s="7" t="s">
        <v>33</v>
      </c>
      <c r="C153" s="6" t="s">
        <v>424</v>
      </c>
      <c r="D153" s="12" t="s">
        <v>327</v>
      </c>
      <c r="E153" s="8">
        <f>SUMIFS(Xuất出库!D:D,Xuất出库!G:G,B153,Xuất出库!C:C,D153)</f>
        <v>26</v>
      </c>
      <c r="F153" s="9">
        <f>SUMIFS(Xuất出库!E:E,Xuất出库!G:G,B153,Xuất出库!C:C,D153)+SUMIFS(Xuất出库!F:F,Xuất出库!G:G,B153,Xuất出库!C:C,D153)</f>
        <v>364</v>
      </c>
      <c r="G153" s="12">
        <f>252+156</f>
        <v>408</v>
      </c>
      <c r="H153" s="9">
        <f>SUMIFS(Hoàn回库!E:E,Hoàn回库!G:G,B153,Hoàn回库!C:C,D153)+SUMIFS(Hoàn回库!F:F,Hoàn回库!G:G,B153,Hoàn回库!C:C,D153)</f>
        <v>0</v>
      </c>
      <c r="I153" s="9">
        <f>SUMIFS('Điều hàng调货'!E:E,'Điều hàng调货'!A:A,K153,'Điều hàng调货'!G:G,B153)*-1+SUMIFS('Điều hàng调货'!E:E,'Điều hàng调货'!A:A,K153,'Điều hàng调货'!H:H,B153)+SUMIFS('Điều hàng调货'!F:F,'Điều hàng调货'!A:A,K153,'Điều hàng调货'!G:G,B153)*-1+SUMIFS('Điều hàng调货'!F:F,'Điều hàng调货'!A:A,K153,'Điều hàng调货'!H:H,B153)</f>
        <v>44</v>
      </c>
      <c r="J153" s="9">
        <f t="shared" si="7"/>
        <v>0</v>
      </c>
      <c r="K153" s="9">
        <f>VLOOKUP($D153,SKU!$A:$I,3,FALSE)</f>
        <v>10089</v>
      </c>
      <c r="L153" s="9" t="str">
        <f>VLOOKUP($D153,SKU!$A:$I,2,FALSE)</f>
        <v>星火线条小狗</v>
      </c>
    </row>
    <row r="154" spans="1:12">
      <c r="A154" s="6"/>
      <c r="B154" s="7" t="s">
        <v>33</v>
      </c>
      <c r="C154" s="6" t="s">
        <v>424</v>
      </c>
      <c r="D154" s="12" t="s">
        <v>293</v>
      </c>
      <c r="E154" s="8">
        <f>SUMIFS(Xuất出库!D:D,Xuất出库!G:G,B154,Xuất出库!C:C,D154)</f>
        <v>0</v>
      </c>
      <c r="F154" s="9">
        <f>SUMIFS(Xuất出库!E:E,Xuất出库!G:G,B154,Xuất出库!C:C,D154)+SUMIFS(Xuất出库!F:F,Xuất出库!G:G,B154,Xuất出库!C:C,D154)</f>
        <v>0</v>
      </c>
      <c r="G154" s="12">
        <f>20+10+10+3</f>
        <v>43</v>
      </c>
      <c r="H154" s="9">
        <f>SUMIFS(Hoàn回库!E:E,Hoàn回库!G:G,B154,Hoàn回库!C:C,D154)+SUMIFS(Hoàn回库!F:F,Hoàn回库!G:G,B154,Hoàn回库!C:C,D154)</f>
        <v>0</v>
      </c>
      <c r="I154" s="9">
        <f>SUMIFS('Điều hàng调货'!E:E,'Điều hàng调货'!A:A,K154,'Điều hàng调货'!G:G,B154)*-1+SUMIFS('Điều hàng调货'!E:E,'Điều hàng调货'!A:A,K154,'Điều hàng调货'!H:H,B154)+SUMIFS('Điều hàng调货'!F:F,'Điều hàng调货'!A:A,K154,'Điều hàng调货'!G:G,B154)*-1+SUMIFS('Điều hàng调货'!F:F,'Điều hàng调货'!A:A,K154,'Điều hàng调货'!H:H,B154)</f>
        <v>43</v>
      </c>
      <c r="J154" s="9">
        <f t="shared" si="7"/>
        <v>0</v>
      </c>
      <c r="K154" s="9">
        <f>VLOOKUP($D154,SKU!$A:$I,3,FALSE)</f>
        <v>10076</v>
      </c>
      <c r="L154" s="9" t="str">
        <f>VLOOKUP($D154,SKU!$A:$I,2,FALSE)</f>
        <v>【Aikaho】鬼灭之刃第四弹 集结 【DS-04 Muster】</v>
      </c>
    </row>
    <row r="155" spans="1:12">
      <c r="A155" s="6"/>
      <c r="B155" s="7" t="s">
        <v>33</v>
      </c>
      <c r="C155" s="6" t="s">
        <v>424</v>
      </c>
      <c r="D155" s="12" t="s">
        <v>319</v>
      </c>
      <c r="E155" s="8">
        <f>SUMIFS(Xuất出库!D:D,Xuất出库!G:G,B155,Xuất出库!C:C,D155)</f>
        <v>0</v>
      </c>
      <c r="F155" s="9">
        <f>SUMIFS(Xuất出库!E:E,Xuất出库!G:G,B155,Xuất出库!C:C,D155)+SUMIFS(Xuất出库!F:F,Xuất出库!G:G,B155,Xuất出库!C:C,D155)</f>
        <v>100</v>
      </c>
      <c r="G155" s="12">
        <f>70+3+1+1+13+5</f>
        <v>93</v>
      </c>
      <c r="H155" s="9">
        <f>SUMIFS(Hoàn回库!E:E,Hoàn回库!G:G,B155,Hoàn回库!C:C,D155)+SUMIFS(Hoàn回库!F:F,Hoàn回库!G:G,B155,Hoàn回库!C:C,D155)</f>
        <v>0</v>
      </c>
      <c r="I155" s="9">
        <f>SUMIFS('Điều hàng调货'!E:E,'Điều hàng调货'!A:A,K155,'Điều hàng调货'!G:G,B155)*-1+SUMIFS('Điều hàng调货'!E:E,'Điều hàng调货'!A:A,K155,'Điều hàng调货'!H:H,B155)+SUMIFS('Điều hàng调货'!F:F,'Điều hàng调货'!A:A,K155,'Điều hàng调货'!G:G,B155)*-1+SUMIFS('Điều hàng调货'!F:F,'Điều hàng调货'!A:A,K155,'Điều hàng调货'!H:H,B155)</f>
        <v>-7</v>
      </c>
      <c r="J155" s="9">
        <f t="shared" si="7"/>
        <v>0</v>
      </c>
      <c r="K155" s="9">
        <f>VLOOKUP($D155,SKU!$A:$I,3,FALSE)</f>
        <v>10086</v>
      </c>
      <c r="L155" s="9" t="str">
        <f>VLOOKUP($D155,SKU!$A:$I,2,FALSE)</f>
        <v>【潮迷文创】名侦探柯南-危险排队-周边创意艺术色纸</v>
      </c>
    </row>
    <row r="156" spans="1:12">
      <c r="A156" s="6"/>
      <c r="B156" s="7" t="s">
        <v>33</v>
      </c>
      <c r="C156" s="6" t="s">
        <v>424</v>
      </c>
      <c r="D156" s="12" t="s">
        <v>317</v>
      </c>
      <c r="E156" s="8">
        <f>SUMIFS(Xuất出库!D:D,Xuất出库!G:G,B156,Xuất出库!C:C,D156)</f>
        <v>0</v>
      </c>
      <c r="F156" s="9">
        <f>SUMIFS(Xuất出库!E:E,Xuất出库!G:G,B156,Xuất出库!C:C,D156)+SUMIFS(Xuất出库!F:F,Xuất出库!G:G,B156,Xuất出库!C:C,D156)</f>
        <v>20</v>
      </c>
      <c r="G156" s="12">
        <v>0</v>
      </c>
      <c r="H156" s="9">
        <f>SUMIFS(Hoàn回库!E:E,Hoàn回库!G:G,B156,Hoàn回库!C:C,D156)+SUMIFS(Hoàn回库!F:F,Hoàn回库!G:G,B156,Hoàn回库!C:C,D156)</f>
        <v>0</v>
      </c>
      <c r="I156" s="9">
        <f>SUMIFS('Điều hàng调货'!E:E,'Điều hàng调货'!A:A,K156,'Điều hàng调货'!G:G,B156)*-1+SUMIFS('Điều hàng调货'!E:E,'Điều hàng调货'!A:A,K156,'Điều hàng调货'!H:H,B156)+SUMIFS('Điều hàng调货'!F:F,'Điều hàng调货'!A:A,K156,'Điều hàng调货'!G:G,B156)*-1+SUMIFS('Điều hàng调货'!F:F,'Điều hàng调货'!A:A,K156,'Điều hàng调货'!H:H,B156)</f>
        <v>0</v>
      </c>
      <c r="J156" s="9">
        <f t="shared" si="7"/>
        <v>20</v>
      </c>
      <c r="K156" s="9">
        <f>VLOOKUP($D156,SKU!$A:$I,3,FALSE)</f>
        <v>10085</v>
      </c>
      <c r="L156" s="9" t="str">
        <f>VLOOKUP($D156,SKU!$A:$I,2,FALSE)</f>
        <v>火影忍者·手绘复刻撕撕乐</v>
      </c>
    </row>
    <row r="157" spans="1:12">
      <c r="A157" s="6"/>
      <c r="B157" s="7" t="s">
        <v>33</v>
      </c>
      <c r="C157" s="6" t="s">
        <v>424</v>
      </c>
      <c r="D157" s="12" t="s">
        <v>377</v>
      </c>
      <c r="E157" s="8">
        <f>SUMIFS(Xuất出库!D:D,Xuất出库!G:G,B157,Xuất出库!C:C,D157)</f>
        <v>20</v>
      </c>
      <c r="F157" s="9">
        <f>SUMIFS(Xuất出库!E:E,Xuất出库!G:G,B157,Xuất出库!C:C,D157)+SUMIFS(Xuất出库!F:F,Xuất出库!G:G,B157,Xuất出库!C:C,D157)</f>
        <v>300</v>
      </c>
      <c r="G157" s="12">
        <f>15+121+105</f>
        <v>241</v>
      </c>
      <c r="H157" s="9">
        <f>SUMIFS(Hoàn回库!E:E,Hoàn回库!G:G,B157,Hoàn回库!C:C,D157)+SUMIFS(Hoàn回库!F:F,Hoàn回库!G:G,B157,Hoàn回库!C:C,D157)</f>
        <v>0</v>
      </c>
      <c r="I157" s="9">
        <f>SUMIFS('Điều hàng调货'!E:E,'Điều hàng调货'!A:A,K157,'Điều hàng调货'!G:G,B157)*-1+SUMIFS('Điều hàng调货'!E:E,'Điều hàng调货'!A:A,K157,'Điều hàng调货'!H:H,B157)+SUMIFS('Điều hàng调货'!F:F,'Điều hàng调货'!A:A,K157,'Điều hàng调货'!G:G,B157)*-1+SUMIFS('Điều hàng调货'!F:F,'Điều hàng调货'!A:A,K157,'Điều hàng调货'!H:H,B157)</f>
        <v>-59</v>
      </c>
      <c r="J157" s="9">
        <f t="shared" si="7"/>
        <v>0</v>
      </c>
      <c r="K157" s="9">
        <f>VLOOKUP($D157,SKU!$A:$I,3,FALSE)</f>
        <v>10107</v>
      </c>
      <c r="L157" s="9" t="str">
        <f>VLOOKUP($D157,SKU!$A:$I,2,FALSE)</f>
        <v>Hi卡柯南第四弹《一切都会大白于天下》</v>
      </c>
    </row>
    <row r="158" spans="1:12">
      <c r="A158" s="6"/>
      <c r="B158" s="7" t="s">
        <v>33</v>
      </c>
      <c r="C158" s="6" t="s">
        <v>424</v>
      </c>
      <c r="D158" s="12" t="s">
        <v>358</v>
      </c>
      <c r="E158" s="8">
        <f>SUMIFS(Xuất出库!D:D,Xuất出库!G:G,B158,Xuất出库!C:C,D158)</f>
        <v>9</v>
      </c>
      <c r="F158" s="9">
        <f>SUMIFS(Xuất出库!E:E,Xuất出库!G:G,B158,Xuất出库!C:C,D158)+SUMIFS(Xuất出库!F:F,Xuất出库!G:G,B158,Xuất出库!C:C,D158)</f>
        <v>117</v>
      </c>
      <c r="G158" s="16">
        <f>26+3+13+1+13</f>
        <v>56</v>
      </c>
      <c r="H158" s="9">
        <f>SUMIFS(Hoàn回库!E:E,Hoàn回库!G:G,B158,Hoàn回库!C:C,D158)+SUMIFS(Hoàn回库!F:F,Hoàn回库!G:G,B158,Hoàn回库!C:C,D158)</f>
        <v>0</v>
      </c>
      <c r="I158" s="9">
        <f>SUMIFS('Điều hàng调货'!E:E,'Điều hàng调货'!A:A,K158,'Điều hàng调货'!G:G,B158)*-1+SUMIFS('Điều hàng调货'!E:E,'Điều hàng调货'!A:A,K158,'Điều hàng调货'!H:H,B158)+SUMIFS('Điều hàng调货'!F:F,'Điều hàng调货'!A:A,K158,'Điều hàng调货'!G:G,B158)*-1+SUMIFS('Điều hàng调货'!F:F,'Điều hàng调货'!A:A,K158,'Điều hàng调货'!H:H,B158)</f>
        <v>5</v>
      </c>
      <c r="J158" s="9">
        <f t="shared" si="7"/>
        <v>66</v>
      </c>
      <c r="K158" s="9">
        <f>VLOOKUP($D158,SKU!$A:$I,3,FALSE)</f>
        <v>10100</v>
      </c>
      <c r="L158" s="9" t="str">
        <f>VLOOKUP($D158,SKU!$A:$I,2,FALSE)</f>
        <v>《意卡文创海贼王》第二弹</v>
      </c>
    </row>
    <row r="159" spans="1:12">
      <c r="A159" s="6"/>
      <c r="B159" s="7" t="s">
        <v>33</v>
      </c>
      <c r="C159" s="6" t="s">
        <v>424</v>
      </c>
      <c r="D159" s="12" t="s">
        <v>75</v>
      </c>
      <c r="E159" s="8">
        <f>SUMIFS(Xuất出库!D:D,Xuất出库!G:G,B159,Xuất出库!C:C,D159)</f>
        <v>5</v>
      </c>
      <c r="F159" s="9">
        <f>SUMIFS(Xuất出库!E:E,Xuất出库!G:G,B159,Xuất出库!C:C,D159)+SUMIFS(Xuất出库!F:F,Xuất出库!G:G,B159,Xuất出库!C:C,D159)</f>
        <v>150</v>
      </c>
      <c r="G159" s="12">
        <v>80</v>
      </c>
      <c r="H159" s="9">
        <f>SUMIFS(Hoàn回库!E:E,Hoàn回库!G:G,B159,Hoàn回库!C:C,D159)+SUMIFS(Hoàn回库!F:F,Hoàn回库!G:G,B159,Hoàn回库!C:C,D159)</f>
        <v>0</v>
      </c>
      <c r="I159" s="9">
        <f>SUMIFS('Điều hàng调货'!E:E,'Điều hàng调货'!A:A,K159,'Điều hàng调货'!G:G,B159)*-1+SUMIFS('Điều hàng调货'!E:E,'Điều hàng调货'!A:A,K159,'Điều hàng调货'!H:H,B159)+SUMIFS('Điều hàng调货'!F:F,'Điều hàng调货'!A:A,K159,'Điều hàng调货'!G:G,B159)*-1+SUMIFS('Điều hàng调货'!F:F,'Điều hàng调货'!A:A,K159,'Điều hàng调货'!H:H,B159)</f>
        <v>0</v>
      </c>
      <c r="J159" s="9">
        <f t="shared" si="7"/>
        <v>70</v>
      </c>
      <c r="K159" s="9">
        <f>VLOOKUP($D159,SKU!$A:$I,3,FALSE)</f>
        <v>10012</v>
      </c>
      <c r="L159" s="9" t="str">
        <f>VLOOKUP($D159,SKU!$A:$I,2,FALSE)</f>
        <v>卡文化进击的巨人</v>
      </c>
    </row>
    <row r="160" spans="1:12">
      <c r="A160" s="6"/>
      <c r="B160" s="7" t="s">
        <v>33</v>
      </c>
      <c r="C160" s="6" t="s">
        <v>424</v>
      </c>
      <c r="D160" s="12" t="s">
        <v>371</v>
      </c>
      <c r="E160" s="8">
        <f>SUMIFS(Xuất出库!D:D,Xuất出库!G:G,B160,Xuất出库!C:C,D160)</f>
        <v>0</v>
      </c>
      <c r="F160" s="9">
        <f>SUMIFS(Xuất出库!E:E,Xuất出库!G:G,B160,Xuất出库!C:C,D160)+SUMIFS(Xuất出库!F:F,Xuất出库!G:G,B160,Xuất出库!C:C,D160)</f>
        <v>0</v>
      </c>
      <c r="G160" s="12">
        <v>6</v>
      </c>
      <c r="H160" s="9">
        <f>SUMIFS(Hoàn回库!E:E,Hoàn回库!G:G,B160,Hoàn回库!C:C,D160)+SUMIFS(Hoàn回库!F:F,Hoàn回库!G:G,B160,Hoàn回库!C:C,D160)</f>
        <v>0</v>
      </c>
      <c r="I160" s="9">
        <f>SUMIFS('Điều hàng调货'!E:E,'Điều hàng调货'!A:A,K160,'Điều hàng调货'!G:G,B160)*-1+SUMIFS('Điều hàng调货'!E:E,'Điều hàng调货'!A:A,K160,'Điều hàng调货'!H:H,B160)+SUMIFS('Điều hàng调货'!F:F,'Điều hàng调货'!A:A,K160,'Điều hàng调货'!G:G,B160)*-1+SUMIFS('Điều hàng调货'!F:F,'Điều hàng调货'!A:A,K160,'Điều hàng调货'!H:H,B160)</f>
        <v>6</v>
      </c>
      <c r="J160" s="9">
        <f t="shared" ref="J160:J170" si="8">F160-G160-H160+I160</f>
        <v>0</v>
      </c>
      <c r="K160" s="9">
        <f>VLOOKUP($D160,SKU!$A:$I,3,FALSE)</f>
        <v>10105</v>
      </c>
      <c r="L160" s="9" t="str">
        <f>VLOOKUP($D160,SKU!$A:$I,2,FALSE)</f>
        <v>木木卡舍·鬼灭之刃无限城篇</v>
      </c>
    </row>
    <row r="161" spans="1:12">
      <c r="A161" s="6"/>
      <c r="B161" s="7" t="s">
        <v>33</v>
      </c>
      <c r="C161" s="6" t="s">
        <v>424</v>
      </c>
      <c r="D161" s="12" t="s">
        <v>367</v>
      </c>
      <c r="E161" s="8">
        <f>SUMIFS(Xuất出库!D:D,Xuất出库!G:G,B161,Xuất出库!C:C,D161)</f>
        <v>0</v>
      </c>
      <c r="F161" s="9">
        <f>SUMIFS(Xuất出库!E:E,Xuất出库!G:G,B161,Xuất出库!C:C,D161)+SUMIFS(Xuất出库!F:F,Xuất出库!G:G,B161,Xuất出库!C:C,D161)</f>
        <v>0</v>
      </c>
      <c r="G161" s="12"/>
      <c r="H161" s="9">
        <f>SUMIFS(Hoàn回库!E:E,Hoàn回库!G:G,B161,Hoàn回库!C:C,D161)+SUMIFS(Hoàn回库!F:F,Hoàn回库!G:G,B161,Hoàn回库!C:C,D161)</f>
        <v>0</v>
      </c>
      <c r="I161" s="9">
        <f>SUMIFS('Điều hàng调货'!E:E,'Điều hàng调货'!A:A,K161,'Điều hàng调货'!G:G,B161)*-1+SUMIFS('Điều hàng调货'!E:E,'Điều hàng调货'!A:A,K161,'Điều hàng调货'!H:H,B161)+SUMIFS('Điều hàng调货'!F:F,'Điều hàng调货'!A:A,K161,'Điều hàng调货'!G:G,B161)*-1+SUMIFS('Điều hàng调货'!F:F,'Điều hàng调货'!A:A,K161,'Điều hàng调货'!H:H,B161)</f>
        <v>50</v>
      </c>
      <c r="J161" s="9">
        <f t="shared" si="8"/>
        <v>50</v>
      </c>
      <c r="K161" s="9">
        <f>VLOOKUP($D161,SKU!$A:$I,3,FALSE)</f>
        <v>10103</v>
      </c>
      <c r="L161" s="9" t="str">
        <f>VLOOKUP($D161,SKU!$A:$I,2,FALSE)</f>
        <v>疯狂动物城白金收藏卡狐兔神探</v>
      </c>
    </row>
    <row r="162" spans="1:12">
      <c r="A162" s="6"/>
      <c r="B162" s="7" t="s">
        <v>33</v>
      </c>
      <c r="C162" s="6" t="s">
        <v>424</v>
      </c>
      <c r="D162" s="12" t="s">
        <v>364</v>
      </c>
      <c r="E162" s="8">
        <f>SUMIFS(Xuất出库!D:D,Xuất出库!G:G,B162,Xuất出库!C:C,D162)</f>
        <v>0</v>
      </c>
      <c r="F162" s="9">
        <f>SUMIFS(Xuất出库!E:E,Xuất出库!G:G,B162,Xuất出库!C:C,D162)+SUMIFS(Xuất出库!F:F,Xuất出库!G:G,B162,Xuất出库!C:C,D162)</f>
        <v>0</v>
      </c>
      <c r="G162" s="12">
        <v>13</v>
      </c>
      <c r="H162" s="9">
        <f>SUMIFS(Hoàn回库!E:E,Hoàn回库!G:G,B162,Hoàn回库!C:C,D162)+SUMIFS(Hoàn回库!F:F,Hoàn回库!G:G,B162,Hoàn回库!C:C,D162)</f>
        <v>0</v>
      </c>
      <c r="I162" s="9">
        <f>SUMIFS('Điều hàng调货'!E:E,'Điều hàng调货'!A:A,K162,'Điều hàng调货'!G:G,B162)*-1+SUMIFS('Điều hàng调货'!E:E,'Điều hàng调货'!A:A,K162,'Điều hàng调货'!H:H,B162)+SUMIFS('Điều hàng调货'!F:F,'Điều hàng调货'!A:A,K162,'Điều hàng调货'!G:G,B162)*-1+SUMIFS('Điều hàng调货'!F:F,'Điều hàng调货'!A:A,K162,'Điều hàng调货'!H:H,B162)</f>
        <v>26</v>
      </c>
      <c r="J162" s="9">
        <f t="shared" si="8"/>
        <v>13</v>
      </c>
      <c r="K162" s="9">
        <f>VLOOKUP($D162,SKU!$A:$I,3,FALSE)</f>
        <v>10102</v>
      </c>
      <c r="L162" s="9" t="str">
        <f>VLOOKUP($D162,SKU!$A:$I,2,FALSE)</f>
        <v>麒麟文创航海王第一弹-仙道天下</v>
      </c>
    </row>
    <row r="163" spans="1:12">
      <c r="A163" s="6"/>
      <c r="B163" s="7" t="s">
        <v>33</v>
      </c>
      <c r="C163" s="6" t="s">
        <v>424</v>
      </c>
      <c r="D163" s="12"/>
      <c r="E163" s="8">
        <f>SUMIFS(Xuất出库!D:D,Xuất出库!G:G,B163,Xuất出库!C:C,D163)</f>
        <v>0</v>
      </c>
      <c r="F163" s="9">
        <f>SUMIFS(Xuất出库!E:E,Xuất出库!G:G,B163,Xuất出库!C:C,D163)+SUMIFS(Xuất出库!F:F,Xuất出库!G:G,B163,Xuất出库!C:C,D163)</f>
        <v>0</v>
      </c>
      <c r="G163" s="12"/>
      <c r="H163" s="9">
        <f>SUMIFS(Hoàn回库!E:E,Hoàn回库!G:G,B163,Hoàn回库!C:C,D163)+SUMIFS(Hoàn回库!F:F,Hoàn回库!G:G,B163,Hoàn回库!C:C,D163)</f>
        <v>0</v>
      </c>
      <c r="I163" s="9">
        <f>SUMIFS('Điều hàng调货'!E:E,'Điều hàng调货'!A:A,K163,'Điều hàng调货'!G:G,B163)*-1+SUMIFS('Điều hàng调货'!E:E,'Điều hàng调货'!A:A,K163,'Điều hàng调货'!H:H,B163)+SUMIFS('Điều hàng调货'!F:F,'Điều hàng调货'!A:A,K163,'Điều hàng调货'!G:G,B163)*-1+SUMIFS('Điều hàng调货'!F:F,'Điều hàng调货'!A:A,K163,'Điều hàng调货'!H:H,B163)</f>
        <v>0</v>
      </c>
      <c r="J163" s="9">
        <f t="shared" si="8"/>
        <v>0</v>
      </c>
      <c r="K163" s="9" t="e">
        <f>VLOOKUP($D163,SKU!$A:$I,3,FALSE)</f>
        <v>#N/A</v>
      </c>
      <c r="L163" s="9" t="e">
        <f>VLOOKUP($D163,SKU!$A:$I,2,FALSE)</f>
        <v>#N/A</v>
      </c>
    </row>
    <row r="164" spans="1:12">
      <c r="A164" s="6"/>
      <c r="B164" s="7" t="s">
        <v>33</v>
      </c>
      <c r="C164" s="6" t="s">
        <v>424</v>
      </c>
      <c r="D164" s="12"/>
      <c r="E164" s="8">
        <f>SUMIFS(Xuất出库!D:D,Xuất出库!G:G,B164,Xuất出库!C:C,D164)</f>
        <v>0</v>
      </c>
      <c r="F164" s="9">
        <f>SUMIFS(Xuất出库!E:E,Xuất出库!G:G,B164,Xuất出库!C:C,D164)+SUMIFS(Xuất出库!F:F,Xuất出库!G:G,B164,Xuất出库!C:C,D164)</f>
        <v>0</v>
      </c>
      <c r="G164" s="12"/>
      <c r="H164" s="9">
        <f>SUMIFS(Hoàn回库!E:E,Hoàn回库!G:G,B164,Hoàn回库!C:C,D164)+SUMIFS(Hoàn回库!F:F,Hoàn回库!G:G,B164,Hoàn回库!C:C,D164)</f>
        <v>0</v>
      </c>
      <c r="I164" s="9">
        <f>SUMIFS('Điều hàng调货'!E:E,'Điều hàng调货'!A:A,K164,'Điều hàng调货'!G:G,B164)*-1+SUMIFS('Điều hàng调货'!E:E,'Điều hàng调货'!A:A,K164,'Điều hàng调货'!H:H,B164)+SUMIFS('Điều hàng调货'!F:F,'Điều hàng调货'!A:A,K164,'Điều hàng调货'!G:G,B164)*-1+SUMIFS('Điều hàng调货'!F:F,'Điều hàng调货'!A:A,K164,'Điều hàng调货'!H:H,B164)</f>
        <v>0</v>
      </c>
      <c r="J164" s="9">
        <f t="shared" si="8"/>
        <v>0</v>
      </c>
      <c r="K164" s="9" t="e">
        <f>VLOOKUP($D164,SKU!$A:$I,3,FALSE)</f>
        <v>#N/A</v>
      </c>
      <c r="L164" s="9" t="e">
        <f>VLOOKUP($D164,SKU!$A:$I,2,FALSE)</f>
        <v>#N/A</v>
      </c>
    </row>
    <row r="165" spans="1:12">
      <c r="A165" s="6"/>
      <c r="B165" s="7" t="s">
        <v>33</v>
      </c>
      <c r="C165" s="6" t="s">
        <v>424</v>
      </c>
      <c r="D165" s="12"/>
      <c r="E165" s="8">
        <f>SUMIFS(Xuất出库!D:D,Xuất出库!G:G,B165,Xuất出库!C:C,D165)</f>
        <v>0</v>
      </c>
      <c r="F165" s="9">
        <f>SUMIFS(Xuất出库!E:E,Xuất出库!G:G,B165,Xuất出库!C:C,D165)+SUMIFS(Xuất出库!F:F,Xuất出库!G:G,B165,Xuất出库!C:C,D165)</f>
        <v>0</v>
      </c>
      <c r="G165" s="12"/>
      <c r="H165" s="9">
        <f>SUMIFS(Hoàn回库!E:E,Hoàn回库!G:G,B165,Hoàn回库!C:C,D165)+SUMIFS(Hoàn回库!F:F,Hoàn回库!G:G,B165,Hoàn回库!C:C,D165)</f>
        <v>0</v>
      </c>
      <c r="I165" s="9">
        <f>SUMIFS('Điều hàng调货'!E:E,'Điều hàng调货'!A:A,K165,'Điều hàng调货'!G:G,B165)*-1+SUMIFS('Điều hàng调货'!E:E,'Điều hàng调货'!A:A,K165,'Điều hàng调货'!H:H,B165)+SUMIFS('Điều hàng调货'!F:F,'Điều hàng调货'!A:A,K165,'Điều hàng调货'!G:G,B165)*-1+SUMIFS('Điều hàng调货'!F:F,'Điều hàng调货'!A:A,K165,'Điều hàng调货'!H:H,B165)</f>
        <v>0</v>
      </c>
      <c r="J165" s="9">
        <f t="shared" si="8"/>
        <v>0</v>
      </c>
      <c r="K165" s="9" t="e">
        <f>VLOOKUP($D165,SKU!$A:$I,3,FALSE)</f>
        <v>#N/A</v>
      </c>
      <c r="L165" s="9" t="e">
        <f>VLOOKUP($D165,SKU!$A:$I,2,FALSE)</f>
        <v>#N/A</v>
      </c>
    </row>
    <row r="166" spans="1:12">
      <c r="A166" s="6"/>
      <c r="B166" s="7" t="s">
        <v>33</v>
      </c>
      <c r="C166" s="6" t="s">
        <v>424</v>
      </c>
      <c r="D166" s="12"/>
      <c r="E166" s="8">
        <f>SUMIFS(Xuất出库!D:D,Xuất出库!G:G,B166,Xuất出库!C:C,D166)</f>
        <v>0</v>
      </c>
      <c r="F166" s="9">
        <f>SUMIFS(Xuất出库!E:E,Xuất出库!G:G,B166,Xuất出库!C:C,D166)+SUMIFS(Xuất出库!F:F,Xuất出库!G:G,B166,Xuất出库!C:C,D166)</f>
        <v>0</v>
      </c>
      <c r="G166" s="12"/>
      <c r="H166" s="9">
        <f>SUMIFS(Hoàn回库!E:E,Hoàn回库!G:G,B166,Hoàn回库!C:C,D166)+SUMIFS(Hoàn回库!F:F,Hoàn回库!G:G,B166,Hoàn回库!C:C,D166)</f>
        <v>0</v>
      </c>
      <c r="I166" s="9">
        <f>SUMIFS('Điều hàng调货'!E:E,'Điều hàng调货'!A:A,K166,'Điều hàng调货'!G:G,B166)*-1+SUMIFS('Điều hàng调货'!E:E,'Điều hàng调货'!A:A,K166,'Điều hàng调货'!H:H,B166)+SUMIFS('Điều hàng调货'!F:F,'Điều hàng调货'!A:A,K166,'Điều hàng调货'!G:G,B166)*-1+SUMIFS('Điều hàng调货'!F:F,'Điều hàng调货'!A:A,K166,'Điều hàng调货'!H:H,B166)</f>
        <v>0</v>
      </c>
      <c r="J166" s="9">
        <f t="shared" si="8"/>
        <v>0</v>
      </c>
      <c r="K166" s="9" t="e">
        <f>VLOOKUP($D166,SKU!$A:$I,3,FALSE)</f>
        <v>#N/A</v>
      </c>
      <c r="L166" s="9" t="e">
        <f>VLOOKUP($D166,SKU!$A:$I,2,FALSE)</f>
        <v>#N/A</v>
      </c>
    </row>
    <row r="167" spans="1:12">
      <c r="A167" s="6"/>
      <c r="B167" s="7" t="s">
        <v>33</v>
      </c>
      <c r="C167" s="6" t="s">
        <v>424</v>
      </c>
      <c r="D167" s="12"/>
      <c r="E167" s="8">
        <f>SUMIFS(Xuất出库!D:D,Xuất出库!G:G,B167,Xuất出库!C:C,D167)</f>
        <v>0</v>
      </c>
      <c r="F167" s="9">
        <f>SUMIFS(Xuất出库!E:E,Xuất出库!G:G,B167,Xuất出库!C:C,D167)+SUMIFS(Xuất出库!F:F,Xuất出库!G:G,B167,Xuất出库!C:C,D167)</f>
        <v>0</v>
      </c>
      <c r="G167" s="12"/>
      <c r="H167" s="9">
        <f>SUMIFS(Hoàn回库!E:E,Hoàn回库!G:G,B167,Hoàn回库!C:C,D167)+SUMIFS(Hoàn回库!F:F,Hoàn回库!G:G,B167,Hoàn回库!C:C,D167)</f>
        <v>0</v>
      </c>
      <c r="I167" s="9">
        <f>SUMIFS('Điều hàng调货'!E:E,'Điều hàng调货'!A:A,K167,'Điều hàng调货'!G:G,B167)*-1+SUMIFS('Điều hàng调货'!E:E,'Điều hàng调货'!A:A,K167,'Điều hàng调货'!H:H,B167)+SUMIFS('Điều hàng调货'!F:F,'Điều hàng调货'!A:A,K167,'Điều hàng调货'!G:G,B167)*-1+SUMIFS('Điều hàng调货'!F:F,'Điều hàng调货'!A:A,K167,'Điều hàng调货'!H:H,B167)</f>
        <v>0</v>
      </c>
      <c r="J167" s="9">
        <f t="shared" si="8"/>
        <v>0</v>
      </c>
      <c r="K167" s="9" t="e">
        <f>VLOOKUP($D167,SKU!$A:$I,3,FALSE)</f>
        <v>#N/A</v>
      </c>
      <c r="L167" s="9" t="e">
        <f>VLOOKUP($D167,SKU!$A:$I,2,FALSE)</f>
        <v>#N/A</v>
      </c>
    </row>
    <row r="168" spans="1:12">
      <c r="A168" s="6"/>
      <c r="B168" s="7" t="s">
        <v>33</v>
      </c>
      <c r="C168" s="6" t="s">
        <v>424</v>
      </c>
      <c r="D168" s="12"/>
      <c r="E168" s="8">
        <f>SUMIFS(Xuất出库!D:D,Xuất出库!G:G,B168,Xuất出库!C:C,D168)</f>
        <v>0</v>
      </c>
      <c r="F168" s="9">
        <f>SUMIFS(Xuất出库!E:E,Xuất出库!G:G,B168,Xuất出库!C:C,D168)+SUMIFS(Xuất出库!F:F,Xuất出库!G:G,B168,Xuất出库!C:C,D168)</f>
        <v>0</v>
      </c>
      <c r="G168" s="12"/>
      <c r="H168" s="9">
        <f>SUMIFS(Hoàn回库!E:E,Hoàn回库!G:G,B168,Hoàn回库!C:C,D168)+SUMIFS(Hoàn回库!F:F,Hoàn回库!G:G,B168,Hoàn回库!C:C,D168)</f>
        <v>0</v>
      </c>
      <c r="I168" s="9">
        <f>SUMIFS('Điều hàng调货'!E:E,'Điều hàng调货'!A:A,K168,'Điều hàng调货'!G:G,B168)*-1+SUMIFS('Điều hàng调货'!E:E,'Điều hàng调货'!A:A,K168,'Điều hàng调货'!H:H,B168)+SUMIFS('Điều hàng调货'!F:F,'Điều hàng调货'!A:A,K168,'Điều hàng调货'!G:G,B168)*-1+SUMIFS('Điều hàng调货'!F:F,'Điều hàng调货'!A:A,K168,'Điều hàng调货'!H:H,B168)</f>
        <v>0</v>
      </c>
      <c r="J168" s="9">
        <f t="shared" si="8"/>
        <v>0</v>
      </c>
      <c r="K168" s="9" t="e">
        <f>VLOOKUP($D168,SKU!$A:$I,3,FALSE)</f>
        <v>#N/A</v>
      </c>
      <c r="L168" s="9" t="e">
        <f>VLOOKUP($D168,SKU!$A:$I,2,FALSE)</f>
        <v>#N/A</v>
      </c>
    </row>
    <row r="169" spans="1:12">
      <c r="A169" s="6"/>
      <c r="B169" s="7" t="s">
        <v>33</v>
      </c>
      <c r="C169" s="6" t="s">
        <v>424</v>
      </c>
      <c r="D169" s="12"/>
      <c r="E169" s="8">
        <f>SUMIFS(Xuất出库!D:D,Xuất出库!G:G,B169,Xuất出库!C:C,D169)</f>
        <v>0</v>
      </c>
      <c r="F169" s="9">
        <f>SUMIFS(Xuất出库!E:E,Xuất出库!G:G,B169,Xuất出库!C:C,D169)+SUMIFS(Xuất出库!F:F,Xuất出库!G:G,B169,Xuất出库!C:C,D169)</f>
        <v>0</v>
      </c>
      <c r="G169" s="12"/>
      <c r="H169" s="9">
        <f>SUMIFS(Hoàn回库!E:E,Hoàn回库!G:G,B169,Hoàn回库!C:C,D169)+SUMIFS(Hoàn回库!F:F,Hoàn回库!G:G,B169,Hoàn回库!C:C,D169)</f>
        <v>0</v>
      </c>
      <c r="I169" s="9">
        <f>SUMIFS('Điều hàng调货'!E:E,'Điều hàng调货'!A:A,K169,'Điều hàng调货'!G:G,B169)*-1+SUMIFS('Điều hàng调货'!E:E,'Điều hàng调货'!A:A,K169,'Điều hàng调货'!H:H,B169)+SUMIFS('Điều hàng调货'!F:F,'Điều hàng调货'!A:A,K169,'Điều hàng调货'!G:G,B169)*-1+SUMIFS('Điều hàng调货'!F:F,'Điều hàng调货'!A:A,K169,'Điều hàng调货'!H:H,B169)</f>
        <v>0</v>
      </c>
      <c r="J169" s="9">
        <f t="shared" si="8"/>
        <v>0</v>
      </c>
      <c r="K169" s="9" t="e">
        <f>VLOOKUP($D169,SKU!$A:$I,3,FALSE)</f>
        <v>#N/A</v>
      </c>
      <c r="L169" s="9" t="e">
        <f>VLOOKUP($D169,SKU!$A:$I,2,FALSE)</f>
        <v>#N/A</v>
      </c>
    </row>
    <row r="170" spans="1:12">
      <c r="A170" s="6"/>
      <c r="B170" s="7" t="s">
        <v>33</v>
      </c>
      <c r="C170" s="6" t="s">
        <v>424</v>
      </c>
      <c r="D170" s="12"/>
      <c r="E170" s="8">
        <f>SUMIFS(Xuất出库!D:D,Xuất出库!G:G,B170,Xuất出库!C:C,D170)</f>
        <v>0</v>
      </c>
      <c r="F170" s="9">
        <f>SUMIFS(Xuất出库!E:E,Xuất出库!G:G,B170,Xuất出库!C:C,D170)+SUMIFS(Xuất出库!F:F,Xuất出库!G:G,B170,Xuất出库!C:C,D170)</f>
        <v>0</v>
      </c>
      <c r="G170" s="12"/>
      <c r="H170" s="9">
        <f>SUMIFS(Hoàn回库!E:E,Hoàn回库!G:G,B170,Hoàn回库!C:C,D170)+SUMIFS(Hoàn回库!F:F,Hoàn回库!G:G,B170,Hoàn回库!C:C,D170)</f>
        <v>0</v>
      </c>
      <c r="I170" s="9">
        <f>SUMIFS('Điều hàng调货'!E:E,'Điều hàng调货'!A:A,K170,'Điều hàng调货'!G:G,B170)*-1+SUMIFS('Điều hàng调货'!E:E,'Điều hàng调货'!A:A,K170,'Điều hàng调货'!H:H,B170)+SUMIFS('Điều hàng调货'!F:F,'Điều hàng调货'!A:A,K170,'Điều hàng调货'!G:G,B170)*-1+SUMIFS('Điều hàng调货'!F:F,'Điều hàng调货'!A:A,K170,'Điều hàng调货'!H:H,B170)</f>
        <v>0</v>
      </c>
      <c r="J170" s="9">
        <f t="shared" si="8"/>
        <v>0</v>
      </c>
      <c r="K170" s="9" t="e">
        <f>VLOOKUP($D170,SKU!$A:$I,3,FALSE)</f>
        <v>#N/A</v>
      </c>
      <c r="L170" s="9" t="e">
        <f>VLOOKUP($D170,SKU!$A:$I,2,FALSE)</f>
        <v>#N/A</v>
      </c>
    </row>
    <row r="171" ht="15.75" spans="1:12">
      <c r="A171" s="6"/>
      <c r="B171" s="58" t="s">
        <v>33</v>
      </c>
      <c r="C171" s="43" t="s">
        <v>424</v>
      </c>
      <c r="D171" s="43"/>
      <c r="E171" s="20">
        <f>SUMIFS(Xuất出库!D:D,Xuất出库!G:G,B171,Xuất出库!C:C,D171)</f>
        <v>0</v>
      </c>
      <c r="F171" s="21">
        <f>SUMIFS(Xuất出库!E:E,Xuất出库!G:G,B171,Xuất出库!C:C,D171)+SUMIFS(Xuất出库!F:F,Xuất出库!G:G,B171,Xuất出库!C:C,D171)</f>
        <v>0</v>
      </c>
      <c r="G171" s="43"/>
      <c r="H171" s="21">
        <f>SUMIFS(Hoàn回库!E:E,Hoàn回库!G:G,B171,Hoàn回库!C:C,D171)+SUMIFS(Hoàn回库!F:F,Hoàn回库!G:G,B171,Hoàn回库!C:C,D171)</f>
        <v>0</v>
      </c>
      <c r="I171" s="21">
        <f>SUMIFS('Điều hàng调货'!E:E,'Điều hàng调货'!A:A,K171,'Điều hàng调货'!G:G,B171)*-1+SUMIFS('Điều hàng调货'!E:E,'Điều hàng调货'!A:A,K171,'Điều hàng调货'!H:H,B171)+SUMIFS('Điều hàng调货'!F:F,'Điều hàng调货'!A:A,K171,'Điều hàng调货'!G:G,B171)*-1+SUMIFS('Điều hàng调货'!F:F,'Điều hàng调货'!A:A,K171,'Điều hàng调货'!H:H,B171)</f>
        <v>0</v>
      </c>
      <c r="J171" s="21">
        <f t="shared" ref="J171:J198" si="9">F171-G171-H171+I171</f>
        <v>0</v>
      </c>
      <c r="K171" s="21" t="e">
        <f>VLOOKUP($D171,SKU!$A:$I,3,FALSE)</f>
        <v>#N/A</v>
      </c>
      <c r="L171" s="21" t="e">
        <f>VLOOKUP($D171,SKU!$A:$I,2,FALSE)</f>
        <v>#N/A</v>
      </c>
    </row>
    <row r="172" ht="15.75" spans="1:12">
      <c r="A172" s="6"/>
      <c r="B172" s="59" t="s">
        <v>477</v>
      </c>
      <c r="C172" s="53" t="s">
        <v>424</v>
      </c>
      <c r="D172" s="23" t="s">
        <v>222</v>
      </c>
      <c r="E172" s="24">
        <f>SUMIFS(Xuất出库!D:D,Xuất出库!G:G,B172,Xuất出库!C:C,D172)</f>
        <v>8</v>
      </c>
      <c r="F172" s="25">
        <f>SUMIFS(Xuất出库!E:E,Xuất出库!G:G,B172,Xuất出库!C:C,D172)+SUMIFS(Xuất出库!F:F,Xuất出库!G:G,B172,Xuất出库!C:C,D172)</f>
        <v>140</v>
      </c>
      <c r="G172" s="23">
        <v>114</v>
      </c>
      <c r="H172" s="25">
        <f>SUMIFS(Hoàn回库!E:E,Hoàn回库!G:G,B172,Hoàn回库!C:C,D172)+SUMIFS(Hoàn回库!F:F,Hoàn回库!G:G,B172,Hoàn回库!C:C,D172)</f>
        <v>26</v>
      </c>
      <c r="I172" s="25">
        <f>SUMIFS('Điều hàng调货'!E:E,'Điều hàng调货'!A:A,K172,'Điều hàng调货'!G:G,B172)*-1+SUMIFS('Điều hàng调货'!E:E,'Điều hàng调货'!A:A,K172,'Điều hàng调货'!H:H,B172)+SUMIFS('Điều hàng调货'!F:F,'Điều hàng调货'!A:A,K172,'Điều hàng调货'!G:G,B172)*-1+SUMIFS('Điều hàng调货'!F:F,'Điều hàng调货'!A:A,K172,'Điều hàng调货'!H:H,B172)</f>
        <v>0</v>
      </c>
      <c r="J172" s="25">
        <f t="shared" si="9"/>
        <v>0</v>
      </c>
      <c r="K172" s="25">
        <f>VLOOKUP($D172,SKU!$A:$I,3,FALSE)</f>
        <v>10051</v>
      </c>
      <c r="L172" s="25" t="str">
        <f>VLOOKUP($D172,SKU!$A:$I,2,FALSE)</f>
        <v>南卡《魔卡少女樱》</v>
      </c>
    </row>
    <row r="173" spans="1:12">
      <c r="A173" s="6"/>
      <c r="B173" s="59" t="s">
        <v>477</v>
      </c>
      <c r="C173" s="53" t="s">
        <v>424</v>
      </c>
      <c r="D173" s="6" t="s">
        <v>184</v>
      </c>
      <c r="E173" s="8">
        <f>SUMIFS(Xuất出库!D:D,Xuất出库!G:G,B173,Xuất出库!C:C,D173)</f>
        <v>30</v>
      </c>
      <c r="F173" s="9">
        <f>SUMIFS(Xuất出库!E:E,Xuất出库!G:G,B173,Xuất出库!C:C,D173)+SUMIFS(Xuất出库!F:F,Xuất出库!G:G,B173,Xuất出库!C:C,D173)</f>
        <v>600</v>
      </c>
      <c r="G173" s="6">
        <f>17+9+58+61+40+15+30+20+28</f>
        <v>278</v>
      </c>
      <c r="H173" s="9">
        <f>SUMIFS(Hoàn回库!E:E,Hoàn回库!G:G,B173,Hoàn回库!C:C,D173)+SUMIFS(Hoàn回库!F:F,Hoàn回库!G:G,B173,Hoàn回库!C:C,D173)</f>
        <v>0</v>
      </c>
      <c r="I173" s="9">
        <f>SUMIFS('Điều hàng调货'!E:E,'Điều hàng调货'!A:A,K173,'Điều hàng调货'!G:G,B173)*-1+SUMIFS('Điều hàng调货'!E:E,'Điều hàng调货'!A:A,K173,'Điều hàng调货'!H:H,B173)+SUMIFS('Điều hàng调货'!F:F,'Điều hàng调货'!A:A,K173,'Điều hàng调货'!G:G,B173)*-1+SUMIFS('Điều hàng调货'!F:F,'Điều hàng调货'!A:A,K173,'Điều hàng调货'!H:H,B173)</f>
        <v>-322</v>
      </c>
      <c r="J173" s="9">
        <f t="shared" si="9"/>
        <v>0</v>
      </c>
      <c r="K173" s="9">
        <f>VLOOKUP($D173,SKU!$A:$I,3,FALSE)</f>
        <v>10039</v>
      </c>
      <c r="L173" s="9" t="str">
        <f>VLOOKUP($D173,SKU!$A:$I,2,FALSE)</f>
        <v>非凡航海王第五弹</v>
      </c>
    </row>
    <row r="174" spans="1:12">
      <c r="A174" s="6"/>
      <c r="B174" s="59" t="s">
        <v>477</v>
      </c>
      <c r="C174" s="53" t="s">
        <v>424</v>
      </c>
      <c r="D174" s="10" t="s">
        <v>199</v>
      </c>
      <c r="E174" s="8">
        <f>SUMIFS(Xuất出库!D:D,Xuất出库!G:G,B174,Xuất出库!C:C,D174)</f>
        <v>2</v>
      </c>
      <c r="F174" s="9">
        <f>SUMIFS(Xuất出库!E:E,Xuất出库!G:G,B174,Xuất出库!C:C,D174)+SUMIFS(Xuất出库!F:F,Xuất出库!G:G,B174,Xuất出库!C:C,D174)</f>
        <v>26</v>
      </c>
      <c r="G174" s="6">
        <f>7</f>
        <v>7</v>
      </c>
      <c r="H174" s="9">
        <f>SUMIFS(Hoàn回库!E:E,Hoàn回库!G:G,B174,Hoàn回库!C:C,D174)+SUMIFS(Hoàn回库!F:F,Hoàn回库!G:G,B174,Hoàn回库!C:C,D174)</f>
        <v>19</v>
      </c>
      <c r="I174" s="9">
        <f>SUMIFS('Điều hàng调货'!E:E,'Điều hàng调货'!A:A,K174,'Điều hàng调货'!G:G,B174)*-1+SUMIFS('Điều hàng调货'!E:E,'Điều hàng调货'!A:A,K174,'Điều hàng调货'!H:H,B174)+SUMIFS('Điều hàng调货'!F:F,'Điều hàng调货'!A:A,K174,'Điều hàng调货'!G:G,B174)*-1+SUMIFS('Điều hàng调货'!F:F,'Điều hàng调货'!A:A,K174,'Điều hàng调货'!H:H,B174)</f>
        <v>0</v>
      </c>
      <c r="J174" s="9">
        <f t="shared" si="9"/>
        <v>0</v>
      </c>
      <c r="K174" s="9">
        <f>VLOOKUP($D174,SKU!$A:$I,3,FALSE)</f>
        <v>10043</v>
      </c>
      <c r="L174" s="9" t="str">
        <f>VLOOKUP($D174,SKU!$A:$I,2,FALSE)</f>
        <v>光恋XR-披荆斩棘-美少女战士</v>
      </c>
    </row>
    <row r="175" spans="1:12">
      <c r="A175" s="6"/>
      <c r="B175" s="59" t="s">
        <v>477</v>
      </c>
      <c r="C175" s="53" t="s">
        <v>424</v>
      </c>
      <c r="D175" s="6" t="s">
        <v>99</v>
      </c>
      <c r="E175" s="8">
        <f>SUMIFS(Xuất出库!D:D,Xuất出库!G:G,B175,Xuất出库!C:C,D175)</f>
        <v>2</v>
      </c>
      <c r="F175" s="9">
        <f>SUMIFS(Xuất出库!E:E,Xuất出库!G:G,B175,Xuất出库!C:C,D175)+SUMIFS(Xuất出库!F:F,Xuất出库!G:G,B175,Xuất出库!C:C,D175)</f>
        <v>26</v>
      </c>
      <c r="G175" s="6"/>
      <c r="H175" s="9">
        <f>SUMIFS(Hoàn回库!E:E,Hoàn回库!G:G,B175,Hoàn回库!C:C,D175)+SUMIFS(Hoàn回库!F:F,Hoàn回库!G:G,B175,Hoàn回库!C:C,D175)</f>
        <v>0</v>
      </c>
      <c r="I175" s="9">
        <f>SUMIFS('Điều hàng调货'!E:E,'Điều hàng调货'!A:A,K175,'Điều hàng调货'!G:G,B175)*-1+SUMIFS('Điều hàng调货'!E:E,'Điều hàng调货'!A:A,K175,'Điều hàng调货'!H:H,B175)+SUMIFS('Điều hàng调货'!F:F,'Điều hàng调货'!A:A,K175,'Điều hàng调货'!G:G,B175)*-1+SUMIFS('Điều hàng调货'!F:F,'Điều hàng调货'!A:A,K175,'Điều hàng调货'!H:H,B175)</f>
        <v>-26</v>
      </c>
      <c r="J175" s="9">
        <f t="shared" si="9"/>
        <v>0</v>
      </c>
      <c r="K175" s="9">
        <f>VLOOKUP($D175,SKU!$A:$I,3,FALSE)</f>
        <v>10018</v>
      </c>
      <c r="L175" s="9" t="str">
        <f>VLOOKUP($D175,SKU!$A:$I,2,FALSE)</f>
        <v>圣月美少女战士星尘协奏曲长卡</v>
      </c>
    </row>
    <row r="176" spans="1:12">
      <c r="A176" s="6"/>
      <c r="B176" s="59" t="s">
        <v>477</v>
      </c>
      <c r="C176" s="60" t="s">
        <v>424</v>
      </c>
      <c r="D176" s="12" t="s">
        <v>83</v>
      </c>
      <c r="E176" s="13">
        <f>SUMIFS(Xuất出库!D:D,Xuất出库!G:G,B176,Xuất出库!C:C,D176)</f>
        <v>10</v>
      </c>
      <c r="F176" s="14">
        <f>SUMIFS(Xuất出库!E:E,Xuất出库!G:G,B176,Xuất出库!C:C,D176)+SUMIFS(Xuất出库!F:F,Xuất出库!G:G,B176,Xuất出库!C:C,D176)</f>
        <v>30</v>
      </c>
      <c r="G176" s="12"/>
      <c r="H176" s="14">
        <f>SUMIFS(Hoàn回库!E:E,Hoàn回库!G:G,B176,Hoàn回库!C:C,D176)+SUMIFS(Hoàn回库!F:F,Hoàn回库!G:G,B176,Hoàn回库!C:C,D176)</f>
        <v>0</v>
      </c>
      <c r="I176" s="9">
        <f>SUMIFS('Điều hàng调货'!E:E,'Điều hàng调货'!A:A,K176,'Điều hàng调货'!G:G,B176)*-1+SUMIFS('Điều hàng调货'!E:E,'Điều hàng调货'!A:A,K176,'Điều hàng调货'!H:H,B176)+SUMIFS('Điều hàng调货'!F:F,'Điều hàng调货'!A:A,K176,'Điều hàng调货'!G:G,B176)*-1+SUMIFS('Điều hàng调货'!F:F,'Điều hàng调货'!A:A,K176,'Điều hàng调货'!H:H,B176)</f>
        <v>0</v>
      </c>
      <c r="J176" s="9">
        <f t="shared" si="9"/>
        <v>30</v>
      </c>
      <c r="K176" s="14">
        <f>VLOOKUP($D176,SKU!$A:$I,3,FALSE)</f>
        <v>10014</v>
      </c>
      <c r="L176" s="14" t="str">
        <f>VLOOKUP($D176,SKU!$A:$I,2,FALSE)</f>
        <v>星梦文创-Studio Ghibli宫崎骏撕撕乐系列 </v>
      </c>
    </row>
    <row r="177" ht="15.75" spans="1:12">
      <c r="A177" s="15"/>
      <c r="B177" s="61" t="s">
        <v>477</v>
      </c>
      <c r="C177" s="18" t="s">
        <v>424</v>
      </c>
      <c r="D177" s="18" t="s">
        <v>241</v>
      </c>
      <c r="E177" s="50">
        <f>SUMIFS(Xuất出库!D:D,Xuất出库!G:G,B177,Xuất出库!C:C,D177)</f>
        <v>3</v>
      </c>
      <c r="F177" s="51">
        <f>SUMIFS(Xuất出库!E:E,Xuất出库!G:G,B177,Xuất出库!C:C,D177)+SUMIFS(Xuất出库!F:F,Xuất出库!G:G,B177,Xuất出库!C:C,D177)</f>
        <v>30</v>
      </c>
      <c r="G177" s="18">
        <f>1+1</f>
        <v>2</v>
      </c>
      <c r="H177" s="51">
        <f>SUMIFS(Hoàn回库!E:E,Hoàn回库!G:G,B177,Hoàn回库!C:C,D177)+SUMIFS(Hoàn回库!F:F,Hoàn回库!G:G,B177,Hoàn回库!C:C,D177)</f>
        <v>0</v>
      </c>
      <c r="I177" s="21">
        <f>SUMIFS('Điều hàng调货'!E:E,'Điều hàng调货'!A:A,K177,'Điều hàng调货'!G:G,B177)*-1+SUMIFS('Điều hàng调货'!E:E,'Điều hàng调货'!A:A,K177,'Điều hàng调货'!H:H,B177)+SUMIFS('Điều hàng调货'!F:F,'Điều hàng调货'!A:A,K177,'Điều hàng调货'!G:G,B177)*-1+SUMIFS('Điều hàng调货'!F:F,'Điều hàng调货'!A:A,K177,'Điều hàng调货'!H:H,B177)</f>
        <v>-28</v>
      </c>
      <c r="J177" s="21">
        <f t="shared" si="9"/>
        <v>0</v>
      </c>
      <c r="K177" s="51">
        <f>VLOOKUP($D177,SKU!$A:$I,3,FALSE)</f>
        <v>10057</v>
      </c>
      <c r="L177" s="51" t="str">
        <f>VLOOKUP($D177,SKU!$A:$I,2,FALSE)</f>
        <v>三丽鸥家族暖冬</v>
      </c>
    </row>
    <row r="178" ht="15.75" spans="1:12">
      <c r="B178" s="62" t="s">
        <v>130</v>
      </c>
      <c r="C178" s="45" t="s">
        <v>424</v>
      </c>
      <c r="D178" s="53" t="s">
        <v>179</v>
      </c>
      <c r="E178" s="24">
        <f>SUMIFS(Xuất出库!D:D,Xuất出库!G:G,B178,Xuất出库!C:C,D178)</f>
        <v>0</v>
      </c>
      <c r="F178" s="25">
        <f>SUMIFS(Xuất出库!E:E,Xuất出库!G:G,B178,Xuất出库!C:C,D178)+SUMIFS(Xuất出库!F:F,Xuất出库!G:G,B178,Xuất出库!C:C,D178)</f>
        <v>10</v>
      </c>
      <c r="G178" s="54">
        <f>8</f>
        <v>8</v>
      </c>
      <c r="H178" s="25">
        <f>SUMIFS(Hoàn回库!E:E,Hoàn回库!G:G,B178,Hoàn回库!C:C,D178)+SUMIFS(Hoàn回库!F:F,Hoàn回库!G:G,B178,Hoàn回库!C:C,D178)</f>
        <v>0</v>
      </c>
      <c r="I178" s="25">
        <f>SUMIFS('Điều hàng调货'!E:E,'Điều hàng调货'!A:A,K178,'Điều hàng调货'!G:G,B178)*-1+SUMIFS('Điều hàng调货'!E:E,'Điều hàng调货'!A:A,K178,'Điều hàng调货'!H:H,B178)+SUMIFS('Điều hàng调货'!F:F,'Điều hàng调货'!A:A,K178,'Điều hàng调货'!G:G,B178)*-1+SUMIFS('Điều hàng调货'!F:F,'Điều hàng调货'!A:A,K178,'Điều hàng调货'!H:H,B178)</f>
        <v>0</v>
      </c>
      <c r="J178" s="25">
        <f t="shared" si="9"/>
        <v>2</v>
      </c>
      <c r="K178" s="25">
        <f>VLOOKUP($D178,SKU!$A:$I,3,FALSE)</f>
        <v>10038</v>
      </c>
      <c r="L178" s="25" t="str">
        <f>VLOOKUP($D178,SKU!$A:$I,2,FALSE)</f>
        <v>浮光工作室❤第三弹【夏风吻过你的睫毛】</v>
      </c>
    </row>
    <row r="179" spans="1:12">
      <c r="B179" s="63" t="s">
        <v>130</v>
      </c>
      <c r="C179" s="29" t="s">
        <v>424</v>
      </c>
      <c r="D179" s="64" t="s">
        <v>99</v>
      </c>
      <c r="E179" s="8">
        <f>SUMIFS(Xuất出库!D:D,Xuất出库!G:G,B179,Xuất出库!C:C,D179)</f>
        <v>2</v>
      </c>
      <c r="F179" s="9">
        <f>SUMIFS(Xuất出库!E:E,Xuất出库!G:G,B179,Xuất出库!C:C,D179)+SUMIFS(Xuất出库!F:F,Xuất出库!G:G,B179,Xuất出库!C:C,D179)</f>
        <v>26</v>
      </c>
      <c r="G179" s="6">
        <f>48+3</f>
        <v>51</v>
      </c>
      <c r="H179" s="9">
        <f>SUMIFS(Hoàn回库!E:E,Hoàn回库!G:G,B179,Hoàn回库!C:C,D179)+SUMIFS(Hoàn回库!F:F,Hoàn回库!G:G,B179,Hoàn回库!C:C,D179)</f>
        <v>0</v>
      </c>
      <c r="I179" s="9">
        <f>SUMIFS('Điều hàng调货'!E:E,'Điều hàng调货'!A:A,K179,'Điều hàng调货'!G:G,B179)*-1+SUMIFS('Điều hàng调货'!E:E,'Điều hàng调货'!A:A,K179,'Điều hàng调货'!H:H,B179)+SUMIFS('Điều hàng调货'!F:F,'Điều hàng调货'!A:A,K179,'Điều hàng调货'!G:G,B179)*-1+SUMIFS('Điều hàng调货'!F:F,'Điều hàng调货'!A:A,K179,'Điều hàng调货'!H:H,B179)</f>
        <v>91</v>
      </c>
      <c r="J179" s="9">
        <f t="shared" si="9"/>
        <v>66</v>
      </c>
      <c r="K179" s="9">
        <f>VLOOKUP($D179,SKU!$A:$I,3,FALSE)</f>
        <v>10018</v>
      </c>
      <c r="L179" s="9" t="str">
        <f>VLOOKUP($D179,SKU!$A:$I,2,FALSE)</f>
        <v>圣月美少女战士星尘协奏曲长卡</v>
      </c>
    </row>
    <row r="180" spans="1:12">
      <c r="B180" s="63" t="s">
        <v>130</v>
      </c>
      <c r="C180" s="29" t="s">
        <v>424</v>
      </c>
      <c r="D180" s="64" t="s">
        <v>199</v>
      </c>
      <c r="E180" s="8">
        <f>SUMIFS(Xuất出库!D:D,Xuất出库!G:G,B180,Xuất出库!C:C,D180)</f>
        <v>12</v>
      </c>
      <c r="F180" s="9">
        <f>SUMIFS(Xuất出库!E:E,Xuất出库!G:G,B180,Xuất出库!C:C,D180)+SUMIFS(Xuất出库!F:F,Xuất出库!G:G,B180,Xuất出库!C:C,D180)</f>
        <v>175</v>
      </c>
      <c r="G180" s="6">
        <f>39+34+48+9</f>
        <v>130</v>
      </c>
      <c r="H180" s="9">
        <f>SUMIFS(Hoàn回库!E:E,Hoàn回库!G:G,B180,Hoàn回库!C:C,D180)+SUMIFS(Hoàn回库!F:F,Hoàn回库!G:G,B180,Hoàn回库!C:C,D180)</f>
        <v>0</v>
      </c>
      <c r="I180" s="9">
        <f>SUMIFS('Điều hàng调货'!E:E,'Điều hàng调货'!A:A,K180,'Điều hàng调货'!G:G,B180)*-1+SUMIFS('Điều hàng调货'!E:E,'Điều hàng调货'!A:A,K180,'Điều hàng调货'!H:H,B180)+SUMIFS('Điều hàng调货'!F:F,'Điều hàng调货'!A:A,K180,'Điều hàng调货'!G:G,B180)*-1+SUMIFS('Điều hàng调货'!F:F,'Điều hàng调货'!A:A,K180,'Điều hàng调货'!H:H,B180)</f>
        <v>0</v>
      </c>
      <c r="J180" s="9">
        <f t="shared" si="9"/>
        <v>45</v>
      </c>
      <c r="K180" s="9">
        <f>VLOOKUP($D180,SKU!$A:$I,3,FALSE)</f>
        <v>10043</v>
      </c>
      <c r="L180" s="9" t="str">
        <f>VLOOKUP($D180,SKU!$A:$I,2,FALSE)</f>
        <v>光恋XR-披荆斩棘-美少女战士</v>
      </c>
    </row>
    <row r="181" spans="1:12">
      <c r="B181" s="63" t="s">
        <v>130</v>
      </c>
      <c r="C181" s="29" t="s">
        <v>424</v>
      </c>
      <c r="D181" s="64" t="s">
        <v>155</v>
      </c>
      <c r="E181" s="8">
        <f>SUMIFS(Xuất出库!D:D,Xuất出库!G:G,B181,Xuất出库!C:C,D181)</f>
        <v>0</v>
      </c>
      <c r="F181" s="9">
        <f>SUMIFS(Xuất出库!E:E,Xuất出库!G:G,B181,Xuất出库!C:C,D181)+SUMIFS(Xuất出库!F:F,Xuất出库!G:G,B181,Xuất出库!C:C,D181)</f>
        <v>10</v>
      </c>
      <c r="G181" s="6">
        <v>6</v>
      </c>
      <c r="H181" s="9">
        <f>SUMIFS(Hoàn回库!E:E,Hoàn回库!G:G,B181,Hoàn回库!C:C,D181)+SUMIFS(Hoàn回库!F:F,Hoàn回库!G:G,B181,Hoàn回库!C:C,D181)</f>
        <v>4</v>
      </c>
      <c r="I181" s="9">
        <f>SUMIFS('Điều hàng调货'!E:E,'Điều hàng调货'!A:A,K181,'Điều hàng调货'!G:G,B181)*-1+SUMIFS('Điều hàng调货'!E:E,'Điều hàng调货'!A:A,K181,'Điều hàng调货'!H:H,B181)+SUMIFS('Điều hàng调货'!F:F,'Điều hàng调货'!A:A,K181,'Điều hàng调货'!G:G,B181)*-1+SUMIFS('Điều hàng调货'!F:F,'Điều hàng调货'!A:A,K181,'Điều hàng调货'!H:H,B181)</f>
        <v>0</v>
      </c>
      <c r="J181" s="9">
        <f t="shared" si="9"/>
        <v>0</v>
      </c>
      <c r="K181" s="9">
        <f>VLOOKUP($D181,SKU!$A:$I,3,FALSE)</f>
        <v>10032</v>
      </c>
      <c r="L181" s="9" t="str">
        <f>VLOOKUP($D181,SKU!$A:$I,2,FALSE)</f>
        <v>绘心阁《魔道祖师—殊途同归》色纸卡牌</v>
      </c>
    </row>
    <row r="182" spans="1:12">
      <c r="B182" s="63" t="s">
        <v>130</v>
      </c>
      <c r="C182" s="29" t="s">
        <v>424</v>
      </c>
      <c r="D182" s="64" t="s">
        <v>222</v>
      </c>
      <c r="E182" s="8">
        <f>SUMIFS(Xuất出库!D:D,Xuất出库!G:G,B182,Xuất出库!C:C,D182)</f>
        <v>1</v>
      </c>
      <c r="F182" s="9">
        <f>SUMIFS(Xuất出库!E:E,Xuất出库!G:G,B182,Xuất出库!C:C,D182)+SUMIFS(Xuất出库!F:F,Xuất出库!G:G,B182,Xuất出库!C:C,D182)</f>
        <v>12</v>
      </c>
      <c r="G182" s="6"/>
      <c r="H182" s="9">
        <f>SUMIFS(Hoàn回库!E:E,Hoàn回库!G:G,B182,Hoàn回库!C:C,D182)+SUMIFS(Hoàn回库!F:F,Hoàn回库!G:G,B182,Hoàn回库!C:C,D182)</f>
        <v>11</v>
      </c>
      <c r="I182" s="9">
        <f>SUMIFS('Điều hàng调货'!E:E,'Điều hàng调货'!A:A,K182,'Điều hàng调货'!G:G,B182)*-1+SUMIFS('Điều hàng调货'!E:E,'Điều hàng调货'!A:A,K182,'Điều hàng调货'!H:H,B182)+SUMIFS('Điều hàng调货'!F:F,'Điều hàng调货'!A:A,K182,'Điều hàng调货'!G:G,B182)*-1+SUMIFS('Điều hàng调货'!F:F,'Điều hàng调货'!A:A,K182,'Điều hàng调货'!H:H,B182)</f>
        <v>0</v>
      </c>
      <c r="J182" s="9">
        <f t="shared" si="9"/>
        <v>1</v>
      </c>
      <c r="K182" s="9">
        <f>VLOOKUP($D182,SKU!$A:$I,3,FALSE)</f>
        <v>10051</v>
      </c>
      <c r="L182" s="9" t="str">
        <f>VLOOKUP($D182,SKU!$A:$I,2,FALSE)</f>
        <v>南卡《魔卡少女樱》</v>
      </c>
    </row>
    <row r="183" spans="1:12">
      <c r="B183" s="63" t="s">
        <v>130</v>
      </c>
      <c r="C183" s="29" t="s">
        <v>424</v>
      </c>
      <c r="D183" s="64" t="s">
        <v>171</v>
      </c>
      <c r="E183" s="8">
        <f>SUMIFS(Xuất出库!D:D,Xuất出库!G:G,B183,Xuất出库!C:C,D183)</f>
        <v>5</v>
      </c>
      <c r="F183" s="9">
        <f>SUMIFS(Xuất出库!E:E,Xuất出库!G:G,B183,Xuất出库!C:C,D183)+SUMIFS(Xuất出库!F:F,Xuất出库!G:G,B183,Xuất出库!C:C,D183)</f>
        <v>30</v>
      </c>
      <c r="G183" s="6"/>
      <c r="H183" s="9">
        <f>SUMIFS(Hoàn回库!E:E,Hoàn回库!G:G,B183,Hoàn回库!C:C,D183)+SUMIFS(Hoàn回库!F:F,Hoàn回库!G:G,B183,Hoàn回库!C:C,D183)</f>
        <v>0</v>
      </c>
      <c r="I183" s="9">
        <f>SUMIFS('Điều hàng调货'!E:E,'Điều hàng调货'!A:A,K183,'Điều hàng调货'!G:G,B183)*-1+SUMIFS('Điều hàng调货'!E:E,'Điều hàng调货'!A:A,K183,'Điều hàng调货'!H:H,B183)+SUMIFS('Điều hàng调货'!F:F,'Điều hàng调货'!A:A,K183,'Điều hàng调货'!G:G,B183)*-1+SUMIFS('Điều hàng调货'!F:F,'Điều hàng调货'!A:A,K183,'Điều hàng调货'!H:H,B183)</f>
        <v>0</v>
      </c>
      <c r="J183" s="9">
        <f t="shared" si="9"/>
        <v>30</v>
      </c>
      <c r="K183" s="9">
        <f>VLOOKUP($D183,SKU!$A:$I,3,FALSE)</f>
        <v>10036</v>
      </c>
      <c r="L183" s="9" t="str">
        <f>VLOOKUP($D183,SKU!$A:$I,2,FALSE)</f>
        <v>《研卡文创》第三弹收藏色纸</v>
      </c>
    </row>
    <row r="184" spans="1:12">
      <c r="B184" s="63" t="s">
        <v>130</v>
      </c>
      <c r="C184" s="29" t="s">
        <v>424</v>
      </c>
      <c r="D184" s="64" t="s">
        <v>83</v>
      </c>
      <c r="E184" s="8">
        <f>SUMIFS(Xuất出库!D:D,Xuất出库!G:G,B184,Xuất出库!C:C,D184)</f>
        <v>10</v>
      </c>
      <c r="F184" s="9">
        <f>SUMIFS(Xuất出库!E:E,Xuất出库!G:G,B184,Xuất出库!C:C,D184)+SUMIFS(Xuất出库!F:F,Xuất出库!G:G,B184,Xuất出库!C:C,D184)</f>
        <v>59</v>
      </c>
      <c r="G184" s="6">
        <f>11</f>
        <v>11</v>
      </c>
      <c r="H184" s="9">
        <f>SUMIFS(Hoàn回库!E:E,Hoàn回库!G:G,B184,Hoàn回库!C:C,D184)+SUMIFS(Hoàn回库!F:F,Hoàn回库!G:G,B184,Hoàn回库!C:C,D184)</f>
        <v>0</v>
      </c>
      <c r="I184" s="9">
        <f>SUMIFS('Điều hàng调货'!E:E,'Điều hàng调货'!A:A,K184,'Điều hàng调货'!G:G,B184)*-1+SUMIFS('Điều hàng调货'!E:E,'Điều hàng调货'!A:A,K184,'Điều hàng调货'!H:H,B184)+SUMIFS('Điều hàng调货'!F:F,'Điều hàng调货'!A:A,K184,'Điều hàng调货'!G:G,B184)*-1+SUMIFS('Điều hàng调货'!F:F,'Điều hàng调货'!A:A,K184,'Điều hàng调货'!H:H,B184)</f>
        <v>0</v>
      </c>
      <c r="J184" s="9">
        <f t="shared" si="9"/>
        <v>48</v>
      </c>
      <c r="K184" s="9">
        <f>VLOOKUP($D184,SKU!$A:$I,3,FALSE)</f>
        <v>10014</v>
      </c>
      <c r="L184" s="9" t="str">
        <f>VLOOKUP($D184,SKU!$A:$I,2,FALSE)</f>
        <v>星梦文创-Studio Ghibli宫崎骏撕撕乐系列 </v>
      </c>
    </row>
    <row r="185" spans="1:12">
      <c r="B185" s="63" t="s">
        <v>130</v>
      </c>
      <c r="C185" s="29" t="s">
        <v>424</v>
      </c>
      <c r="D185" s="64" t="s">
        <v>127</v>
      </c>
      <c r="E185" s="8">
        <f>SUMIFS(Xuất出库!D:D,Xuất出库!G:G,B185,Xuất出库!C:C,D185)</f>
        <v>0</v>
      </c>
      <c r="F185" s="9">
        <f>SUMIFS(Xuất出库!E:E,Xuất出库!G:G,B185,Xuất出库!C:C,D185)+SUMIFS(Xuất出库!F:F,Xuất出库!G:G,B185,Xuất出库!C:C,D185)</f>
        <v>91</v>
      </c>
      <c r="G185" s="6">
        <v>91</v>
      </c>
      <c r="H185" s="9">
        <f>SUMIFS(Hoàn回库!E:E,Hoàn回库!G:G,B185,Hoàn回库!C:C,D185)+SUMIFS(Hoàn回库!F:F,Hoàn回库!G:G,B185,Hoàn回库!C:C,D185)</f>
        <v>0</v>
      </c>
      <c r="I185" s="9">
        <f>SUMIFS('Điều hàng调货'!E:E,'Điều hàng调货'!A:A,K185,'Điều hàng调货'!G:G,B185)*-1+SUMIFS('Điều hàng调货'!E:E,'Điều hàng调货'!A:A,K185,'Điều hàng调货'!H:H,B185)+SUMIFS('Điều hàng调货'!F:F,'Điều hàng调货'!A:A,K185,'Điều hàng调货'!G:G,B185)*-1+SUMIFS('Điều hàng调货'!F:F,'Điều hàng调货'!A:A,K185,'Điều hàng调货'!H:H,B185)</f>
        <v>0</v>
      </c>
      <c r="J185" s="9">
        <f t="shared" si="9"/>
        <v>0</v>
      </c>
      <c r="K185" s="9">
        <f>VLOOKUP($D185,SKU!$A:$I,3,FALSE)</f>
        <v>10025</v>
      </c>
      <c r="L185" s="9" t="str">
        <f>VLOOKUP($D185,SKU!$A:$I,2,FALSE)</f>
        <v>君屹文化耽美古风收藏新纪元《言辞忆梦》撕撕乐</v>
      </c>
    </row>
    <row r="186" spans="1:12">
      <c r="B186" s="63" t="s">
        <v>130</v>
      </c>
      <c r="C186" s="29" t="s">
        <v>424</v>
      </c>
      <c r="D186" s="64" t="s">
        <v>159</v>
      </c>
      <c r="E186" s="8">
        <f>SUMIFS(Xuất出库!D:D,Xuất出库!G:G,B186,Xuất出库!C:C,D186)</f>
        <v>0</v>
      </c>
      <c r="F186" s="9">
        <f>SUMIFS(Xuất出库!E:E,Xuất出库!G:G,B186,Xuất出库!C:C,D186)+SUMIFS(Xuất出库!F:F,Xuất出库!G:G,B186,Xuất出库!C:C,D186)</f>
        <v>10</v>
      </c>
      <c r="G186" s="6">
        <v>1</v>
      </c>
      <c r="H186" s="9">
        <f>SUMIFS(Hoàn回库!E:E,Hoàn回库!G:G,B186,Hoàn回库!C:C,D186)+SUMIFS(Hoàn回库!F:F,Hoàn回库!G:G,B186,Hoàn回库!C:C,D186)</f>
        <v>0</v>
      </c>
      <c r="I186" s="9">
        <f>SUMIFS('Điều hàng调货'!E:E,'Điều hàng调货'!A:A,K186,'Điều hàng调货'!G:G,B186)*-1+SUMIFS('Điều hàng调货'!E:E,'Điều hàng调货'!A:A,K186,'Điều hàng调货'!H:H,B186)+SUMIFS('Điều hàng调货'!F:F,'Điều hàng调货'!A:A,K186,'Điều hàng调货'!G:G,B186)*-1+SUMIFS('Điều hàng调货'!F:F,'Điều hàng调货'!A:A,K186,'Điều hàng调货'!H:H,B186)</f>
        <v>-9</v>
      </c>
      <c r="J186" s="9">
        <f t="shared" si="9"/>
        <v>0</v>
      </c>
      <c r="K186" s="9">
        <f>VLOOKUP($D186,SKU!$A:$I,3,FALSE)</f>
        <v>10033</v>
      </c>
      <c r="L186" s="9" t="str">
        <f>VLOOKUP($D186,SKU!$A:$I,2,FALSE)</f>
        <v>慕光文创「一千次心动」系列撕撕乐</v>
      </c>
    </row>
    <row r="187" spans="1:12">
      <c r="B187" s="63" t="s">
        <v>130</v>
      </c>
      <c r="C187" s="29" t="s">
        <v>424</v>
      </c>
      <c r="D187" s="65" t="s">
        <v>18</v>
      </c>
      <c r="E187" s="13">
        <f>SUMIFS(Xuất出库!D:D,Xuất出库!G:G,B187,Xuất出库!C:C,D187)</f>
        <v>4</v>
      </c>
      <c r="F187" s="14">
        <f>SUMIFS(Xuất出库!E:E,Xuất出库!G:G,B187,Xuất出库!C:C,D187)+SUMIFS(Xuất出库!F:F,Xuất出库!G:G,B187,Xuất出库!C:C,D187)</f>
        <v>52</v>
      </c>
      <c r="G187" s="12">
        <f>5+77</f>
        <v>82</v>
      </c>
      <c r="H187" s="14">
        <f>SUMIFS(Hoàn回库!E:E,Hoàn回库!G:G,B187,Hoàn回库!C:C,D187)+SUMIFS(Hoàn回库!F:F,Hoàn回库!G:G,B187,Hoàn回库!C:C,D187)</f>
        <v>0</v>
      </c>
      <c r="I187" s="9">
        <f>SUMIFS('Điều hàng调货'!E:E,'Điều hàng调货'!A:A,K187,'Điều hàng调货'!G:G,B187)*-1+SUMIFS('Điều hàng调货'!E:E,'Điều hàng调货'!A:A,K187,'Điều hàng调货'!H:H,B187)+SUMIFS('Điều hàng调货'!F:F,'Điều hàng调货'!A:A,K187,'Điều hàng调货'!G:G,B187)*-1+SUMIFS('Điều hàng调货'!F:F,'Điều hàng调货'!A:A,K187,'Điều hàng调货'!H:H,B187)</f>
        <v>40</v>
      </c>
      <c r="J187" s="9">
        <f t="shared" si="9"/>
        <v>10</v>
      </c>
      <c r="K187" s="14">
        <f>VLOOKUP($D187,SKU!$A:$I,3,FALSE)</f>
        <v>10002</v>
      </c>
      <c r="L187" s="14" t="str">
        <f>VLOOKUP($D187,SKU!$A:$I,2,FALSE)</f>
        <v>MoonCard月卡《美少女战士》第三弹</v>
      </c>
    </row>
    <row r="188" spans="1:12">
      <c r="B188" s="63" t="s">
        <v>130</v>
      </c>
      <c r="C188" s="29" t="s">
        <v>424</v>
      </c>
      <c r="D188" s="64" t="s">
        <v>238</v>
      </c>
      <c r="E188" s="8">
        <f>SUMIFS(Xuất出库!D:D,Xuất出库!G:G,B188,Xuất出库!C:C,D188)</f>
        <v>5</v>
      </c>
      <c r="F188" s="9">
        <f>SUMIFS(Xuất出库!E:E,Xuất出库!G:G,B188,Xuất出库!C:C,D188)+SUMIFS(Xuất出库!F:F,Xuất出库!G:G,B188,Xuất出库!C:C,D188)</f>
        <v>50</v>
      </c>
      <c r="G188" s="6">
        <v>3</v>
      </c>
      <c r="H188" s="9">
        <f>SUMIFS(Hoàn回库!E:E,Hoàn回库!G:G,B188,Hoàn回库!C:C,D188)+SUMIFS(Hoàn回库!F:F,Hoàn回库!G:G,B188,Hoàn回库!C:C,D188)</f>
        <v>47</v>
      </c>
      <c r="I188" s="9">
        <f>SUMIFS('Điều hàng调货'!E:E,'Điều hàng调货'!A:A,K188,'Điều hàng调货'!G:G,B188)*-1+SUMIFS('Điều hàng调货'!E:E,'Điều hàng调货'!A:A,K188,'Điều hàng调货'!H:H,B188)+SUMIFS('Điều hàng调货'!F:F,'Điều hàng调货'!A:A,K188,'Điều hàng调货'!G:G,B188)*-1+SUMIFS('Điều hàng调货'!F:F,'Điều hàng调货'!A:A,K188,'Điều hàng调货'!H:H,B188)</f>
        <v>0</v>
      </c>
      <c r="J188" s="9">
        <f t="shared" si="9"/>
        <v>0</v>
      </c>
      <c r="K188" s="9">
        <f>VLOOKUP($D188,SKU!$A:$I,3,FALSE)</f>
        <v>10056</v>
      </c>
      <c r="L188" s="9" t="str">
        <f>VLOOKUP($D188,SKU!$A:$I,2,FALSE)</f>
        <v>集卡社天官赐福动画周年纪念版</v>
      </c>
    </row>
    <row r="189" spans="1:12">
      <c r="B189" s="63" t="s">
        <v>130</v>
      </c>
      <c r="C189" s="29" t="s">
        <v>424</v>
      </c>
      <c r="D189" s="64" t="s">
        <v>55</v>
      </c>
      <c r="E189" s="8">
        <f>SUMIFS(Xuất出库!D:D,Xuất出库!G:G,B189,Xuất出库!C:C,D189)</f>
        <v>25</v>
      </c>
      <c r="F189" s="9">
        <f>SUMIFS(Xuất出库!E:E,Xuất出库!G:G,B189,Xuất出库!C:C,D189)+SUMIFS(Xuất出库!F:F,Xuất出库!G:G,B189,Xuất出库!C:C,D189)</f>
        <v>250</v>
      </c>
      <c r="G189" s="6">
        <f>35+7+20+10+2+95+2+30</f>
        <v>201</v>
      </c>
      <c r="H189" s="9">
        <f>SUMIFS(Hoàn回库!E:E,Hoàn回库!G:G,B189,Hoàn回库!C:C,D189)+SUMIFS(Hoàn回库!F:F,Hoàn回库!G:G,B189,Hoàn回库!C:C,D189)</f>
        <v>0</v>
      </c>
      <c r="I189" s="9">
        <f>SUMIFS('Điều hàng调货'!E:E,'Điều hàng调货'!A:A,K189,'Điều hàng调货'!G:G,B189)*-1+SUMIFS('Điều hàng调货'!E:E,'Điều hàng调货'!A:A,K189,'Điều hàng调货'!H:H,B189)+SUMIFS('Điều hàng调货'!F:F,'Điều hàng调货'!A:A,K189,'Điều hàng调货'!G:G,B189)*-1+SUMIFS('Điều hàng调货'!F:F,'Điều hàng调货'!A:A,K189,'Điều hàng调货'!H:H,B189)</f>
        <v>-30</v>
      </c>
      <c r="J189" s="9">
        <f t="shared" si="9"/>
        <v>19</v>
      </c>
      <c r="K189" s="9">
        <f>VLOOKUP($D189,SKU!$A:$I,3,FALSE)</f>
        <v>10008</v>
      </c>
      <c r="L189" s="9" t="str">
        <f>VLOOKUP($D189,SKU!$A:$I,2,FALSE)</f>
        <v>XWork美少女战士-璀璨之梦</v>
      </c>
    </row>
    <row r="190" spans="1:12">
      <c r="B190" s="63" t="s">
        <v>130</v>
      </c>
      <c r="C190" s="29" t="s">
        <v>424</v>
      </c>
      <c r="D190" s="66" t="s">
        <v>175</v>
      </c>
      <c r="E190" s="8">
        <f>SUMIFS(Xuất出库!D:D,Xuất出库!G:G,B190,Xuất出库!C:C,D190)</f>
        <v>0</v>
      </c>
      <c r="F190" s="9">
        <f>SUMIFS(Xuất出库!E:E,Xuất出库!G:G,B190,Xuất出库!C:C,D190)+SUMIFS(Xuất出库!F:F,Xuất出库!G:G,B190,Xuất出库!C:C,D190)</f>
        <v>2</v>
      </c>
      <c r="G190" s="29">
        <v>2</v>
      </c>
      <c r="H190" s="9">
        <f>SUMIFS(Hoàn回库!E:E,Hoàn回库!G:G,B190,Hoàn回库!C:C,D190)+SUMIFS(Hoàn回库!F:F,Hoàn回库!G:G,B190,Hoàn回库!C:C,D190)</f>
        <v>0</v>
      </c>
      <c r="I190" s="9">
        <f>SUMIFS('Điều hàng调货'!E:E,'Điều hàng调货'!A:A,K190,'Điều hàng调货'!G:G,B190)*-1+SUMIFS('Điều hàng调货'!E:E,'Điều hàng调货'!A:A,K190,'Điều hàng调货'!H:H,B190)+SUMIFS('Điều hàng调货'!F:F,'Điều hàng调货'!A:A,K190,'Điều hàng调货'!G:G,B190)*-1+SUMIFS('Điều hàng调货'!F:F,'Điều hàng调货'!A:A,K190,'Điều hàng调货'!H:H,B190)</f>
        <v>0</v>
      </c>
      <c r="J190" s="9">
        <f t="shared" si="9"/>
        <v>0</v>
      </c>
      <c r="K190" s="9">
        <f>VLOOKUP($D190,SKU!$A:$I,3,FALSE)</f>
        <v>10037</v>
      </c>
      <c r="L190" s="9" t="str">
        <f>VLOOKUP($D190,SKU!$A:$I,2,FALSE)</f>
        <v>磁吸邮票《咪咕咪咕&amp;魔卡少女樱》</v>
      </c>
    </row>
    <row r="191" spans="1:12">
      <c r="B191" s="63" t="s">
        <v>130</v>
      </c>
      <c r="C191" s="29" t="s">
        <v>424</v>
      </c>
      <c r="D191" s="66" t="s">
        <v>212</v>
      </c>
      <c r="E191" s="8">
        <f>SUMIFS(Xuất出库!D:D,Xuất出库!G:G,B191,Xuất出库!C:C,D191)</f>
        <v>0</v>
      </c>
      <c r="F191" s="9">
        <f>SUMIFS(Xuất出库!E:E,Xuất出库!G:G,B191,Xuất出库!C:C,D191)+SUMIFS(Xuất出库!F:F,Xuất出库!G:G,B191,Xuất出库!C:C,D191)</f>
        <v>20</v>
      </c>
      <c r="G191" s="29">
        <f>4+1+3+7+2+2</f>
        <v>19</v>
      </c>
      <c r="H191" s="9">
        <f>SUMIFS(Hoàn回库!E:E,Hoàn回库!G:G,B191,Hoàn回库!C:C,D191)+SUMIFS(Hoàn回库!F:F,Hoàn回库!G:G,B191,Hoàn回库!C:C,D191)</f>
        <v>0</v>
      </c>
      <c r="I191" s="9">
        <f>SUMIFS('Điều hàng调货'!E:E,'Điều hàng调货'!A:A,K191,'Điều hàng调货'!G:G,B191)*-1+SUMIFS('Điều hàng调货'!E:E,'Điều hàng调货'!A:A,K191,'Điều hàng调货'!H:H,B191)+SUMIFS('Điều hàng调货'!F:F,'Điều hàng调货'!A:A,K191,'Điều hàng调货'!G:G,B191)*-1+SUMIFS('Điều hàng调货'!F:F,'Điều hàng调货'!A:A,K191,'Điều hàng调货'!H:H,B191)</f>
        <v>20</v>
      </c>
      <c r="J191" s="9">
        <f t="shared" si="9"/>
        <v>21</v>
      </c>
      <c r="K191" s="9">
        <f>VLOOKUP($D191,SKU!$A:$I,3,FALSE)</f>
        <v>10048</v>
      </c>
      <c r="L191" s="9" t="str">
        <f>VLOOKUP($D191,SKU!$A:$I,2,FALSE)</f>
        <v>奈良社《极昼漫游》美少女战士撕撕乐+异形小卡</v>
      </c>
    </row>
    <row r="192" spans="1:12">
      <c r="B192" s="63" t="s">
        <v>130</v>
      </c>
      <c r="C192" s="29" t="s">
        <v>424</v>
      </c>
      <c r="D192" s="66" t="s">
        <v>91</v>
      </c>
      <c r="E192" s="8">
        <f>SUMIFS(Xuất出库!D:D,Xuất出库!G:G,B192,Xuất出库!C:C,D192)</f>
        <v>5</v>
      </c>
      <c r="F192" s="9">
        <f>SUMIFS(Xuất出库!E:E,Xuất出库!G:G,B192,Xuất出库!C:C,D192)+SUMIFS(Xuất出库!F:F,Xuất出库!G:G,B192,Xuất出库!C:C,D192)</f>
        <v>50</v>
      </c>
      <c r="G192" s="29">
        <f>10+6</f>
        <v>16</v>
      </c>
      <c r="H192" s="9">
        <f>SUMIFS(Hoàn回库!E:E,Hoàn回库!G:G,B192,Hoàn回库!C:C,D192)+SUMIFS(Hoàn回库!F:F,Hoàn回库!G:G,B192,Hoàn回库!C:C,D192)</f>
        <v>0</v>
      </c>
      <c r="I192" s="9">
        <f>SUMIFS('Điều hàng调货'!E:E,'Điều hàng调货'!A:A,K192,'Điều hàng调货'!G:G,B192)*-1+SUMIFS('Điều hàng调货'!E:E,'Điều hàng调货'!A:A,K192,'Điều hàng调货'!H:H,B192)+SUMIFS('Điều hàng调货'!F:F,'Điều hàng调货'!A:A,K192,'Điều hàng调货'!G:G,B192)*-1+SUMIFS('Điều hàng调货'!F:F,'Điều hàng调货'!A:A,K192,'Điều hàng调货'!H:H,B192)</f>
        <v>-34</v>
      </c>
      <c r="J192" s="9">
        <f t="shared" si="9"/>
        <v>0</v>
      </c>
      <c r="K192" s="9">
        <f>VLOOKUP($D192,SKU!$A:$I,3,FALSE)</f>
        <v>10016</v>
      </c>
      <c r="L192" s="9" t="str">
        <f>VLOOKUP($D192,SKU!$A:$I,2,FALSE)</f>
        <v>思梨普文创《hey!国王陛下》集换式艺术家典藏卡</v>
      </c>
    </row>
    <row r="193" spans="2:12">
      <c r="B193" s="63" t="s">
        <v>130</v>
      </c>
      <c r="C193" s="29" t="s">
        <v>424</v>
      </c>
      <c r="D193" s="66" t="s">
        <v>175</v>
      </c>
      <c r="E193" s="8">
        <f>SUMIFS(Xuất出库!D:D,Xuất出库!G:G,B193,Xuất出库!C:C,D193)</f>
        <v>0</v>
      </c>
      <c r="F193" s="9">
        <f>SUMIFS(Xuất出库!E:E,Xuất出库!G:G,B193,Xuất出库!C:C,D193)+SUMIFS(Xuất出库!F:F,Xuất出库!G:G,B193,Xuất出库!C:C,D193)</f>
        <v>2</v>
      </c>
      <c r="G193" s="29"/>
      <c r="H193" s="9">
        <f>SUMIFS(Hoàn回库!E:E,Hoàn回库!G:G,B193,Hoàn回库!C:C,D193)+SUMIFS(Hoàn回库!F:F,Hoàn回库!G:G,B193,Hoàn回库!C:C,D193)</f>
        <v>0</v>
      </c>
      <c r="I193" s="9">
        <f>SUMIFS('Điều hàng调货'!E:E,'Điều hàng调货'!A:A,K193,'Điều hàng调货'!G:G,B193)*-1+SUMIFS('Điều hàng调货'!E:E,'Điều hàng调货'!A:A,K193,'Điều hàng调货'!H:H,B193)+SUMIFS('Điều hàng调货'!F:F,'Điều hàng调货'!A:A,K193,'Điều hàng调货'!G:G,B193)*-1+SUMIFS('Điều hàng调货'!F:F,'Điều hàng调货'!A:A,K193,'Điều hàng调货'!H:H,B193)</f>
        <v>0</v>
      </c>
      <c r="J193" s="9">
        <f t="shared" si="9"/>
        <v>2</v>
      </c>
      <c r="K193" s="9">
        <f>VLOOKUP($D193,SKU!$A:$I,3,FALSE)</f>
        <v>10037</v>
      </c>
      <c r="L193" s="9" t="str">
        <f>VLOOKUP($D193,SKU!$A:$I,2,FALSE)</f>
        <v>磁吸邮票《咪咕咪咕&amp;魔卡少女樱》</v>
      </c>
    </row>
    <row r="194" spans="2:12">
      <c r="B194" s="63" t="s">
        <v>130</v>
      </c>
      <c r="C194" s="29" t="s">
        <v>424</v>
      </c>
      <c r="D194" s="66" t="s">
        <v>290</v>
      </c>
      <c r="E194" s="8">
        <f>SUMIFS(Xuất出库!D:D,Xuất出库!G:G,B194,Xuất出库!C:C,D194)</f>
        <v>5</v>
      </c>
      <c r="F194" s="9">
        <f>SUMIFS(Xuất出库!E:E,Xuất出库!G:G,B194,Xuất出库!C:C,D194)+SUMIFS(Xuất出库!F:F,Xuất出库!G:G,B194,Xuất出库!C:C,D194)</f>
        <v>50</v>
      </c>
      <c r="G194" s="29">
        <f>2+2</f>
        <v>4</v>
      </c>
      <c r="H194" s="9">
        <f>SUMIFS(Hoàn回库!E:E,Hoàn回库!G:G,B194,Hoàn回库!C:C,D194)+SUMIFS(Hoàn回库!F:F,Hoàn回库!G:G,B194,Hoàn回库!C:C,D194)</f>
        <v>0</v>
      </c>
      <c r="I194" s="9">
        <f>SUMIFS('Điều hàng调货'!E:E,'Điều hàng调货'!A:A,K194,'Điều hàng调货'!G:G,B194)*-1+SUMIFS('Điều hàng调货'!E:E,'Điều hàng调货'!A:A,K194,'Điều hàng调货'!H:H,B194)+SUMIFS('Điều hàng调货'!F:F,'Điều hàng调货'!A:A,K194,'Điều hàng调货'!G:G,B194)*-1+SUMIFS('Điều hàng调货'!F:F,'Điều hàng调货'!A:A,K194,'Điều hàng调货'!H:H,B194)</f>
        <v>-46</v>
      </c>
      <c r="J194" s="9">
        <f t="shared" si="9"/>
        <v>0</v>
      </c>
      <c r="K194" s="9">
        <f>VLOOKUP($D194,SKU!$A:$I,3,FALSE)</f>
        <v>10075</v>
      </c>
      <c r="L194" s="9" t="str">
        <f>VLOOKUP($D194,SKU!$A:$I,2,FALSE)</f>
        <v>《万卡卡文创》鬼灭之刃日轮破晓第一弹</v>
      </c>
    </row>
    <row r="195" spans="2:12">
      <c r="B195" s="63" t="s">
        <v>130</v>
      </c>
      <c r="C195" s="29" t="s">
        <v>424</v>
      </c>
      <c r="D195" s="66" t="s">
        <v>307</v>
      </c>
      <c r="E195" s="8">
        <f>SUMIFS(Xuất出库!D:D,Xuất出库!G:G,B195,Xuất出库!C:C,D195)</f>
        <v>15</v>
      </c>
      <c r="F195" s="9">
        <f>SUMIFS(Xuất出库!E:E,Xuất出库!G:G,B195,Xuất出库!C:C,D195)+SUMIFS(Xuất出库!F:F,Xuất出库!G:G,B195,Xuất出库!C:C,D195)</f>
        <v>195</v>
      </c>
      <c r="G195" s="29">
        <f>101+1+14</f>
        <v>116</v>
      </c>
      <c r="H195" s="9">
        <f>SUMIFS(Hoàn回库!E:E,Hoàn回库!G:G,B195,Hoàn回库!C:C,D195)+SUMIFS(Hoàn回库!F:F,Hoàn回库!G:G,B195,Hoàn回库!C:C,D195)</f>
        <v>0</v>
      </c>
      <c r="I195" s="9">
        <f>SUMIFS('Điều hàng调货'!E:E,'Điều hàng调货'!A:A,K195,'Điều hàng调货'!G:G,B195)*-1+SUMIFS('Điều hàng调货'!E:E,'Điều hàng调货'!A:A,K195,'Điều hàng调货'!H:H,B195)+SUMIFS('Điều hàng调货'!F:F,'Điều hàng调货'!A:A,K195,'Điều hàng调货'!G:G,B195)*-1+SUMIFS('Điều hàng调货'!F:F,'Điều hàng调货'!A:A,K195,'Điều hàng调货'!H:H,B195)</f>
        <v>0</v>
      </c>
      <c r="J195" s="9">
        <f t="shared" si="9"/>
        <v>79</v>
      </c>
      <c r="K195" s="9">
        <f>VLOOKUP($D195,SKU!$A:$I,3,FALSE)</f>
        <v>10081</v>
      </c>
      <c r="L195" s="9" t="str">
        <f>VLOOKUP($D195,SKU!$A:$I,2,FALSE)</f>
        <v>京都社 美少女战士 · 第4弹</v>
      </c>
    </row>
    <row r="196" spans="2:12">
      <c r="B196" s="63" t="s">
        <v>130</v>
      </c>
      <c r="C196" s="29" t="s">
        <v>424</v>
      </c>
      <c r="D196" s="66" t="s">
        <v>287</v>
      </c>
      <c r="E196" s="8">
        <f>SUMIFS(Xuất出库!D:D,Xuất出库!G:G,B196,Xuất出库!C:C,D196)</f>
        <v>0</v>
      </c>
      <c r="F196" s="9">
        <f>SUMIFS(Xuất出库!E:E,Xuất出库!G:G,B196,Xuất出库!C:C,D196)+SUMIFS(Xuất出库!F:F,Xuất出库!G:G,B196,Xuất出库!C:C,D196)</f>
        <v>0</v>
      </c>
      <c r="G196" s="29">
        <f>3+1</f>
        <v>4</v>
      </c>
      <c r="H196" s="9">
        <f>SUMIFS(Hoàn回库!E:E,Hoàn回库!G:G,B196,Hoàn回库!C:C,D196)+SUMIFS(Hoàn回库!F:F,Hoàn回库!G:G,B196,Hoàn回库!C:C,D196)</f>
        <v>0</v>
      </c>
      <c r="I196" s="9">
        <f>SUMIFS('Điều hàng调货'!E:E,'Điều hàng调货'!A:A,K196,'Điều hàng调货'!G:G,B196)*-1+SUMIFS('Điều hàng调货'!E:E,'Điều hàng调货'!A:A,K196,'Điều hàng调货'!H:H,B196)+SUMIFS('Điều hàng调货'!F:F,'Điều hàng调货'!A:A,K196,'Điều hàng调货'!G:G,B196)*-1+SUMIFS('Điều hàng调货'!F:F,'Điều hàng调货'!A:A,K196,'Điều hàng调货'!H:H,B196)</f>
        <v>4</v>
      </c>
      <c r="J196" s="9">
        <f t="shared" si="9"/>
        <v>0</v>
      </c>
      <c r="K196" s="9">
        <f>VLOOKUP($D196,SKU!$A:$I,3,FALSE)</f>
        <v>10074</v>
      </c>
      <c r="L196" s="9" t="str">
        <f>VLOOKUP($D196,SKU!$A:$I,2,FALSE)</f>
        <v>火萤文创【帷幕将倾】俊男唯美撕撕乐</v>
      </c>
    </row>
    <row r="197" spans="2:12">
      <c r="B197" s="63" t="s">
        <v>130</v>
      </c>
      <c r="C197" s="29" t="s">
        <v>424</v>
      </c>
      <c r="D197" s="66" t="s">
        <v>327</v>
      </c>
      <c r="E197" s="8">
        <f>SUMIFS(Xuất出库!D:D,Xuất出库!G:G,B197,Xuất出库!C:C,D197)</f>
        <v>0</v>
      </c>
      <c r="F197" s="9">
        <f>SUMIFS(Xuất出库!E:E,Xuất出库!G:G,B197,Xuất出库!C:C,D197)+SUMIFS(Xuất出库!F:F,Xuất出库!G:G,B197,Xuất出库!C:C,D197)</f>
        <v>0</v>
      </c>
      <c r="G197" s="29">
        <f>43+27+2</f>
        <v>72</v>
      </c>
      <c r="H197" s="9">
        <f>SUMIFS(Hoàn回库!E:E,Hoàn回库!G:G,B197,Hoàn回库!C:C,D197)+SUMIFS(Hoàn回库!F:F,Hoàn回库!G:G,B197,Hoàn回库!C:C,D197)</f>
        <v>0</v>
      </c>
      <c r="I197" s="9">
        <f>SUMIFS('Điều hàng调货'!E:E,'Điều hàng调货'!A:A,K197,'Điều hàng调货'!G:G,B197)*-1+SUMIFS('Điều hàng调货'!E:E,'Điều hàng调货'!A:A,K197,'Điều hàng调货'!H:H,B197)+SUMIFS('Điều hàng调货'!F:F,'Điều hàng调货'!A:A,K197,'Điều hàng调货'!G:G,B197)*-1+SUMIFS('Điều hàng调货'!F:F,'Điều hàng调货'!A:A,K197,'Điều hàng调货'!H:H,B197)</f>
        <v>72</v>
      </c>
      <c r="J197" s="9">
        <f t="shared" si="9"/>
        <v>0</v>
      </c>
      <c r="K197" s="9">
        <f>VLOOKUP($D197,SKU!$A:$I,3,FALSE)</f>
        <v>10089</v>
      </c>
      <c r="L197" s="9" t="str">
        <f>VLOOKUP($D197,SKU!$A:$I,2,FALSE)</f>
        <v>星火线条小狗</v>
      </c>
    </row>
    <row r="198" spans="2:12">
      <c r="B198" s="63" t="s">
        <v>130</v>
      </c>
      <c r="C198" s="29" t="s">
        <v>424</v>
      </c>
      <c r="D198" s="66" t="s">
        <v>358</v>
      </c>
      <c r="E198" s="8">
        <f>SUMIFS(Xuất出库!D:D,Xuất出库!G:G,B198,Xuất出库!C:C,D198)</f>
        <v>10</v>
      </c>
      <c r="F198" s="9">
        <f>SUMIFS(Xuất出库!E:E,Xuất出库!G:G,B198,Xuất出库!C:C,D198)+SUMIFS(Xuất出库!F:F,Xuất出库!G:G,B198,Xuất出库!C:C,D198)</f>
        <v>130</v>
      </c>
      <c r="G198" s="29">
        <f>30+26+6+21+26</f>
        <v>109</v>
      </c>
      <c r="H198" s="9">
        <f>SUMIFS(Hoàn回库!E:E,Hoàn回库!G:G,B198,Hoàn回库!C:C,D198)+SUMIFS(Hoàn回库!F:F,Hoàn回库!G:G,B198,Hoàn回库!C:C,D198)</f>
        <v>0</v>
      </c>
      <c r="I198" s="9">
        <f>SUMIFS('Điều hàng调货'!E:E,'Điều hàng调货'!A:A,K198,'Điều hàng调货'!G:G,B198)*-1+SUMIFS('Điều hàng调货'!E:E,'Điều hàng调货'!A:A,K198,'Điều hàng调货'!H:H,B198)+SUMIFS('Điều hàng调货'!F:F,'Điều hàng调货'!A:A,K198,'Điều hàng调货'!G:G,B198)*-1+SUMIFS('Điều hàng调货'!F:F,'Điều hàng调货'!A:A,K198,'Điều hàng调货'!H:H,B198)</f>
        <v>1</v>
      </c>
      <c r="J198" s="9">
        <f t="shared" si="9"/>
        <v>22</v>
      </c>
      <c r="K198" s="9">
        <f>VLOOKUP($D198,SKU!$A:$I,3,FALSE)</f>
        <v>10100</v>
      </c>
      <c r="L198" s="9" t="str">
        <f>VLOOKUP($D198,SKU!$A:$I,2,FALSE)</f>
        <v>《意卡文创海贼王》第二弹</v>
      </c>
    </row>
    <row r="199" spans="2:12">
      <c r="B199" s="63" t="s">
        <v>130</v>
      </c>
      <c r="C199" s="29" t="s">
        <v>424</v>
      </c>
      <c r="D199" s="66" t="s">
        <v>367</v>
      </c>
      <c r="E199" s="8">
        <f>SUMIFS(Xuất出库!D:D,Xuất出库!G:G,B199,Xuất出库!C:C,D199)</f>
        <v>6</v>
      </c>
      <c r="F199" s="9">
        <f>SUMIFS(Xuất出库!E:E,Xuất出库!G:G,B199,Xuất出库!C:C,D199)+SUMIFS(Xuất出库!F:F,Xuất出库!G:G,B199,Xuất出库!C:C,D199)</f>
        <v>120</v>
      </c>
      <c r="G199" s="29">
        <f>7+7</f>
        <v>14</v>
      </c>
      <c r="H199" s="9">
        <f>SUMIFS(Hoàn回库!E:E,Hoàn回库!G:G,B199,Hoàn回库!C:C,D199)+SUMIFS(Hoàn回库!F:F,Hoàn回库!G:G,B199,Hoàn回库!C:C,D199)</f>
        <v>0</v>
      </c>
      <c r="I199" s="9">
        <f>SUMIFS('Điều hàng调货'!E:E,'Điều hàng调货'!A:A,K199,'Điều hàng调货'!G:G,B199)*-1+SUMIFS('Điều hàng调货'!E:E,'Điều hàng调货'!A:A,K199,'Điều hàng调货'!H:H,B199)+SUMIFS('Điều hàng调货'!F:F,'Điều hàng调货'!A:A,K199,'Điều hàng调货'!G:G,B199)*-1+SUMIFS('Điều hàng调货'!F:F,'Điều hàng调货'!A:A,K199,'Điều hàng调货'!H:H,B199)</f>
        <v>-60</v>
      </c>
      <c r="J199" s="9">
        <f t="shared" ref="J199:J208" si="10">F199-G199-H199+I199</f>
        <v>46</v>
      </c>
      <c r="K199" s="9">
        <f>VLOOKUP($D199,SKU!$A:$I,3,FALSE)</f>
        <v>10103</v>
      </c>
      <c r="L199" s="9" t="str">
        <f>VLOOKUP($D199,SKU!$A:$I,2,FALSE)</f>
        <v>疯狂动物城白金收藏卡狐兔神探</v>
      </c>
    </row>
    <row r="200" spans="2:12">
      <c r="B200" s="63" t="s">
        <v>130</v>
      </c>
      <c r="C200" s="29" t="s">
        <v>424</v>
      </c>
      <c r="D200" s="66" t="s">
        <v>347</v>
      </c>
      <c r="E200" s="8">
        <f>SUMIFS(Xuất出库!D:D,Xuất出库!G:G,B200,Xuất出库!C:C,D200)</f>
        <v>22</v>
      </c>
      <c r="F200" s="9">
        <f>SUMIFS(Xuất出库!E:E,Xuất出库!G:G,B200,Xuất出库!C:C,D200)+SUMIFS(Xuất出库!F:F,Xuất出库!G:G,B200,Xuất出库!C:C,D200)</f>
        <v>308</v>
      </c>
      <c r="G200" s="29">
        <f>63+23+29</f>
        <v>115</v>
      </c>
      <c r="H200" s="9">
        <f>SUMIFS(Hoàn回库!E:E,Hoàn回库!G:G,B200,Hoàn回库!C:C,D200)+SUMIFS(Hoàn回库!F:F,Hoàn回库!G:G,B200,Hoàn回库!C:C,D200)</f>
        <v>0</v>
      </c>
      <c r="I200" s="9">
        <f>SUMIFS('Điều hàng调货'!E:E,'Điều hàng调货'!A:A,K200,'Điều hàng调货'!G:G,B200)*-1+SUMIFS('Điều hàng调货'!E:E,'Điều hàng调货'!A:A,K200,'Điều hàng调货'!H:H,B200)+SUMIFS('Điều hàng调货'!F:F,'Điều hàng调货'!A:A,K200,'Điều hàng调货'!G:G,B200)*-1+SUMIFS('Điều hàng调货'!F:F,'Điều hàng调货'!A:A,K200,'Điều hàng调货'!H:H,B200)</f>
        <v>0</v>
      </c>
      <c r="J200" s="9">
        <f t="shared" si="10"/>
        <v>193</v>
      </c>
      <c r="K200" s="9">
        <f>VLOOKUP($D200,SKU!$A:$I,3,FALSE)</f>
        <v>10096</v>
      </c>
      <c r="L200" s="9" t="str">
        <f>VLOOKUP($D200,SKU!$A:$I,2,FALSE)</f>
        <v>至臻文创美少女战士</v>
      </c>
    </row>
    <row r="201" spans="2:12">
      <c r="B201" s="63" t="s">
        <v>130</v>
      </c>
      <c r="C201" s="29" t="s">
        <v>424</v>
      </c>
      <c r="D201" s="66" t="s">
        <v>355</v>
      </c>
      <c r="E201" s="8">
        <f>SUMIFS(Xuất出库!D:D,Xuất出库!G:G,B201,Xuất出库!C:C,D201)</f>
        <v>5</v>
      </c>
      <c r="F201" s="9">
        <f>SUMIFS(Xuất出库!E:E,Xuất出库!G:G,B201,Xuất出库!C:C,D201)+SUMIFS(Xuất出库!F:F,Xuất出库!G:G,B201,Xuất出库!C:C,D201)</f>
        <v>65</v>
      </c>
      <c r="G201" s="29">
        <v>13</v>
      </c>
      <c r="H201" s="9">
        <f>SUMIFS(Hoàn回库!E:E,Hoàn回库!G:G,B201,Hoàn回库!C:C,D201)+SUMIFS(Hoàn回库!F:F,Hoàn回库!G:G,B201,Hoàn回库!C:C,D201)</f>
        <v>0</v>
      </c>
      <c r="I201" s="9">
        <f>SUMIFS('Điều hàng调货'!E:E,'Điều hàng调货'!A:A,K201,'Điều hàng调货'!G:G,B201)*-1+SUMIFS('Điều hàng调货'!E:E,'Điều hàng调货'!A:A,K201,'Điều hàng调货'!H:H,B201)+SUMIFS('Điều hàng调货'!F:F,'Điều hàng调货'!A:A,K201,'Điều hàng调货'!G:G,B201)*-1+SUMIFS('Điều hàng调货'!F:F,'Điều hàng调货'!A:A,K201,'Điều hàng调货'!H:H,B201)</f>
        <v>0</v>
      </c>
      <c r="J201" s="9">
        <f t="shared" si="10"/>
        <v>52</v>
      </c>
      <c r="K201" s="9">
        <f>VLOOKUP($D201,SKU!$A:$I,3,FALSE)</f>
        <v>10099</v>
      </c>
      <c r="L201" s="9" t="str">
        <f>VLOOKUP($D201,SKU!$A:$I,2,FALSE)</f>
        <v>青彦美少女战士 · 第 1 弹</v>
      </c>
    </row>
    <row r="202" spans="2:12">
      <c r="B202" s="63" t="s">
        <v>130</v>
      </c>
      <c r="C202" s="29" t="s">
        <v>424</v>
      </c>
      <c r="D202" s="66" t="s">
        <v>49</v>
      </c>
      <c r="E202" s="8">
        <f>SUMIFS(Xuất出库!D:D,Xuất出库!G:G,B202,Xuất出库!C:C,D202)</f>
        <v>0</v>
      </c>
      <c r="F202" s="9">
        <f>SUMIFS(Xuất出库!E:E,Xuất出库!G:G,B202,Xuất出库!C:C,D202)+SUMIFS(Xuất出库!F:F,Xuất出库!G:G,B202,Xuất出库!C:C,D202)</f>
        <v>0</v>
      </c>
      <c r="G202" s="29"/>
      <c r="H202" s="9">
        <f>SUMIFS(Hoàn回库!E:E,Hoàn回库!G:G,B202,Hoàn回库!C:C,D202)+SUMIFS(Hoàn回库!F:F,Hoàn回库!G:G,B202,Hoàn回库!C:C,D202)</f>
        <v>0</v>
      </c>
      <c r="I202" s="9">
        <f>SUMIFS('Điều hàng调货'!E:E,'Điều hàng调货'!A:A,K202,'Điều hàng调货'!G:G,B202)*-1+SUMIFS('Điều hàng调货'!E:E,'Điều hàng调货'!A:A,K202,'Điều hàng调货'!H:H,B202)+SUMIFS('Điều hàng调货'!F:F,'Điều hàng调货'!A:A,K202,'Điều hàng调货'!G:G,B202)*-1+SUMIFS('Điều hàng调货'!F:F,'Điều hàng调货'!A:A,K202,'Điều hàng调货'!H:H,B202)</f>
        <v>9</v>
      </c>
      <c r="J202" s="9">
        <f t="shared" si="10"/>
        <v>9</v>
      </c>
      <c r="K202" s="9">
        <f>VLOOKUP($D202,SKU!$A:$I,3,FALSE)</f>
        <v>10007</v>
      </c>
      <c r="L202" s="9" t="str">
        <f>VLOOKUP($D202,SKU!$A:$I,2,FALSE)</f>
        <v>kawaii宫崎骏梦幻之国</v>
      </c>
    </row>
    <row r="203" spans="2:12">
      <c r="B203" s="63" t="s">
        <v>130</v>
      </c>
      <c r="C203" s="29" t="s">
        <v>424</v>
      </c>
      <c r="D203" s="66"/>
      <c r="E203" s="8"/>
      <c r="F203" s="9"/>
      <c r="G203" s="29"/>
      <c r="H203" s="9"/>
      <c r="I203" s="9"/>
      <c r="J203" s="9"/>
      <c r="K203" s="9"/>
      <c r="L203" s="9"/>
    </row>
    <row r="204" spans="2:12">
      <c r="B204" s="63" t="s">
        <v>130</v>
      </c>
      <c r="C204" s="29" t="s">
        <v>424</v>
      </c>
      <c r="D204" s="12" t="s">
        <v>61</v>
      </c>
      <c r="E204" s="8">
        <f>SUMIFS(Xuất出库!D:D,Xuất出库!G:G,B204,Xuất出库!C:C,D204)</f>
        <v>0</v>
      </c>
      <c r="F204" s="9">
        <f>SUMIFS(Xuất出库!E:E,Xuất出库!G:G,B204,Xuất出库!C:C,D204)+SUMIFS(Xuất出库!F:F,Xuất出库!G:G,B204,Xuất出库!C:C,D204)</f>
        <v>0</v>
      </c>
      <c r="G204" s="12">
        <v>1</v>
      </c>
      <c r="H204" s="9">
        <f>SUMIFS(Hoàn回库!E:E,Hoàn回库!G:G,B204,Hoàn回库!C:C,D204)+SUMIFS(Hoàn回库!F:F,Hoàn回库!G:G,B204,Hoàn回库!C:C,D204)</f>
        <v>0</v>
      </c>
      <c r="I204" s="9">
        <f>SUMIFS('Điều hàng调货'!E:E,'Điều hàng调货'!A:A,K204,'Điều hàng调货'!G:G,B204)*-1+SUMIFS('Điều hàng调货'!E:E,'Điều hàng调货'!A:A,K204,'Điều hàng调货'!H:H,B204)+SUMIFS('Điều hàng调货'!F:F,'Điều hàng调货'!A:A,K204,'Điều hàng调货'!G:G,B204)*-1+SUMIFS('Điều hàng调货'!F:F,'Điều hàng调货'!A:A,K204,'Điều hàng调货'!H:H,B204)</f>
        <v>10</v>
      </c>
      <c r="J204" s="9">
        <f>F204-G204-H204+I204</f>
        <v>9</v>
      </c>
      <c r="K204" s="9">
        <f>VLOOKUP($D204,SKU!$A:$I,3,FALSE)</f>
        <v>10009</v>
      </c>
      <c r="L204" s="9" t="str">
        <f>VLOOKUP($D204,SKU!$A:$I,2,FALSE)</f>
        <v>万画云游三丽鸥家族百变cos收藏卡</v>
      </c>
    </row>
    <row r="205" spans="2:12">
      <c r="B205" s="63" t="s">
        <v>130</v>
      </c>
      <c r="C205" s="29" t="s">
        <v>424</v>
      </c>
      <c r="D205" s="12" t="s">
        <v>266</v>
      </c>
      <c r="E205" s="8">
        <f>SUMIFS(Xuất出库!D:D,Xuất出库!G:G,B205,Xuất出库!C:C,D205)</f>
        <v>0</v>
      </c>
      <c r="F205" s="9">
        <f>SUMIFS(Xuất出库!E:E,Xuất出库!G:G,B205,Xuất出库!C:C,D205)+SUMIFS(Xuất出库!F:F,Xuất出库!G:G,B205,Xuất出库!C:C,D205)</f>
        <v>0</v>
      </c>
      <c r="G205" s="12">
        <f>20+22+7</f>
        <v>49</v>
      </c>
      <c r="H205" s="9">
        <f>SUMIFS(Hoàn回库!E:E,Hoàn回库!G:G,B205,Hoàn回库!C:C,D205)+SUMIFS(Hoàn回库!F:F,Hoàn回库!G:G,B205,Hoàn回库!C:C,D205)</f>
        <v>0</v>
      </c>
      <c r="I205" s="9">
        <f>SUMIFS('Điều hàng调货'!E:E,'Điều hàng调货'!A:A,K205,'Điều hàng调货'!G:G,B205)*-1+SUMIFS('Điều hàng调货'!E:E,'Điều hàng调货'!A:A,K205,'Điều hàng调货'!H:H,B205)+SUMIFS('Điều hàng调货'!F:F,'Điều hàng调货'!A:A,K205,'Điều hàng调货'!G:G,B205)*-1+SUMIFS('Điều hàng调货'!F:F,'Điều hàng调货'!A:A,K205,'Điều hàng调货'!H:H,B205)</f>
        <v>49</v>
      </c>
      <c r="J205" s="9">
        <f t="shared" si="10"/>
        <v>0</v>
      </c>
      <c r="K205" s="9">
        <f>VLOOKUP($D205,SKU!$A:$I,3,FALSE)</f>
        <v>10066</v>
      </c>
      <c r="L205" s="9" t="str">
        <f>VLOOKUP($D205,SKU!$A:$I,2,FALSE)</f>
        <v>卡游柯南揭秘包第2弹</v>
      </c>
    </row>
    <row r="206" spans="2:12">
      <c r="B206" s="63" t="s">
        <v>130</v>
      </c>
      <c r="C206" s="29" t="s">
        <v>424</v>
      </c>
      <c r="D206" s="12" t="s">
        <v>364</v>
      </c>
      <c r="E206" s="8">
        <f>SUMIFS(Xuất出库!D:D,Xuất出库!G:G,B206,Xuất出库!C:C,D206)</f>
        <v>5</v>
      </c>
      <c r="F206" s="9">
        <f>SUMIFS(Xuất出库!E:E,Xuất出库!G:G,B206,Xuất出库!C:C,D206)+SUMIFS(Xuất出库!F:F,Xuất出库!G:G,B206,Xuất出库!C:C,D206)</f>
        <v>65</v>
      </c>
      <c r="G206" s="12">
        <f>13+26</f>
        <v>39</v>
      </c>
      <c r="H206" s="9">
        <f>SUMIFS(Hoàn回库!E:E,Hoàn回库!G:G,B206,Hoàn回库!C:C,D206)+SUMIFS(Hoàn回库!F:F,Hoàn回库!G:G,B206,Hoàn回库!C:C,D206)</f>
        <v>0</v>
      </c>
      <c r="I206" s="9">
        <f>SUMIFS('Điều hàng调货'!E:E,'Điều hàng调货'!A:A,K206,'Điều hàng调货'!G:G,B206)*-1+SUMIFS('Điều hàng调货'!E:E,'Điều hàng调货'!A:A,K206,'Điều hàng调货'!H:H,B206)+SUMIFS('Điều hàng调货'!F:F,'Điều hàng调货'!A:A,K206,'Điều hàng调货'!G:G,B206)*-1+SUMIFS('Điều hàng调货'!F:F,'Điều hàng调货'!A:A,K206,'Điều hàng调货'!H:H,B206)</f>
        <v>0</v>
      </c>
      <c r="J206" s="9">
        <f t="shared" si="10"/>
        <v>26</v>
      </c>
      <c r="K206" s="9">
        <f>VLOOKUP($D206,SKU!$A:$I,3,FALSE)</f>
        <v>10102</v>
      </c>
      <c r="L206" s="9" t="str">
        <f>VLOOKUP($D206,SKU!$A:$I,2,FALSE)</f>
        <v>麒麟文创航海王第一弹-仙道天下</v>
      </c>
    </row>
    <row r="207" spans="2:12">
      <c r="B207" s="63" t="s">
        <v>130</v>
      </c>
      <c r="C207" s="29" t="s">
        <v>424</v>
      </c>
      <c r="D207" s="12" t="s">
        <v>322</v>
      </c>
      <c r="E207" s="8">
        <f>SUMIFS(Xuất出库!D:D,Xuất出库!G:G,B207,Xuất出库!C:C,D207)</f>
        <v>5</v>
      </c>
      <c r="F207" s="9">
        <f>SUMIFS(Xuất出库!E:E,Xuất出库!G:G,B207,Xuất出库!C:C,D207)+SUMIFS(Xuất出库!F:F,Xuất出库!G:G,B207,Xuất出库!C:C,D207)</f>
        <v>180</v>
      </c>
      <c r="G207" s="12"/>
      <c r="H207" s="9">
        <f>SUMIFS(Hoàn回库!E:E,Hoàn回库!G:G,B207,Hoàn回库!C:C,D207)+SUMIFS(Hoàn回库!F:F,Hoàn回库!G:G,B207,Hoàn回库!C:C,D207)</f>
        <v>0</v>
      </c>
      <c r="I207" s="9">
        <f>SUMIFS('Điều hàng调货'!E:E,'Điều hàng调货'!A:A,K207,'Điều hàng调货'!G:G,B207)*-1+SUMIFS('Điều hàng调货'!E:E,'Điều hàng调货'!A:A,K207,'Điều hàng调货'!H:H,B207)+SUMIFS('Điều hàng调货'!F:F,'Điều hàng调货'!A:A,K207,'Điều hàng调货'!G:G,B207)*-1+SUMIFS('Điều hàng调货'!F:F,'Điều hàng调货'!A:A,K207,'Điều hàng调货'!H:H,B207)</f>
        <v>-72</v>
      </c>
      <c r="J207" s="9">
        <f t="shared" si="10"/>
        <v>108</v>
      </c>
      <c r="K207" s="9">
        <f>VLOOKUP($D207,SKU!$A:$I,3,FALSE)</f>
        <v>10087</v>
      </c>
      <c r="L207" s="9" t="str">
        <f>VLOOKUP($D207,SKU!$A:$I,2,FALSE)</f>
        <v>世界杯足球2026</v>
      </c>
    </row>
    <row r="208" spans="2:12">
      <c r="B208" s="63" t="s">
        <v>130</v>
      </c>
      <c r="C208" s="29" t="s">
        <v>424</v>
      </c>
      <c r="D208" s="12"/>
      <c r="E208" s="8">
        <f>SUMIFS(Xuất出库!D:D,Xuất出库!G:G,B208,Xuất出库!C:C,D208)</f>
        <v>0</v>
      </c>
      <c r="F208" s="9">
        <f>SUMIFS(Xuất出库!E:E,Xuất出库!G:G,B208,Xuất出库!C:C,D208)+SUMIFS(Xuất出库!F:F,Xuất出库!G:G,B208,Xuất出库!C:C,D208)</f>
        <v>0</v>
      </c>
      <c r="G208" s="12"/>
      <c r="H208" s="9">
        <f>SUMIFS(Hoàn回库!E:E,Hoàn回库!G:G,B208,Hoàn回库!C:C,D208)+SUMIFS(Hoàn回库!F:F,Hoàn回库!G:G,B208,Hoàn回库!C:C,D208)</f>
        <v>0</v>
      </c>
      <c r="I208" s="9">
        <f>SUMIFS('Điều hàng调货'!E:E,'Điều hàng调货'!A:A,K208,'Điều hàng调货'!G:G,B208)*-1+SUMIFS('Điều hàng调货'!E:E,'Điều hàng调货'!A:A,K208,'Điều hàng调货'!H:H,B208)+SUMIFS('Điều hàng调货'!F:F,'Điều hàng调货'!A:A,K208,'Điều hàng调货'!G:G,B208)*-1+SUMIFS('Điều hàng调货'!F:F,'Điều hàng调货'!A:A,K208,'Điều hàng调货'!H:H,B208)</f>
        <v>0</v>
      </c>
      <c r="J208" s="9">
        <f t="shared" si="10"/>
        <v>0</v>
      </c>
      <c r="K208" s="9" t="e">
        <f>VLOOKUP($D208,SKU!$A:$I,3,FALSE)</f>
        <v>#N/A</v>
      </c>
      <c r="L208" s="9" t="e">
        <f>VLOOKUP($D208,SKU!$A:$I,2,FALSE)</f>
        <v>#N/A</v>
      </c>
    </row>
    <row r="209" spans="2:12">
      <c r="B209" s="63" t="s">
        <v>130</v>
      </c>
      <c r="C209" s="29" t="s">
        <v>424</v>
      </c>
      <c r="D209" s="66" t="s">
        <v>361</v>
      </c>
      <c r="E209" s="8">
        <f>SUMIFS(Xuất出库!D:D,Xuất出库!G:G,B209,Xuất出库!C:C,D209)</f>
        <v>0</v>
      </c>
      <c r="F209" s="9">
        <f>SUMIFS(Xuất出库!E:E,Xuất出库!G:G,B209,Xuất出库!C:C,D209)+SUMIFS(Xuất出库!F:F,Xuất出库!G:G,B209,Xuất出库!C:C,D209)</f>
        <v>0</v>
      </c>
      <c r="G209" s="29">
        <f>12</f>
        <v>12</v>
      </c>
      <c r="H209" s="9">
        <f>SUMIFS(Hoàn回库!E:E,Hoàn回库!G:G,B209,Hoàn回库!C:C,D209)+SUMIFS(Hoàn回库!F:F,Hoàn回库!G:G,B209,Hoàn回库!C:C,D209)</f>
        <v>0</v>
      </c>
      <c r="I209" s="9">
        <f>SUMIFS('Điều hàng调货'!E:E,'Điều hàng调货'!A:A,K209,'Điều hàng调货'!G:G,B209)*-1+SUMIFS('Điều hàng调货'!E:E,'Điều hàng调货'!A:A,K209,'Điều hàng调货'!H:H,B209)+SUMIFS('Điều hàng调货'!F:F,'Điều hàng调货'!A:A,K209,'Điều hàng调货'!G:G,B209)*-1+SUMIFS('Điều hàng调货'!F:F,'Điều hàng调货'!A:A,K209,'Điều hàng调货'!H:H,B209)</f>
        <v>48</v>
      </c>
      <c r="J209" s="9">
        <f t="shared" ref="J209:J231" si="11">F209-G209-H209+I209</f>
        <v>36</v>
      </c>
      <c r="K209" s="9">
        <f>VLOOKUP($D209,SKU!$A:$I,3,FALSE)</f>
        <v>10101</v>
      </c>
      <c r="L209" s="9" t="str">
        <f>VLOOKUP($D209,SKU!$A:$I,2,FALSE)</f>
        <v>卡迷家xROROJUMP肉肉酱正版授权第一弹《肉肉酱-百变系列-典藏卡》</v>
      </c>
    </row>
    <row r="210" ht="15.75" spans="2:12">
      <c r="B210" s="67" t="s">
        <v>130</v>
      </c>
      <c r="C210" s="18" t="s">
        <v>424</v>
      </c>
      <c r="D210" s="56" t="s">
        <v>184</v>
      </c>
      <c r="E210" s="38">
        <f>SUMIFS(Xuất出库!D:D,Xuất出库!G:G,B210,Xuất出库!C:C,D210)</f>
        <v>13</v>
      </c>
      <c r="F210" s="39">
        <f>SUMIFS(Xuất出库!E:E,Xuất出库!G:G,B210,Xuất出库!C:C,D210)+SUMIFS(Xuất出库!F:F,Xuất出库!G:G,B210,Xuất出库!C:C,D210)</f>
        <v>260</v>
      </c>
      <c r="G210" s="37">
        <f>20+40+20+40+20+40+20+160+146</f>
        <v>506</v>
      </c>
      <c r="H210" s="39">
        <f>SUMIFS(Hoàn回库!E:E,Hoàn回库!G:G,B210,Hoàn回库!C:C,D210)+SUMIFS(Hoàn回库!F:F,Hoàn回库!G:G,B210,Hoàn回库!C:C,D210)</f>
        <v>0</v>
      </c>
      <c r="I210" s="21">
        <f>SUMIFS('Điều hàng调货'!E:E,'Điều hàng调货'!A:A,K210,'Điều hàng调货'!G:G,B210)*-1+SUMIFS('Điều hàng调货'!E:E,'Điều hàng调货'!A:A,K210,'Điều hàng调货'!H:H,B210)+SUMIFS('Điều hàng调货'!F:F,'Điều hàng调货'!A:A,K210,'Điều hàng调货'!G:G,B210)*-1+SUMIFS('Điều hàng调货'!F:F,'Điều hàng调货'!A:A,K210,'Điều hàng调货'!H:H,B210)</f>
        <v>246</v>
      </c>
      <c r="J210" s="21">
        <f t="shared" si="11"/>
        <v>0</v>
      </c>
      <c r="K210" s="39">
        <f>VLOOKUP($D210,SKU!$A:$I,3,FALSE)</f>
        <v>10039</v>
      </c>
      <c r="L210" s="39" t="str">
        <f>VLOOKUP($D210,SKU!$A:$I,2,FALSE)</f>
        <v>非凡航海王第五弹</v>
      </c>
    </row>
    <row r="211" ht="15.75" spans="2:12">
      <c r="B211" s="68" t="s">
        <v>98</v>
      </c>
      <c r="C211" s="53" t="s">
        <v>424</v>
      </c>
      <c r="D211" s="23" t="s">
        <v>143</v>
      </c>
      <c r="E211" s="24">
        <f>SUMIFS(Xuất出库!D:D,Xuất出库!G:G,B211,Xuất出库!C:C,D211)</f>
        <v>2</v>
      </c>
      <c r="F211" s="25">
        <f>SUMIFS(Xuất出库!E:E,Xuất出库!G:G,B211,Xuất出库!C:C,D211)+SUMIFS(Xuất出库!F:F,Xuất出库!G:G,B211,Xuất出库!C:C,D211)</f>
        <v>24</v>
      </c>
      <c r="G211" s="23">
        <f>12+3</f>
        <v>15</v>
      </c>
      <c r="H211" s="25">
        <f>SUMIFS(Hoàn回库!E:E,Hoàn回库!G:G,B211,Hoàn回库!C:C,D211)+SUMIFS(Hoàn回库!F:F,Hoàn回库!G:G,B211,Hoàn回库!C:C,D211)</f>
        <v>12</v>
      </c>
      <c r="I211" s="25">
        <f>SUMIFS('Điều hàng调货'!E:E,'Điều hàng调货'!A:A,K211,'Điều hàng调货'!G:G,B211)*-1+SUMIFS('Điều hàng调货'!E:E,'Điều hàng调货'!A:A,K211,'Điều hàng调货'!H:H,B211)+SUMIFS('Điều hàng调货'!F:F,'Điều hàng调货'!A:A,K211,'Điều hàng调货'!G:G,B211)*-1+SUMIFS('Điều hàng调货'!F:F,'Điều hàng调货'!A:A,K211,'Điều hàng调货'!H:H,B211)</f>
        <v>12</v>
      </c>
      <c r="J211" s="25">
        <f t="shared" si="11"/>
        <v>9</v>
      </c>
      <c r="K211" s="25">
        <f>VLOOKUP($D211,SKU!$A:$I,3,FALSE)</f>
        <v>10029</v>
      </c>
      <c r="L211" s="25" t="str">
        <f>VLOOKUP($D211,SKU!$A:$I,2,FALSE)</f>
        <v>樱花屋魔卡少女樱</v>
      </c>
    </row>
    <row r="212" spans="2:12">
      <c r="B212" s="69" t="s">
        <v>98</v>
      </c>
      <c r="C212" s="53" t="s">
        <v>424</v>
      </c>
      <c r="D212" s="6" t="s">
        <v>175</v>
      </c>
      <c r="E212" s="8">
        <f>SUMIFS(Xuất出库!D:D,Xuất出库!G:G,B212,Xuất出库!C:C,D212)</f>
        <v>0</v>
      </c>
      <c r="F212" s="9">
        <f>SUMIFS(Xuất出库!E:E,Xuất出库!G:G,B212,Xuất出库!C:C,D212)+SUMIFS(Xuất出库!F:F,Xuất出库!G:G,B212,Xuất出库!C:C,D212)</f>
        <v>5</v>
      </c>
      <c r="G212" s="6">
        <v>0</v>
      </c>
      <c r="H212" s="9">
        <f>SUMIFS(Hoàn回库!E:E,Hoàn回库!G:G,B212,Hoàn回库!C:C,D212)+SUMIFS(Hoàn回库!F:F,Hoàn回库!G:G,B212,Hoàn回库!C:C,D212)</f>
        <v>2</v>
      </c>
      <c r="I212" s="9">
        <f>SUMIFS('Điều hàng调货'!E:E,'Điều hàng调货'!A:A,K212,'Điều hàng调货'!G:G,B212)*-1+SUMIFS('Điều hàng调货'!E:E,'Điều hàng调货'!A:A,K212,'Điều hàng调货'!H:H,B212)+SUMIFS('Điều hàng调货'!F:F,'Điều hàng调货'!A:A,K212,'Điều hàng调货'!G:G,B212)*-1+SUMIFS('Điều hàng调货'!F:F,'Điều hàng调货'!A:A,K212,'Điều hàng调货'!H:H,B212)</f>
        <v>-3</v>
      </c>
      <c r="J212" s="9">
        <f t="shared" si="11"/>
        <v>0</v>
      </c>
      <c r="K212" s="9">
        <f>VLOOKUP($D212,SKU!$A:$I,3,FALSE)</f>
        <v>10037</v>
      </c>
      <c r="L212" s="9" t="str">
        <f>VLOOKUP($D212,SKU!$A:$I,2,FALSE)</f>
        <v>磁吸邮票《咪咕咪咕&amp;魔卡少女樱》</v>
      </c>
    </row>
    <row r="213" spans="2:12">
      <c r="B213" s="69" t="s">
        <v>98</v>
      </c>
      <c r="C213" s="53" t="s">
        <v>424</v>
      </c>
      <c r="D213" s="6" t="s">
        <v>95</v>
      </c>
      <c r="E213" s="8">
        <f>SUMIFS(Xuất出库!D:D,Xuất出库!G:G,B213,Xuất出库!C:C,D213)</f>
        <v>1</v>
      </c>
      <c r="F213" s="9">
        <f>SUMIFS(Xuất出库!E:E,Xuất出库!G:G,B213,Xuất出库!C:C,D213)+SUMIFS(Xuất出库!F:F,Xuất出库!G:G,B213,Xuất出库!C:C,D213)</f>
        <v>13</v>
      </c>
      <c r="G213" s="6">
        <f>6+7</f>
        <v>13</v>
      </c>
      <c r="H213" s="9">
        <f>SUMIFS(Hoàn回库!E:E,Hoàn回库!G:G,B213,Hoàn回库!C:C,D213)+SUMIFS(Hoàn回库!F:F,Hoàn回库!G:G,B213,Hoàn回库!C:C,D213)</f>
        <v>0</v>
      </c>
      <c r="I213" s="9">
        <f>SUMIFS('Điều hàng调货'!E:E,'Điều hàng调货'!A:A,K213,'Điều hàng调货'!G:G,B213)*-1+SUMIFS('Điều hàng调货'!E:E,'Điều hàng调货'!A:A,K213,'Điều hàng调货'!H:H,B213)+SUMIFS('Điều hàng调货'!F:F,'Điều hàng调货'!A:A,K213,'Điều hàng调货'!G:G,B213)*-1+SUMIFS('Điều hàng调货'!F:F,'Điều hàng调货'!A:A,K213,'Điều hàng调货'!H:H,B213)</f>
        <v>0</v>
      </c>
      <c r="J213" s="9">
        <f t="shared" si="11"/>
        <v>0</v>
      </c>
      <c r="K213" s="9">
        <f>VLOOKUP($D213,SKU!$A:$I,3,FALSE)</f>
        <v>10017</v>
      </c>
      <c r="L213" s="9" t="str">
        <f>VLOOKUP($D213,SKU!$A:$I,2,FALSE)</f>
        <v>梦境-美少女战士第一弹</v>
      </c>
    </row>
    <row r="214" spans="2:12">
      <c r="B214" s="69" t="s">
        <v>98</v>
      </c>
      <c r="C214" s="53" t="s">
        <v>424</v>
      </c>
      <c r="D214" s="6" t="s">
        <v>222</v>
      </c>
      <c r="E214" s="8">
        <f>SUMIFS(Xuất出库!D:D,Xuất出库!G:G,B214,Xuất出库!C:C,D214)</f>
        <v>11</v>
      </c>
      <c r="F214" s="9">
        <f>SUMIFS(Xuất出库!E:E,Xuất出库!G:G,B214,Xuất出库!C:C,D214)+SUMIFS(Xuất出库!F:F,Xuất出库!G:G,B214,Xuất出库!C:C,D214)</f>
        <v>232</v>
      </c>
      <c r="G214" s="6">
        <f>39+3+3+87</f>
        <v>132</v>
      </c>
      <c r="H214" s="9">
        <f>SUMIFS(Hoàn回库!E:E,Hoàn回库!G:G,B214,Hoàn回库!C:C,D214)+SUMIFS(Hoàn回库!F:F,Hoàn回库!G:G,B214,Hoàn回库!C:C,D214)</f>
        <v>100</v>
      </c>
      <c r="I214" s="9">
        <f>SUMIFS('Điều hàng调货'!E:E,'Điều hàng调货'!A:A,K214,'Điều hàng调货'!G:G,B214)*-1+SUMIFS('Điều hàng调货'!E:E,'Điều hàng调货'!A:A,K214,'Điều hàng调货'!H:H,B214)+SUMIFS('Điều hàng调货'!F:F,'Điều hàng调货'!A:A,K214,'Điều hàng调货'!G:G,B214)*-1+SUMIFS('Điều hàng调货'!F:F,'Điều hàng调货'!A:A,K214,'Điều hàng调货'!H:H,B214)</f>
        <v>0</v>
      </c>
      <c r="J214" s="9">
        <f t="shared" si="11"/>
        <v>0</v>
      </c>
      <c r="K214" s="9">
        <f>VLOOKUP($D214,SKU!$A:$I,3,FALSE)</f>
        <v>10051</v>
      </c>
      <c r="L214" s="9" t="str">
        <f>VLOOKUP($D214,SKU!$A:$I,2,FALSE)</f>
        <v>南卡《魔卡少女樱》</v>
      </c>
    </row>
    <row r="215" spans="2:12">
      <c r="B215" s="69" t="s">
        <v>98</v>
      </c>
      <c r="C215" s="53" t="s">
        <v>424</v>
      </c>
      <c r="D215" s="6" t="s">
        <v>225</v>
      </c>
      <c r="E215" s="8">
        <f>SUMIFS(Xuất出库!D:D,Xuất出库!G:G,B215,Xuất出库!C:C,D215)</f>
        <v>0</v>
      </c>
      <c r="F215" s="9">
        <f>SUMIFS(Xuất出库!E:E,Xuất出库!G:G,B215,Xuất出库!C:C,D215)+SUMIFS(Xuất出库!F:F,Xuất出库!G:G,B215,Xuất出库!C:C,D215)</f>
        <v>30</v>
      </c>
      <c r="G215" s="6">
        <f>3</f>
        <v>3</v>
      </c>
      <c r="H215" s="9">
        <f>SUMIFS(Hoàn回库!E:E,Hoàn回库!G:G,B215,Hoàn回库!C:C,D215)+SUMIFS(Hoàn回库!F:F,Hoàn回库!G:G,B215,Hoàn回库!C:C,D215)</f>
        <v>27</v>
      </c>
      <c r="I215" s="9">
        <f>SUMIFS('Điều hàng调货'!E:E,'Điều hàng调货'!A:A,K215,'Điều hàng调货'!G:G,B215)*-1+SUMIFS('Điều hàng调货'!E:E,'Điều hàng调货'!A:A,K215,'Điều hàng调货'!H:H,B215)+SUMIFS('Điều hàng调货'!F:F,'Điều hàng调货'!A:A,K215,'Điều hàng调货'!G:G,B215)*-1+SUMIFS('Điều hàng调货'!F:F,'Điều hàng调货'!A:A,K215,'Điều hàng调货'!H:H,B215)</f>
        <v>0</v>
      </c>
      <c r="J215" s="9">
        <f t="shared" si="11"/>
        <v>0</v>
      </c>
      <c r="K215" s="9">
        <f>VLOOKUP($D215,SKU!$A:$I,3,FALSE)</f>
        <v>10052</v>
      </c>
      <c r="L215" s="9" t="str">
        <f>VLOOKUP($D215,SKU!$A:$I,2,FALSE)</f>
        <v>柯南洞悉包第五弹</v>
      </c>
    </row>
    <row r="216" spans="2:12">
      <c r="B216" s="69" t="s">
        <v>98</v>
      </c>
      <c r="C216" s="53" t="s">
        <v>424</v>
      </c>
      <c r="D216" s="6" t="s">
        <v>184</v>
      </c>
      <c r="E216" s="8">
        <f>SUMIFS(Xuất出库!D:D,Xuất出库!G:G,B216,Xuất出库!C:C,D216)</f>
        <v>139</v>
      </c>
      <c r="F216" s="9">
        <f>SUMIFS(Xuất出库!E:E,Xuất出库!G:G,B216,Xuất出库!C:C,D216)+SUMIFS(Xuất出库!F:F,Xuất出库!G:G,B216,Xuất出库!C:C,D216)</f>
        <v>2834</v>
      </c>
      <c r="G216" s="6">
        <f>40+54+20+20+20+20+60+20+20+21+36+108+121+218+365+260+524+263+461+256</f>
        <v>2907</v>
      </c>
      <c r="H216" s="9">
        <f>SUMIFS(Hoàn回库!E:E,Hoàn回库!G:G,B216,Hoàn回库!C:C,D216)+SUMIFS(Hoàn回库!F:F,Hoàn回库!G:G,B216,Hoàn回库!C:C,D216)</f>
        <v>0</v>
      </c>
      <c r="I216" s="9">
        <f>SUMIFS('Điều hàng调货'!E:E,'Điều hàng调货'!A:A,K216,'Điều hàng调货'!G:G,B216)*-1+SUMIFS('Điều hàng调货'!E:E,'Điều hàng调货'!A:A,K216,'Điều hàng调货'!H:H,B216)+SUMIFS('Điều hàng调货'!F:F,'Điều hàng调货'!A:A,K216,'Điều hàng调货'!G:G,B216)*-1+SUMIFS('Điều hàng调货'!F:F,'Điều hàng调货'!A:A,K216,'Điều hàng调货'!H:H,B216)</f>
        <v>73</v>
      </c>
      <c r="J216" s="9">
        <f t="shared" si="11"/>
        <v>0</v>
      </c>
      <c r="K216" s="9">
        <f>VLOOKUP($D216,SKU!$A:$I,3,FALSE)</f>
        <v>10039</v>
      </c>
      <c r="L216" s="9" t="str">
        <f>VLOOKUP($D216,SKU!$A:$I,2,FALSE)</f>
        <v>非凡航海王第五弹</v>
      </c>
    </row>
    <row r="217" spans="2:12">
      <c r="B217" s="69" t="s">
        <v>98</v>
      </c>
      <c r="C217" s="53" t="s">
        <v>424</v>
      </c>
      <c r="D217" s="6" t="s">
        <v>91</v>
      </c>
      <c r="E217" s="8">
        <f>SUMIFS(Xuất出库!D:D,Xuất出库!G:G,B217,Xuất出库!C:C,D217)</f>
        <v>5</v>
      </c>
      <c r="F217" s="9">
        <f>SUMIFS(Xuất出库!E:E,Xuất出库!G:G,B217,Xuất出库!C:C,D217)+SUMIFS(Xuất出库!F:F,Xuất出库!G:G,B217,Xuất出库!C:C,D217)</f>
        <v>50</v>
      </c>
      <c r="G217" s="6">
        <f>10+10</f>
        <v>20</v>
      </c>
      <c r="H217" s="9">
        <f>SUMIFS(Hoàn回库!E:E,Hoàn回库!G:G,B217,Hoàn回库!C:C,D217)+SUMIFS(Hoàn回库!F:F,Hoàn回库!G:G,B217,Hoàn回库!C:C,D217)</f>
        <v>0</v>
      </c>
      <c r="I217" s="9">
        <f>SUMIFS('Điều hàng调货'!E:E,'Điều hàng调货'!A:A,K217,'Điều hàng调货'!G:G,B217)*-1+SUMIFS('Điều hàng调货'!E:E,'Điều hàng调货'!A:A,K217,'Điều hàng调货'!H:H,B217)+SUMIFS('Điều hàng调货'!F:F,'Điều hàng调货'!A:A,K217,'Điều hàng调货'!G:G,B217)*-1+SUMIFS('Điều hàng调货'!F:F,'Điều hàng调货'!A:A,K217,'Điều hàng调货'!H:H,B217)</f>
        <v>-30</v>
      </c>
      <c r="J217" s="9">
        <f t="shared" si="11"/>
        <v>0</v>
      </c>
      <c r="K217" s="9">
        <f>VLOOKUP($D217,SKU!$A:$I,3,FALSE)</f>
        <v>10016</v>
      </c>
      <c r="L217" s="9" t="str">
        <f>VLOOKUP($D217,SKU!$A:$I,2,FALSE)</f>
        <v>思梨普文创《hey!国王陛下》集换式艺术家典藏卡</v>
      </c>
    </row>
    <row r="218" spans="2:12">
      <c r="B218" s="69" t="s">
        <v>98</v>
      </c>
      <c r="C218" s="53" t="s">
        <v>424</v>
      </c>
      <c r="D218" s="6" t="s">
        <v>244</v>
      </c>
      <c r="E218" s="8">
        <f>SUMIFS(Xuất出库!D:D,Xuất出库!G:G,B218,Xuất出库!C:C,D218)</f>
        <v>5</v>
      </c>
      <c r="F218" s="9">
        <f>SUMIFS(Xuất出库!E:E,Xuất出库!G:G,B218,Xuất出库!C:C,D218)+SUMIFS(Xuất出库!F:F,Xuất出库!G:G,B218,Xuất出库!C:C,D218)</f>
        <v>90</v>
      </c>
      <c r="G218" s="6">
        <f>7+9</f>
        <v>16</v>
      </c>
      <c r="H218" s="9">
        <f>SUMIFS(Hoàn回库!E:E,Hoàn回库!G:G,B218,Hoàn回库!C:C,D218)+SUMIFS(Hoàn回库!F:F,Hoàn回库!G:G,B218,Hoàn回库!C:C,D218)</f>
        <v>74</v>
      </c>
      <c r="I218" s="9">
        <f>SUMIFS('Điều hàng调货'!E:E,'Điều hàng调货'!A:A,K218,'Điều hàng调货'!G:G,B218)*-1+SUMIFS('Điều hàng调货'!E:E,'Điều hàng调货'!A:A,K218,'Điều hàng调货'!H:H,B218)+SUMIFS('Điều hàng调货'!F:F,'Điều hàng调货'!A:A,K218,'Điều hàng调货'!G:G,B218)*-1+SUMIFS('Điều hàng调货'!F:F,'Điều hàng调货'!A:A,K218,'Điều hàng调货'!H:H,B218)</f>
        <v>0</v>
      </c>
      <c r="J218" s="9">
        <f t="shared" si="11"/>
        <v>0</v>
      </c>
      <c r="K218" s="9">
        <f>VLOOKUP($D218,SKU!$A:$I,3,FALSE)</f>
        <v>10058</v>
      </c>
      <c r="L218" s="9" t="str">
        <f>VLOOKUP($D218,SKU!$A:$I,2,FALSE)</f>
        <v>三丽鸥家族hello kitty梦境巡礼</v>
      </c>
    </row>
    <row r="219" spans="2:12">
      <c r="B219" s="69" t="s">
        <v>98</v>
      </c>
      <c r="C219" s="60" t="s">
        <v>424</v>
      </c>
      <c r="D219" s="6" t="s">
        <v>212</v>
      </c>
      <c r="E219" s="8">
        <f>SUMIFS(Xuất出库!D:D,Xuất出库!G:G,B219,Xuất出库!C:C,D219)</f>
        <v>0</v>
      </c>
      <c r="F219" s="9">
        <f>SUMIFS(Xuất出库!E:E,Xuất出库!G:G,B219,Xuất出库!C:C,D219)+SUMIFS(Xuất出库!F:F,Xuất出库!G:G,B219,Xuất出库!C:C,D219)</f>
        <v>3</v>
      </c>
      <c r="G219" s="6">
        <v>3</v>
      </c>
      <c r="H219" s="9">
        <f>SUMIFS(Hoàn回库!E:E,Hoàn回库!G:G,B219,Hoàn回库!C:C,D219)+SUMIFS(Hoàn回库!F:F,Hoàn回库!G:G,B219,Hoàn回库!C:C,D219)</f>
        <v>0</v>
      </c>
      <c r="I219" s="9">
        <f>SUMIFS('Điều hàng调货'!E:E,'Điều hàng调货'!A:A,K219,'Điều hàng调货'!G:G,B219)*-1+SUMIFS('Điều hàng调货'!E:E,'Điều hàng调货'!A:A,K219,'Điều hàng调货'!H:H,B219)+SUMIFS('Điều hàng调货'!F:F,'Điều hàng调货'!A:A,K219,'Điều hàng调货'!G:G,B219)*-1+SUMIFS('Điều hàng调货'!F:F,'Điều hàng调货'!A:A,K219,'Điều hàng调货'!H:H,B219)</f>
        <v>0</v>
      </c>
      <c r="J219" s="9">
        <f t="shared" si="11"/>
        <v>0</v>
      </c>
      <c r="K219" s="9">
        <f>VLOOKUP($D219,SKU!$A:$I,3,FALSE)</f>
        <v>10048</v>
      </c>
      <c r="L219" s="9" t="str">
        <f>VLOOKUP($D219,SKU!$A:$I,2,FALSE)</f>
        <v>奈良社《极昼漫游》美少女战士撕撕乐+异形小卡</v>
      </c>
    </row>
    <row r="220" spans="2:12">
      <c r="B220" s="69" t="s">
        <v>98</v>
      </c>
      <c r="C220" s="29" t="s">
        <v>424</v>
      </c>
      <c r="D220" s="64" t="s">
        <v>55</v>
      </c>
      <c r="E220" s="8">
        <f>SUMIFS(Xuất出库!D:D,Xuất出库!G:G,B220,Xuất出库!C:C,D220)</f>
        <v>5</v>
      </c>
      <c r="F220" s="9">
        <f>SUMIFS(Xuất出库!E:E,Xuất出库!G:G,B220,Xuất出库!C:C,D220)+SUMIFS(Xuất出库!F:F,Xuất出库!G:G,B220,Xuất出库!C:C,D220)</f>
        <v>50</v>
      </c>
      <c r="G220" s="6">
        <f>15+1</f>
        <v>16</v>
      </c>
      <c r="H220" s="9">
        <f>SUMIFS(Hoàn回库!E:E,Hoàn回库!G:G,B220,Hoàn回库!C:C,D220)+SUMIFS(Hoàn回库!F:F,Hoàn回库!G:G,B220,Hoàn回库!C:C,D220)</f>
        <v>0</v>
      </c>
      <c r="I220" s="9">
        <f>SUMIFS('Điều hàng调货'!E:E,'Điều hàng调货'!A:A,K220,'Điều hàng调货'!G:G,B220)*-1+SUMIFS('Điều hàng调货'!E:E,'Điều hàng调货'!A:A,K220,'Điều hàng调货'!H:H,B220)+SUMIFS('Điều hàng调货'!F:F,'Điều hàng调货'!A:A,K220,'Điều hàng调货'!G:G,B220)*-1+SUMIFS('Điều hàng调货'!F:F,'Điều hàng调货'!A:A,K220,'Điều hàng调货'!H:H,B220)</f>
        <v>0</v>
      </c>
      <c r="J220" s="9">
        <f t="shared" si="11"/>
        <v>34</v>
      </c>
      <c r="K220" s="9">
        <f>VLOOKUP($D220,SKU!$A:$I,3,FALSE)</f>
        <v>10008</v>
      </c>
      <c r="L220" s="9" t="str">
        <f>VLOOKUP($D220,SKU!$A:$I,2,FALSE)</f>
        <v>XWork美少女战士-璀璨之梦</v>
      </c>
    </row>
    <row r="221" spans="2:12">
      <c r="B221" s="69" t="s">
        <v>98</v>
      </c>
      <c r="C221" s="53" t="s">
        <v>424</v>
      </c>
      <c r="D221" s="6" t="s">
        <v>61</v>
      </c>
      <c r="E221" s="8">
        <f>SUMIFS(Xuất出库!D:D,Xuất出库!G:G,B221,Xuất出库!C:C,D221)</f>
        <v>3</v>
      </c>
      <c r="F221" s="9">
        <f>SUMIFS(Xuất出库!E:E,Xuất出库!G:G,B221,Xuất出库!C:C,D221)+SUMIFS(Xuất出库!F:F,Xuất出库!G:G,B221,Xuất出库!C:C,D221)</f>
        <v>30</v>
      </c>
      <c r="G221" s="6"/>
      <c r="H221" s="9">
        <f>SUMIFS(Hoàn回库!E:E,Hoàn回库!G:G,B221,Hoàn回库!C:C,D221)+SUMIFS(Hoàn回库!F:F,Hoàn回库!G:G,B221,Hoàn回库!C:C,D221)</f>
        <v>0</v>
      </c>
      <c r="I221" s="9">
        <f>SUMIFS('Điều hàng调货'!E:E,'Điều hàng调货'!A:A,K221,'Điều hàng调货'!G:G,B221)*-1+SUMIFS('Điều hàng调货'!E:E,'Điều hàng调货'!A:A,K221,'Điều hàng调货'!H:H,B221)+SUMIFS('Điều hàng调货'!F:F,'Điều hàng调货'!A:A,K221,'Điều hàng调货'!G:G,B221)*-1+SUMIFS('Điều hàng调货'!F:F,'Điều hàng调货'!A:A,K221,'Điều hàng调货'!H:H,B221)</f>
        <v>-30</v>
      </c>
      <c r="J221" s="9">
        <f t="shared" si="11"/>
        <v>0</v>
      </c>
      <c r="K221" s="9">
        <f>VLOOKUP($D221,SKU!$A:$I,3,FALSE)</f>
        <v>10009</v>
      </c>
      <c r="L221" s="9" t="str">
        <f>VLOOKUP($D221,SKU!$A:$I,2,FALSE)</f>
        <v>万画云游三丽鸥家族百变cos收藏卡</v>
      </c>
    </row>
    <row r="222" spans="2:12">
      <c r="B222" s="69" t="s">
        <v>98</v>
      </c>
      <c r="C222" s="53" t="s">
        <v>424</v>
      </c>
      <c r="D222" s="65" t="s">
        <v>83</v>
      </c>
      <c r="E222" s="8">
        <f>SUMIFS(Xuất出库!D:D,Xuất出库!G:G,B222,Xuất出库!C:C,D222)</f>
        <v>10</v>
      </c>
      <c r="F222" s="9">
        <f>SUMIFS(Xuất出库!E:E,Xuất出库!G:G,B222,Xuất出库!C:C,D222)+SUMIFS(Xuất出库!F:F,Xuất出库!G:G,B222,Xuất出库!C:C,D222)</f>
        <v>30</v>
      </c>
      <c r="G222" s="12">
        <v>2</v>
      </c>
      <c r="H222" s="9">
        <f>SUMIFS(Hoàn回库!E:E,Hoàn回库!G:G,B222,Hoàn回库!C:C,D222)+SUMIFS(Hoàn回库!F:F,Hoàn回库!G:G,B222,Hoàn回库!C:C,D222)</f>
        <v>0</v>
      </c>
      <c r="I222" s="9">
        <f>SUMIFS('Điều hàng调货'!E:E,'Điều hàng调货'!A:A,K222,'Điều hàng调货'!G:G,B222)*-1+SUMIFS('Điều hàng调货'!E:E,'Điều hàng调货'!A:A,K222,'Điều hàng调货'!H:H,B222)+SUMIFS('Điều hàng调货'!F:F,'Điều hàng调货'!A:A,K222,'Điều hàng调货'!G:G,B222)*-1+SUMIFS('Điều hàng调货'!F:F,'Điều hàng调货'!A:A,K222,'Điều hàng调货'!H:H,B222)</f>
        <v>2</v>
      </c>
      <c r="J222" s="9">
        <f t="shared" si="11"/>
        <v>30</v>
      </c>
      <c r="K222" s="9">
        <f>VLOOKUP($D222,SKU!$A:$I,3,FALSE)</f>
        <v>10014</v>
      </c>
      <c r="L222" s="9" t="str">
        <f>VLOOKUP($D222,SKU!$A:$I,2,FALSE)</f>
        <v>星梦文创-Studio Ghibli宫崎骏撕撕乐系列 </v>
      </c>
    </row>
    <row r="223" spans="2:12">
      <c r="B223" s="69" t="s">
        <v>98</v>
      </c>
      <c r="C223" s="53" t="s">
        <v>424</v>
      </c>
      <c r="D223" s="65" t="s">
        <v>290</v>
      </c>
      <c r="E223" s="8">
        <f>SUMIFS(Xuất出库!D:D,Xuất出库!G:G,B223,Xuất出库!C:C,D223)</f>
        <v>2</v>
      </c>
      <c r="F223" s="9">
        <f>SUMIFS(Xuất出库!E:E,Xuất出库!G:G,B223,Xuất出库!C:C,D223)+SUMIFS(Xuất出库!F:F,Xuất出库!G:G,B223,Xuất出库!C:C,D223)</f>
        <v>20</v>
      </c>
      <c r="G223" s="12">
        <f>3+1+1+2+1</f>
        <v>8</v>
      </c>
      <c r="H223" s="9">
        <f>SUMIFS(Hoàn回库!E:E,Hoàn回库!G:G,B223,Hoàn回库!C:C,D223)+SUMIFS(Hoàn回库!F:F,Hoàn回库!G:G,B223,Hoàn回库!C:C,D223)</f>
        <v>0</v>
      </c>
      <c r="I223" s="9">
        <f>SUMIFS('Điều hàng调货'!E:E,'Điều hàng调货'!A:A,K223,'Điều hàng调货'!G:G,B223)*-1+SUMIFS('Điều hàng调货'!E:E,'Điều hàng调货'!A:A,K223,'Điều hàng调货'!H:H,B223)+SUMIFS('Điều hàng调货'!F:F,'Điều hàng调货'!A:A,K223,'Điều hàng调货'!G:G,B223)*-1+SUMIFS('Điều hàng调货'!F:F,'Điều hàng调货'!A:A,K223,'Điều hàng调货'!H:H,B223)</f>
        <v>-12</v>
      </c>
      <c r="J223" s="9">
        <f t="shared" si="11"/>
        <v>0</v>
      </c>
      <c r="K223" s="9">
        <f>VLOOKUP($D223,SKU!$A:$I,3,FALSE)</f>
        <v>10075</v>
      </c>
      <c r="L223" s="9" t="str">
        <f>VLOOKUP($D223,SKU!$A:$I,2,FALSE)</f>
        <v>《万卡卡文创》鬼灭之刃日轮破晓第一弹</v>
      </c>
    </row>
    <row r="224" spans="2:12">
      <c r="B224" s="69" t="s">
        <v>98</v>
      </c>
      <c r="C224" s="53" t="s">
        <v>424</v>
      </c>
      <c r="D224" s="65" t="s">
        <v>257</v>
      </c>
      <c r="E224" s="8">
        <f>SUMIFS(Xuất出库!D:D,Xuất出库!G:G,B224,Xuất出库!C:C,D224)</f>
        <v>5</v>
      </c>
      <c r="F224" s="9">
        <f>SUMIFS(Xuất出库!E:E,Xuất出库!G:G,B224,Xuất出库!C:C,D224)+SUMIFS(Xuất出库!F:F,Xuất出库!G:G,B224,Xuất出库!C:C,D224)</f>
        <v>65</v>
      </c>
      <c r="G224" s="12">
        <f>4</f>
        <v>4</v>
      </c>
      <c r="H224" s="9">
        <f>SUMIFS(Hoàn回库!E:E,Hoàn回库!G:G,B224,Hoàn回库!C:C,D224)+SUMIFS(Hoàn回库!F:F,Hoàn回库!G:G,B224,Hoàn回库!C:C,D224)</f>
        <v>0</v>
      </c>
      <c r="I224" s="9">
        <f>SUMIFS('Điều hàng调货'!E:E,'Điều hàng调货'!A:A,K224,'Điều hàng调货'!G:G,B224)*-1+SUMIFS('Điều hàng调货'!E:E,'Điều hàng调货'!A:A,K224,'Điều hàng调货'!H:H,B224)+SUMIFS('Điều hàng调货'!F:F,'Điều hàng调货'!A:A,K224,'Điều hàng调货'!G:G,B224)*-1+SUMIFS('Điều hàng调货'!F:F,'Điều hàng调货'!A:A,K224,'Điều hàng调货'!H:H,B224)</f>
        <v>-61</v>
      </c>
      <c r="J224" s="9">
        <f t="shared" si="11"/>
        <v>0</v>
      </c>
      <c r="K224" s="9">
        <f>VLOOKUP($D224,SKU!$A:$I,3,FALSE)</f>
        <v>10063</v>
      </c>
      <c r="L224" s="9" t="str">
        <f>VLOOKUP($D224,SKU!$A:$I,2,FALSE)</f>
        <v>浮梦集 「童境绮梦」艺术家联名收藏卡牌</v>
      </c>
    </row>
    <row r="225" spans="2:12">
      <c r="B225" s="69" t="s">
        <v>98</v>
      </c>
      <c r="C225" s="53" t="s">
        <v>424</v>
      </c>
      <c r="D225" s="65" t="s">
        <v>266</v>
      </c>
      <c r="E225" s="8">
        <f>SUMIFS(Xuất出库!D:D,Xuất出库!G:G,B225,Xuất出库!C:C,D225)</f>
        <v>5</v>
      </c>
      <c r="F225" s="9">
        <f>SUMIFS(Xuất出库!E:E,Xuất出库!G:G,B225,Xuất出库!C:C,D225)+SUMIFS(Xuất出库!F:F,Xuất出库!G:G,B225,Xuất出库!C:C,D225)</f>
        <v>180</v>
      </c>
      <c r="G225" s="12">
        <f>14+18+21+7+31+25+26</f>
        <v>142</v>
      </c>
      <c r="H225" s="9">
        <f>SUMIFS(Hoàn回库!E:E,Hoàn回库!G:G,B225,Hoàn回库!C:C,D225)+SUMIFS(Hoàn回库!F:F,Hoàn回库!G:G,B225,Hoàn回库!C:C,D225)</f>
        <v>0</v>
      </c>
      <c r="I225" s="9">
        <f>SUMIFS('Điều hàng调货'!E:E,'Điều hàng调货'!A:A,K225,'Điều hàng调货'!G:G,B225)*-1+SUMIFS('Điều hàng调货'!E:E,'Điều hàng调货'!A:A,K225,'Điều hàng调货'!H:H,B225)+SUMIFS('Điều hàng调货'!F:F,'Điều hàng调货'!A:A,K225,'Điều hàng调货'!G:G,B225)*-1+SUMIFS('Điều hàng调货'!F:F,'Điều hàng调货'!A:A,K225,'Điều hàng调货'!H:H,B225)</f>
        <v>21</v>
      </c>
      <c r="J225" s="9">
        <f t="shared" si="11"/>
        <v>59</v>
      </c>
      <c r="K225" s="9">
        <f>VLOOKUP($D225,SKU!$A:$I,3,FALSE)</f>
        <v>10066</v>
      </c>
      <c r="L225" s="9" t="str">
        <f>VLOOKUP($D225,SKU!$A:$I,2,FALSE)</f>
        <v>卡游柯南揭秘包第2弹</v>
      </c>
    </row>
    <row r="226" spans="2:12">
      <c r="B226" s="69" t="s">
        <v>98</v>
      </c>
      <c r="C226" s="53" t="s">
        <v>424</v>
      </c>
      <c r="D226" s="65" t="s">
        <v>241</v>
      </c>
      <c r="E226" s="8">
        <f>SUMIFS(Xuất出库!D:D,Xuất出库!G:G,B226,Xuất出库!C:C,D226)</f>
        <v>0</v>
      </c>
      <c r="F226" s="9">
        <f>SUMIFS(Xuất出库!E:E,Xuất出库!G:G,B226,Xuất出库!C:C,D226)+SUMIFS(Xuất出库!F:F,Xuất出库!G:G,B226,Xuất出库!C:C,D226)</f>
        <v>0</v>
      </c>
      <c r="G226" s="12">
        <f>1</f>
        <v>1</v>
      </c>
      <c r="H226" s="9">
        <f>SUMIFS(Hoàn回库!E:E,Hoàn回库!G:G,B226,Hoàn回库!C:C,D226)+SUMIFS(Hoàn回库!F:F,Hoàn回库!G:G,B226,Hoàn回库!C:C,D226)</f>
        <v>0</v>
      </c>
      <c r="I226" s="9">
        <f>SUMIFS('Điều hàng调货'!E:E,'Điều hàng调货'!A:A,K226,'Điều hàng调货'!G:G,B226)*-1+SUMIFS('Điều hàng调货'!E:E,'Điều hàng调货'!A:A,K226,'Điều hàng调货'!H:H,B226)+SUMIFS('Điều hàng调货'!F:F,'Điều hàng调货'!A:A,K226,'Điều hàng调货'!G:G,B226)*-1+SUMIFS('Điều hàng调货'!F:F,'Điều hàng调货'!A:A,K226,'Điều hàng调货'!H:H,B226)</f>
        <v>1</v>
      </c>
      <c r="J226" s="9">
        <f t="shared" si="11"/>
        <v>0</v>
      </c>
      <c r="K226" s="9">
        <f>VLOOKUP($D226,SKU!$A:$I,3,FALSE)</f>
        <v>10057</v>
      </c>
      <c r="L226" s="9" t="str">
        <f>VLOOKUP($D226,SKU!$A:$I,2,FALSE)</f>
        <v>三丽鸥家族暖冬</v>
      </c>
    </row>
    <row r="227" spans="2:12">
      <c r="B227" s="69" t="s">
        <v>98</v>
      </c>
      <c r="C227" s="53" t="s">
        <v>424</v>
      </c>
      <c r="D227" s="65" t="s">
        <v>167</v>
      </c>
      <c r="E227" s="8">
        <f>SUMIFS(Xuất出库!D:D,Xuất出库!G:G,B227,Xuất出库!C:C,D227)</f>
        <v>0</v>
      </c>
      <c r="F227" s="9">
        <f>SUMIFS(Xuất出库!E:E,Xuất出库!G:G,B227,Xuất出库!C:C,D227)+SUMIFS(Xuất出库!F:F,Xuất出库!G:G,B227,Xuất出库!C:C,D227)</f>
        <v>0</v>
      </c>
      <c r="G227" s="12">
        <f>3</f>
        <v>3</v>
      </c>
      <c r="H227" s="9">
        <f>SUMIFS(Hoàn回库!E:E,Hoàn回库!G:G,B227,Hoàn回库!C:C,D227)+SUMIFS(Hoàn回库!F:F,Hoàn回库!G:G,B227,Hoàn回库!C:C,D227)</f>
        <v>0</v>
      </c>
      <c r="I227" s="9">
        <f>SUMIFS('Điều hàng调货'!E:E,'Điều hàng调货'!A:A,K227,'Điều hàng调货'!G:G,B227)*-1+SUMIFS('Điều hàng调货'!E:E,'Điều hàng调货'!A:A,K227,'Điều hàng调货'!H:H,B227)+SUMIFS('Điều hàng调货'!F:F,'Điều hàng调货'!A:A,K227,'Điều hàng调货'!G:G,B227)*-1+SUMIFS('Điều hàng调货'!F:F,'Điều hàng调货'!A:A,K227,'Điều hàng调货'!H:H,B227)</f>
        <v>17</v>
      </c>
      <c r="J227" s="9">
        <f t="shared" si="11"/>
        <v>14</v>
      </c>
      <c r="K227" s="9">
        <f>VLOOKUP($D227,SKU!$A:$I,3,FALSE)</f>
        <v>10035</v>
      </c>
      <c r="L227" s="9" t="str">
        <f>VLOOKUP($D227,SKU!$A:$I,2,FALSE)</f>
        <v>KK CARD × 新海诚系列第一弹</v>
      </c>
    </row>
    <row r="228" spans="2:12">
      <c r="B228" s="69" t="s">
        <v>98</v>
      </c>
      <c r="C228" s="53" t="s">
        <v>424</v>
      </c>
      <c r="D228" s="65" t="s">
        <v>327</v>
      </c>
      <c r="E228" s="8">
        <f>SUMIFS(Xuất出库!D:D,Xuất出库!G:G,B228,Xuất出库!C:C,D228)</f>
        <v>0</v>
      </c>
      <c r="F228" s="9">
        <f>SUMIFS(Xuất出库!E:E,Xuất出库!G:G,B228,Xuất出库!C:C,D228)+SUMIFS(Xuất出库!F:F,Xuất出库!G:G,B228,Xuất出库!C:C,D228)</f>
        <v>0</v>
      </c>
      <c r="G228" s="12">
        <f>18+5</f>
        <v>23</v>
      </c>
      <c r="H228" s="9">
        <f>SUMIFS(Hoàn回库!E:E,Hoàn回库!G:G,B228,Hoàn回库!C:C,D228)+SUMIFS(Hoàn回库!F:F,Hoàn回库!G:G,B228,Hoàn回库!C:C,D228)</f>
        <v>0</v>
      </c>
      <c r="I228" s="9">
        <f>SUMIFS('Điều hàng调货'!E:E,'Điều hàng调货'!A:A,K228,'Điều hàng调货'!G:G,B228)*-1+SUMIFS('Điều hàng调货'!E:E,'Điều hàng调货'!A:A,K228,'Điều hàng调货'!H:H,B228)+SUMIFS('Điều hàng调货'!F:F,'Điều hàng调货'!A:A,K228,'Điều hàng调货'!G:G,B228)*-1+SUMIFS('Điều hàng调货'!F:F,'Điều hàng调货'!A:A,K228,'Điều hàng调货'!H:H,B228)</f>
        <v>23</v>
      </c>
      <c r="J228" s="9">
        <f t="shared" si="11"/>
        <v>0</v>
      </c>
      <c r="K228" s="9">
        <f>VLOOKUP($D228,SKU!$A:$I,3,FALSE)</f>
        <v>10089</v>
      </c>
      <c r="L228" s="9" t="str">
        <f>VLOOKUP($D228,SKU!$A:$I,2,FALSE)</f>
        <v>星火线条小狗</v>
      </c>
    </row>
    <row r="229" spans="2:12">
      <c r="B229" s="69" t="s">
        <v>98</v>
      </c>
      <c r="C229" s="53" t="s">
        <v>424</v>
      </c>
      <c r="D229" s="65" t="s">
        <v>307</v>
      </c>
      <c r="E229" s="8">
        <f>SUMIFS(Xuất出库!D:D,Xuất出库!G:G,B229,Xuất出库!C:C,D229)</f>
        <v>5</v>
      </c>
      <c r="F229" s="9">
        <f>SUMIFS(Xuất出库!E:E,Xuất出库!G:G,B229,Xuất出库!C:C,D229)+SUMIFS(Xuất出库!F:F,Xuất出库!G:G,B229,Xuất出库!C:C,D229)</f>
        <v>65</v>
      </c>
      <c r="G229" s="12">
        <f>6</f>
        <v>6</v>
      </c>
      <c r="H229" s="9">
        <f>SUMIFS(Hoàn回库!E:E,Hoàn回库!G:G,B229,Hoàn回库!C:C,D229)+SUMIFS(Hoàn回库!F:F,Hoàn回库!G:G,B229,Hoàn回库!C:C,D229)</f>
        <v>0</v>
      </c>
      <c r="I229" s="9">
        <f>SUMIFS('Điều hàng调货'!E:E,'Điều hàng调货'!A:A,K229,'Điều hàng调货'!G:G,B229)*-1+SUMIFS('Điều hàng调货'!E:E,'Điều hàng调货'!A:A,K229,'Điều hàng调货'!H:H,B229)+SUMIFS('Điều hàng调货'!F:F,'Điều hàng调货'!A:A,K229,'Điều hàng调货'!G:G,B229)*-1+SUMIFS('Điều hàng调货'!F:F,'Điều hàng调货'!A:A,K229,'Điều hàng调货'!H:H,B229)</f>
        <v>0</v>
      </c>
      <c r="J229" s="9">
        <f t="shared" si="11"/>
        <v>59</v>
      </c>
      <c r="K229" s="9">
        <f>VLOOKUP($D229,SKU!$A:$I,3,FALSE)</f>
        <v>10081</v>
      </c>
      <c r="L229" s="9" t="str">
        <f>VLOOKUP($D229,SKU!$A:$I,2,FALSE)</f>
        <v>京都社 美少女战士 · 第4弹</v>
      </c>
    </row>
    <row r="230" spans="2:12">
      <c r="B230" s="70" t="s">
        <v>98</v>
      </c>
      <c r="C230" s="60" t="s">
        <v>424</v>
      </c>
      <c r="D230" s="65" t="s">
        <v>12</v>
      </c>
      <c r="E230" s="13">
        <f>SUMIFS(Xuất出库!D:D,Xuất出库!G:G,B230,Xuất出库!C:C,D230)</f>
        <v>0</v>
      </c>
      <c r="F230" s="14">
        <f>SUMIFS(Xuất出库!E:E,Xuất出库!G:G,B230,Xuất出库!C:C,D230)+SUMIFS(Xuất出库!F:F,Xuất出库!G:G,B230,Xuất出库!C:C,D230)</f>
        <v>0</v>
      </c>
      <c r="G230" s="12">
        <v>1</v>
      </c>
      <c r="H230" s="14">
        <f>SUMIFS(Hoàn回库!E:E,Hoàn回库!G:G,B230,Hoàn回库!C:C,D230)+SUMIFS(Hoàn回库!F:F,Hoàn回库!G:G,B230,Hoàn回库!C:C,D230)</f>
        <v>0</v>
      </c>
      <c r="I230" s="14">
        <f>SUMIFS('Điều hàng调货'!E:E,'Điều hàng调货'!A:A,K230,'Điều hàng调货'!G:G,B230)*-1+SUMIFS('Điều hàng调货'!E:E,'Điều hàng调货'!A:A,K230,'Điều hàng调货'!H:H,B230)+SUMIFS('Điều hàng调货'!F:F,'Điều hàng调货'!A:A,K230,'Điều hàng调货'!G:G,B230)*-1+SUMIFS('Điều hàng调货'!F:F,'Điều hàng调货'!A:A,K230,'Điều hàng调货'!H:H,B230)</f>
        <v>1</v>
      </c>
      <c r="J230" s="14">
        <f t="shared" si="11"/>
        <v>0</v>
      </c>
      <c r="K230" s="14">
        <f>VLOOKUP($D230,SKU!$A:$I,3,FALSE)</f>
        <v>10001</v>
      </c>
      <c r="L230" s="14" t="str">
        <f>VLOOKUP($D230,SKU!$A:$I,2,FALSE)</f>
        <v>《东株社》宝可梦水晶砖</v>
      </c>
    </row>
    <row r="231" spans="2:12">
      <c r="B231" s="69" t="s">
        <v>98</v>
      </c>
      <c r="C231" s="29" t="s">
        <v>424</v>
      </c>
      <c r="D231" s="29" t="s">
        <v>293</v>
      </c>
      <c r="E231" s="30">
        <f>SUMIFS(Xuất出库!D:D,Xuất出库!G:G,B231,Xuất出库!C:C,D231)</f>
        <v>0</v>
      </c>
      <c r="F231" s="31">
        <f>SUMIFS(Xuất出库!E:E,Xuất出库!G:G,B231,Xuất出库!C:C,D231)+SUMIFS(Xuất出库!F:F,Xuất出库!G:G,B231,Xuất出库!C:C,D231)</f>
        <v>0</v>
      </c>
      <c r="G231" s="29">
        <f>10+10+3+2+5+2</f>
        <v>32</v>
      </c>
      <c r="H231" s="31">
        <f>SUMIFS(Hoàn回库!E:E,Hoàn回库!G:G,B231,Hoàn回库!C:C,D231)+SUMIFS(Hoàn回库!F:F,Hoàn回库!G:G,B231,Hoàn回库!C:C,D231)</f>
        <v>0</v>
      </c>
      <c r="I231" s="31">
        <f>SUMIFS('Điều hàng调货'!E:E,'Điều hàng调货'!A:A,K231,'Điều hàng调货'!G:G,B231)*-1+SUMIFS('Điều hàng调货'!E:E,'Điều hàng调货'!A:A,K231,'Điều hàng调货'!H:H,B231)+SUMIFS('Điều hàng调货'!F:F,'Điều hàng调货'!A:A,K231,'Điều hàng调货'!G:G,B231)*-1+SUMIFS('Điều hàng调货'!F:F,'Điều hàng调货'!A:A,K231,'Điều hàng调货'!H:H,B231)</f>
        <v>32</v>
      </c>
      <c r="J231" s="31">
        <f t="shared" si="11"/>
        <v>0</v>
      </c>
      <c r="K231" s="31">
        <f>VLOOKUP($D231,SKU!$A:$I,3,FALSE)</f>
        <v>10076</v>
      </c>
      <c r="L231" s="31" t="str">
        <f>VLOOKUP($D231,SKU!$A:$I,2,FALSE)</f>
        <v>【Aikaho】鬼灭之刃第四弹 集结 【DS-04 Muster】</v>
      </c>
    </row>
    <row r="232" spans="2:12">
      <c r="B232" s="69" t="s">
        <v>98</v>
      </c>
      <c r="C232" s="29" t="s">
        <v>424</v>
      </c>
      <c r="D232" s="29" t="s">
        <v>75</v>
      </c>
      <c r="E232" s="30">
        <f>SUMIFS(Xuất出库!D:D,Xuất出库!G:G,B232,Xuất出库!C:C,D232)</f>
        <v>5</v>
      </c>
      <c r="F232" s="31">
        <f>SUMIFS(Xuất出库!E:E,Xuất出库!G:G,B232,Xuất出库!C:C,D232)+SUMIFS(Xuất出库!F:F,Xuất出库!G:G,B232,Xuất出库!C:C,D232)</f>
        <v>150</v>
      </c>
      <c r="G232" s="29">
        <f>50+40</f>
        <v>90</v>
      </c>
      <c r="H232" s="31">
        <f>SUMIFS(Hoàn回库!E:E,Hoàn回库!G:G,B232,Hoàn回库!C:C,D232)+SUMIFS(Hoàn回库!F:F,Hoàn回库!G:G,B232,Hoàn回库!C:C,D232)</f>
        <v>0</v>
      </c>
      <c r="I232" s="31">
        <f>SUMIFS('Điều hàng调货'!E:E,'Điều hàng调货'!A:A,K232,'Điều hàng调货'!G:G,B232)*-1+SUMIFS('Điều hàng调货'!E:E,'Điều hàng调货'!A:A,K232,'Điều hàng调货'!H:H,B232)+SUMIFS('Điều hàng调货'!F:F,'Điều hàng调货'!A:A,K232,'Điều hàng调货'!G:G,B232)*-1+SUMIFS('Điều hàng调货'!F:F,'Điều hàng调货'!A:A,K232,'Điều hàng调货'!H:H,B232)</f>
        <v>0</v>
      </c>
      <c r="J232" s="31">
        <f t="shared" ref="J232:J242" si="12">F232-G232-H232+I232</f>
        <v>60</v>
      </c>
      <c r="K232" s="31">
        <f>VLOOKUP($D232,SKU!$A:$I,3,FALSE)</f>
        <v>10012</v>
      </c>
      <c r="L232" s="31" t="str">
        <f>VLOOKUP($D232,SKU!$A:$I,2,FALSE)</f>
        <v>卡文化进击的巨人</v>
      </c>
    </row>
    <row r="233" spans="2:12">
      <c r="B233" s="69" t="s">
        <v>98</v>
      </c>
      <c r="C233" s="29" t="s">
        <v>424</v>
      </c>
      <c r="D233" s="29" t="s">
        <v>280</v>
      </c>
      <c r="E233" s="30">
        <f>SUMIFS(Xuất出库!D:D,Xuất出库!G:G,B233,Xuất出库!C:C,D233)</f>
        <v>0</v>
      </c>
      <c r="F233" s="31">
        <f>SUMIFS(Xuất出库!E:E,Xuất出库!G:G,B233,Xuất出库!C:C,D233)+SUMIFS(Xuất出库!F:F,Xuất出库!G:G,B233,Xuất出库!C:C,D233)</f>
        <v>0</v>
      </c>
      <c r="G233" s="29">
        <f>9+3+13+38</f>
        <v>63</v>
      </c>
      <c r="H233" s="31">
        <f>SUMIFS(Hoàn回库!E:E,Hoàn回库!G:G,B233,Hoàn回库!C:C,D233)+SUMIFS(Hoàn回库!F:F,Hoàn回库!G:G,B233,Hoàn回库!C:C,D233)</f>
        <v>0</v>
      </c>
      <c r="I233" s="31">
        <f>SUMIFS('Điều hàng调货'!E:E,'Điều hàng调货'!A:A,K233,'Điều hàng调货'!G:G,B233)*-1+SUMIFS('Điều hàng调货'!E:E,'Điều hàng调货'!A:A,K233,'Điều hàng调货'!H:H,B233)+SUMIFS('Điều hàng调货'!F:F,'Điều hàng调货'!A:A,K233,'Điều hàng调货'!G:G,B233)*-1+SUMIFS('Điều hàng调货'!F:F,'Điều hàng调货'!A:A,K233,'Điều hàng调货'!H:H,B233)</f>
        <v>92</v>
      </c>
      <c r="J233" s="31">
        <f t="shared" si="12"/>
        <v>29</v>
      </c>
      <c r="K233" s="31">
        <f>VLOOKUP($D233,SKU!$A:$I,3,FALSE)</f>
        <v>10071</v>
      </c>
      <c r="L233" s="31" t="str">
        <f>VLOOKUP($D233,SKU!$A:$I,2,FALSE)</f>
        <v>咒术回战-术士收藏卡-高专篇</v>
      </c>
    </row>
    <row r="234" spans="2:12">
      <c r="B234" s="69" t="s">
        <v>98</v>
      </c>
      <c r="C234" s="29" t="s">
        <v>424</v>
      </c>
      <c r="D234" s="29" t="s">
        <v>358</v>
      </c>
      <c r="E234" s="30">
        <f>SUMIFS(Xuất出库!D:D,Xuất出库!G:G,B234,Xuất出库!C:C,D234)</f>
        <v>0</v>
      </c>
      <c r="F234" s="31">
        <f>SUMIFS(Xuất出库!E:E,Xuất出库!G:G,B234,Xuất出库!C:C,D234)+SUMIFS(Xuất出库!F:F,Xuất出库!G:G,B234,Xuất出库!C:C,D234)</f>
        <v>0</v>
      </c>
      <c r="G234" s="29">
        <v>13</v>
      </c>
      <c r="H234" s="31">
        <f>SUMIFS(Hoàn回库!E:E,Hoàn回库!G:G,B234,Hoàn回库!C:C,D234)+SUMIFS(Hoàn回库!F:F,Hoàn回库!G:G,B234,Hoàn回库!C:C,D234)</f>
        <v>0</v>
      </c>
      <c r="I234" s="31">
        <f>SUMIFS('Điều hàng调货'!E:E,'Điều hàng调货'!A:A,K234,'Điều hàng调货'!G:G,B234)*-1+SUMIFS('Điều hàng调货'!E:E,'Điều hàng调货'!A:A,K234,'Điều hàng调货'!H:H,B234)+SUMIFS('Điều hàng调货'!F:F,'Điều hàng调货'!A:A,K234,'Điều hàng调货'!G:G,B234)*-1+SUMIFS('Điều hàng调货'!F:F,'Điều hàng调货'!A:A,K234,'Điều hàng调货'!H:H,B234)</f>
        <v>13</v>
      </c>
      <c r="J234" s="31">
        <f t="shared" si="12"/>
        <v>0</v>
      </c>
      <c r="K234" s="31">
        <f>VLOOKUP($D234,SKU!$A:$I,3,FALSE)</f>
        <v>10100</v>
      </c>
      <c r="L234" s="31" t="str">
        <f>VLOOKUP($D234,SKU!$A:$I,2,FALSE)</f>
        <v>《意卡文创海贼王》第二弹</v>
      </c>
    </row>
    <row r="235" spans="2:12">
      <c r="B235" s="69" t="s">
        <v>98</v>
      </c>
      <c r="C235" s="29" t="s">
        <v>424</v>
      </c>
      <c r="D235" s="29" t="s">
        <v>364</v>
      </c>
      <c r="E235" s="30">
        <f>SUMIFS(Xuất出库!D:D,Xuất出库!G:G,B235,Xuất出库!C:C,D235)</f>
        <v>5</v>
      </c>
      <c r="F235" s="31">
        <f>SUMIFS(Xuất出库!E:E,Xuất出库!G:G,B235,Xuất出库!C:C,D235)+SUMIFS(Xuất出库!F:F,Xuất出库!G:G,B235,Xuất出库!C:C,D235)</f>
        <v>65</v>
      </c>
      <c r="G235" s="29">
        <f>1+13+13+13</f>
        <v>40</v>
      </c>
      <c r="H235" s="31">
        <f>SUMIFS(Hoàn回库!E:E,Hoàn回库!G:G,B235,Hoàn回库!C:C,D235)+SUMIFS(Hoàn回库!F:F,Hoàn回库!G:G,B235,Hoàn回库!C:C,D235)</f>
        <v>0</v>
      </c>
      <c r="I235" s="31">
        <f>SUMIFS('Điều hàng调货'!E:E,'Điều hàng调货'!A:A,K235,'Điều hàng调货'!G:G,B235)*-1+SUMIFS('Điều hàng调货'!E:E,'Điều hàng调货'!A:A,K235,'Điều hàng调货'!H:H,B235)+SUMIFS('Điều hàng调货'!F:F,'Điều hàng调货'!A:A,K235,'Điều hàng调货'!G:G,B235)*-1+SUMIFS('Điều hàng调货'!F:F,'Điều hàng调货'!A:A,K235,'Điều hàng调货'!H:H,B235)</f>
        <v>0</v>
      </c>
      <c r="J235" s="31">
        <f t="shared" si="12"/>
        <v>25</v>
      </c>
      <c r="K235" s="31">
        <f>VLOOKUP($D235,SKU!$A:$I,3,FALSE)</f>
        <v>10102</v>
      </c>
      <c r="L235" s="31" t="str">
        <f>VLOOKUP($D235,SKU!$A:$I,2,FALSE)</f>
        <v>麒麟文创航海王第一弹-仙道天下</v>
      </c>
    </row>
    <row r="236" spans="2:12">
      <c r="B236" s="69" t="s">
        <v>98</v>
      </c>
      <c r="C236" s="29" t="s">
        <v>424</v>
      </c>
      <c r="D236" s="29" t="s">
        <v>367</v>
      </c>
      <c r="E236" s="30">
        <f>SUMIFS(Xuất出库!D:D,Xuất出库!G:G,B236,Xuất出库!C:C,D236)</f>
        <v>0</v>
      </c>
      <c r="F236" s="31">
        <f>SUMIFS(Xuất出库!E:E,Xuất出库!G:G,B236,Xuất出库!C:C,D236)+SUMIFS(Xuất出库!F:F,Xuất出库!G:G,B236,Xuất出库!C:C,D236)</f>
        <v>0</v>
      </c>
      <c r="G236" s="29">
        <v>20</v>
      </c>
      <c r="H236" s="31">
        <f>SUMIFS(Hoàn回库!E:E,Hoàn回库!G:G,B236,Hoàn回库!C:C,D236)+SUMIFS(Hoàn回库!F:F,Hoàn回库!G:G,B236,Hoàn回库!C:C,D236)</f>
        <v>0</v>
      </c>
      <c r="I236" s="31">
        <f>SUMIFS('Điều hàng调货'!E:E,'Điều hàng调货'!A:A,K236,'Điều hàng调货'!G:G,B236)*-1+SUMIFS('Điều hàng调货'!E:E,'Điều hàng调货'!A:A,K236,'Điều hàng调货'!H:H,B236)+SUMIFS('Điều hàng调货'!F:F,'Điều hàng调货'!A:A,K236,'Điều hàng调货'!G:G,B236)*-1+SUMIFS('Điều hàng调货'!F:F,'Điều hàng调货'!A:A,K236,'Điều hàng调货'!H:H,B236)</f>
        <v>20</v>
      </c>
      <c r="J236" s="31">
        <f t="shared" si="12"/>
        <v>0</v>
      </c>
      <c r="K236" s="31">
        <f>VLOOKUP($D236,SKU!$A:$I,3,FALSE)</f>
        <v>10103</v>
      </c>
      <c r="L236" s="31" t="str">
        <f>VLOOKUP($D236,SKU!$A:$I,2,FALSE)</f>
        <v>疯狂动物城白金收藏卡狐兔神探</v>
      </c>
    </row>
    <row r="237" spans="2:12">
      <c r="B237" s="69" t="s">
        <v>98</v>
      </c>
      <c r="C237" s="29" t="s">
        <v>424</v>
      </c>
      <c r="D237" s="29" t="s">
        <v>322</v>
      </c>
      <c r="E237" s="30">
        <f>SUMIFS(Xuất出库!D:D,Xuất出库!G:G,B237,Xuất出库!C:C,D237)</f>
        <v>0</v>
      </c>
      <c r="F237" s="31">
        <f>SUMIFS(Xuất出库!E:E,Xuất出库!G:G,B237,Xuất出库!C:C,D237)+SUMIFS(Xuất出库!F:F,Xuất出库!G:G,B237,Xuất出库!C:C,D237)</f>
        <v>0</v>
      </c>
      <c r="G237" s="29">
        <v>0</v>
      </c>
      <c r="H237" s="31">
        <f>SUMIFS(Hoàn回库!E:E,Hoàn回库!G:G,B237,Hoàn回库!C:C,D237)+SUMIFS(Hoàn回库!F:F,Hoàn回库!G:G,B237,Hoàn回库!C:C,D237)</f>
        <v>0</v>
      </c>
      <c r="I237" s="31">
        <f>SUMIFS('Điều hàng调货'!E:E,'Điều hàng调货'!A:A,K237,'Điều hàng调货'!G:G,B237)*-1+SUMIFS('Điều hàng调货'!E:E,'Điều hàng调货'!A:A,K237,'Điều hàng调货'!H:H,B237)+SUMIFS('Điều hàng调货'!F:F,'Điều hàng调货'!A:A,K237,'Điều hàng调货'!G:G,B237)*-1+SUMIFS('Điều hàng调货'!F:F,'Điều hàng调货'!A:A,K237,'Điều hàng调货'!H:H,B237)</f>
        <v>72</v>
      </c>
      <c r="J237" s="31">
        <f t="shared" si="12"/>
        <v>72</v>
      </c>
      <c r="K237" s="31">
        <f>VLOOKUP($D237,SKU!$A:$I,3,FALSE)</f>
        <v>10087</v>
      </c>
      <c r="L237" s="31" t="str">
        <f>VLOOKUP($D237,SKU!$A:$I,2,FALSE)</f>
        <v>世界杯足球2026</v>
      </c>
    </row>
    <row r="238" spans="2:12">
      <c r="B238" s="69" t="s">
        <v>98</v>
      </c>
      <c r="C238" s="29" t="s">
        <v>424</v>
      </c>
      <c r="D238" s="29"/>
      <c r="E238" s="30">
        <f>SUMIFS(Xuất出库!D:D,Xuất出库!G:G,B238,Xuất出库!C:C,D238)</f>
        <v>0</v>
      </c>
      <c r="F238" s="31">
        <f>SUMIFS(Xuất出库!E:E,Xuất出库!G:G,B238,Xuất出库!C:C,D238)+SUMIFS(Xuất出库!F:F,Xuất出库!G:G,B238,Xuất出库!C:C,D238)</f>
        <v>0</v>
      </c>
      <c r="G238" s="29"/>
      <c r="H238" s="31">
        <f>SUMIFS(Hoàn回库!E:E,Hoàn回库!G:G,B238,Hoàn回库!C:C,D238)+SUMIFS(Hoàn回库!F:F,Hoàn回库!G:G,B238,Hoàn回库!C:C,D238)</f>
        <v>0</v>
      </c>
      <c r="I238" s="31">
        <f>SUMIFS('Điều hàng调货'!E:E,'Điều hàng调货'!A:A,K238,'Điều hàng调货'!G:G,B238)*-1+SUMIFS('Điều hàng调货'!E:E,'Điều hàng调货'!A:A,K238,'Điều hàng调货'!H:H,B238)+SUMIFS('Điều hàng调货'!F:F,'Điều hàng调货'!A:A,K238,'Điều hàng调货'!G:G,B238)*-1+SUMIFS('Điều hàng调货'!F:F,'Điều hàng调货'!A:A,K238,'Điều hàng调货'!H:H,B238)</f>
        <v>0</v>
      </c>
      <c r="J238" s="31">
        <f t="shared" si="12"/>
        <v>0</v>
      </c>
      <c r="K238" s="31" t="e">
        <f>VLOOKUP($D238,SKU!$A:$I,3,FALSE)</f>
        <v>#N/A</v>
      </c>
      <c r="L238" s="31" t="e">
        <f>VLOOKUP($D238,SKU!$A:$I,2,FALSE)</f>
        <v>#N/A</v>
      </c>
    </row>
    <row r="239" spans="2:12">
      <c r="B239" s="69" t="s">
        <v>98</v>
      </c>
      <c r="C239" s="29" t="s">
        <v>424</v>
      </c>
      <c r="D239" s="29"/>
      <c r="E239" s="30">
        <f>SUMIFS(Xuất出库!D:D,Xuất出库!G:G,B239,Xuất出库!C:C,D239)</f>
        <v>0</v>
      </c>
      <c r="F239" s="31">
        <f>SUMIFS(Xuất出库!E:E,Xuất出库!G:G,B239,Xuất出库!C:C,D239)+SUMIFS(Xuất出库!F:F,Xuất出库!G:G,B239,Xuất出库!C:C,D239)</f>
        <v>0</v>
      </c>
      <c r="G239" s="29"/>
      <c r="H239" s="31">
        <f>SUMIFS(Hoàn回库!E:E,Hoàn回库!G:G,B239,Hoàn回库!C:C,D239)+SUMIFS(Hoàn回库!F:F,Hoàn回库!G:G,B239,Hoàn回库!C:C,D239)</f>
        <v>0</v>
      </c>
      <c r="I239" s="31">
        <f>SUMIFS('Điều hàng调货'!E:E,'Điều hàng调货'!A:A,K239,'Điều hàng调货'!G:G,B239)*-1+SUMIFS('Điều hàng调货'!E:E,'Điều hàng调货'!A:A,K239,'Điều hàng调货'!H:H,B239)+SUMIFS('Điều hàng调货'!F:F,'Điều hàng调货'!A:A,K239,'Điều hàng调货'!G:G,B239)*-1+SUMIFS('Điều hàng调货'!F:F,'Điều hàng调货'!A:A,K239,'Điều hàng调货'!H:H,B239)</f>
        <v>0</v>
      </c>
      <c r="J239" s="31">
        <f t="shared" si="12"/>
        <v>0</v>
      </c>
      <c r="K239" s="31" t="e">
        <f>VLOOKUP($D239,SKU!$A:$I,3,FALSE)</f>
        <v>#N/A</v>
      </c>
      <c r="L239" s="31" t="e">
        <f>VLOOKUP($D239,SKU!$A:$I,2,FALSE)</f>
        <v>#N/A</v>
      </c>
    </row>
    <row r="240" spans="2:12">
      <c r="B240" s="69" t="s">
        <v>98</v>
      </c>
      <c r="C240" s="29" t="s">
        <v>424</v>
      </c>
      <c r="D240" s="29"/>
      <c r="E240" s="30">
        <f>SUMIFS(Xuất出库!D:D,Xuất出库!G:G,B240,Xuất出库!C:C,D240)</f>
        <v>0</v>
      </c>
      <c r="F240" s="31">
        <f>SUMIFS(Xuất出库!E:E,Xuất出库!G:G,B240,Xuất出库!C:C,D240)+SUMIFS(Xuất出库!F:F,Xuất出库!G:G,B240,Xuất出库!C:C,D240)</f>
        <v>0</v>
      </c>
      <c r="G240" s="29"/>
      <c r="H240" s="31">
        <f>SUMIFS(Hoàn回库!E:E,Hoàn回库!G:G,B240,Hoàn回库!C:C,D240)+SUMIFS(Hoàn回库!F:F,Hoàn回库!G:G,B240,Hoàn回库!C:C,D240)</f>
        <v>0</v>
      </c>
      <c r="I240" s="31">
        <f>SUMIFS('Điều hàng调货'!E:E,'Điều hàng调货'!A:A,K240,'Điều hàng调货'!G:G,B240)*-1+SUMIFS('Điều hàng调货'!E:E,'Điều hàng调货'!A:A,K240,'Điều hàng调货'!H:H,B240)+SUMIFS('Điều hàng调货'!F:F,'Điều hàng调货'!A:A,K240,'Điều hàng调货'!G:G,B240)*-1+SUMIFS('Điều hàng调货'!F:F,'Điều hàng调货'!A:A,K240,'Điều hàng调货'!H:H,B240)</f>
        <v>0</v>
      </c>
      <c r="J240" s="31">
        <f t="shared" si="12"/>
        <v>0</v>
      </c>
      <c r="K240" s="31" t="e">
        <f>VLOOKUP($D240,SKU!$A:$I,3,FALSE)</f>
        <v>#N/A</v>
      </c>
      <c r="L240" s="31" t="e">
        <f>VLOOKUP($D240,SKU!$A:$I,2,FALSE)</f>
        <v>#N/A</v>
      </c>
    </row>
    <row r="241" spans="1:12">
      <c r="B241" s="69" t="s">
        <v>98</v>
      </c>
      <c r="C241" s="29" t="s">
        <v>424</v>
      </c>
      <c r="D241" s="29"/>
      <c r="E241" s="30">
        <f>SUMIFS(Xuất出库!D:D,Xuất出库!G:G,B241,Xuất出库!C:C,D241)</f>
        <v>0</v>
      </c>
      <c r="F241" s="31">
        <f>SUMIFS(Xuất出库!E:E,Xuất出库!G:G,B241,Xuất出库!C:C,D241)+SUMIFS(Xuất出库!F:F,Xuất出库!G:G,B241,Xuất出库!C:C,D241)</f>
        <v>0</v>
      </c>
      <c r="G241" s="29"/>
      <c r="H241" s="31">
        <f>SUMIFS(Hoàn回库!E:E,Hoàn回库!G:G,B241,Hoàn回库!C:C,D241)+SUMIFS(Hoàn回库!F:F,Hoàn回库!G:G,B241,Hoàn回库!C:C,D241)</f>
        <v>0</v>
      </c>
      <c r="I241" s="31">
        <f>SUMIFS('Điều hàng调货'!E:E,'Điều hàng调货'!A:A,K241,'Điều hàng调货'!G:G,B241)*-1+SUMIFS('Điều hàng调货'!E:E,'Điều hàng调货'!A:A,K241,'Điều hàng调货'!H:H,B241)+SUMIFS('Điều hàng调货'!F:F,'Điều hàng调货'!A:A,K241,'Điều hàng调货'!G:G,B241)*-1+SUMIFS('Điều hàng调货'!F:F,'Điều hàng调货'!A:A,K241,'Điều hàng调货'!H:H,B241)</f>
        <v>0</v>
      </c>
      <c r="J241" s="31">
        <f t="shared" si="12"/>
        <v>0</v>
      </c>
      <c r="K241" s="31" t="e">
        <f>VLOOKUP($D241,SKU!$A:$I,3,FALSE)</f>
        <v>#N/A</v>
      </c>
      <c r="L241" s="31" t="e">
        <f>VLOOKUP($D241,SKU!$A:$I,2,FALSE)</f>
        <v>#N/A</v>
      </c>
    </row>
    <row r="242" ht="15.75" spans="1:12">
      <c r="B242" s="71" t="s">
        <v>98</v>
      </c>
      <c r="C242" s="56" t="s">
        <v>424</v>
      </c>
      <c r="D242" s="56"/>
      <c r="E242" s="38">
        <f>SUMIFS(Xuất出库!D:D,Xuất出库!G:G,B242,Xuất出库!C:C,D242)</f>
        <v>0</v>
      </c>
      <c r="F242" s="39">
        <f>SUMIFS(Xuất出库!E:E,Xuất出库!G:G,B242,Xuất出库!C:C,D242)+SUMIFS(Xuất出库!F:F,Xuất出库!G:G,B242,Xuất出库!C:C,D242)</f>
        <v>0</v>
      </c>
      <c r="G242" s="37"/>
      <c r="H242" s="39">
        <f>SUMIFS(Hoàn回库!E:E,Hoàn回库!G:G,B242,Hoàn回库!C:C,D242)+SUMIFS(Hoàn回库!F:F,Hoàn回库!G:G,B242,Hoàn回库!C:C,D242)</f>
        <v>0</v>
      </c>
      <c r="I242" s="39">
        <f>SUMIFS('Điều hàng调货'!E:E,'Điều hàng调货'!A:A,K242,'Điều hàng调货'!G:G,B242)*-1+SUMIFS('Điều hàng调货'!E:E,'Điều hàng调货'!A:A,K242,'Điều hàng调货'!H:H,B242)+SUMIFS('Điều hàng调货'!F:F,'Điều hàng调货'!A:A,K242,'Điều hàng调货'!G:G,B242)*-1+SUMIFS('Điều hàng调货'!F:F,'Điều hàng调货'!A:A,K242,'Điều hàng调货'!H:H,B242)</f>
        <v>0</v>
      </c>
      <c r="J242" s="39">
        <f t="shared" si="12"/>
        <v>0</v>
      </c>
      <c r="K242" s="39" t="e">
        <f>VLOOKUP($D242,SKU!$A:$I,3,FALSE)</f>
        <v>#N/A</v>
      </c>
      <c r="L242" s="39" t="e">
        <f>VLOOKUP($D242,SKU!$A:$I,2,FALSE)</f>
        <v>#N/A</v>
      </c>
    </row>
    <row r="243" ht="15.75" spans="1:12">
      <c r="B243" s="72" t="s">
        <v>166</v>
      </c>
      <c r="C243" s="45" t="s">
        <v>424</v>
      </c>
      <c r="D243" s="53" t="s">
        <v>280</v>
      </c>
      <c r="E243" s="8">
        <f>SUMIFS(Xuất出库!D:D,Xuất出库!G:G,B243,Xuất出库!C:C,D243)</f>
        <v>3</v>
      </c>
      <c r="F243" s="9">
        <f>SUMIFS(Xuất出库!E:E,Xuất出库!G:G,B243,Xuất出库!C:C,D243)+SUMIFS(Xuất出库!F:F,Xuất出库!G:G,B243,Xuất出库!C:C,D243)</f>
        <v>54</v>
      </c>
      <c r="G243" s="12">
        <f>2+4</f>
        <v>6</v>
      </c>
      <c r="H243" s="9">
        <f>SUMIFS(Hoàn回库!E:E,Hoàn回库!G:G,B243,Hoàn回库!C:C,D243)+SUMIFS(Hoàn回库!F:F,Hoàn回库!G:G,B243,Hoàn回库!C:C,D243)</f>
        <v>0</v>
      </c>
      <c r="I243" s="9">
        <f>SUMIFS('Điều hàng调货'!E:E,'Điều hàng调货'!A:A,K243,'Điều hàng调货'!G:G,B243)*-1+SUMIFS('Điều hàng调货'!E:E,'Điều hàng调货'!A:A,K243,'Điều hàng调货'!H:H,B243)+SUMIFS('Điều hàng调货'!F:F,'Điều hàng调货'!A:A,K243,'Điều hàng调货'!G:G,B243)*-1+SUMIFS('Điều hàng调货'!F:F,'Điều hàng调货'!A:A,K243,'Điều hàng调货'!H:H,B243)</f>
        <v>-48</v>
      </c>
      <c r="J243" s="9">
        <f t="shared" ref="J243:J253" si="13">F243-G243-H243+I243</f>
        <v>0</v>
      </c>
      <c r="K243" s="9">
        <f>VLOOKUP($D243,SKU!$A:$I,3,FALSE)</f>
        <v>10071</v>
      </c>
      <c r="L243" s="9" t="str">
        <f>VLOOKUP($D243,SKU!$A:$I,2,FALSE)</f>
        <v>咒术回战-术士收藏卡-高专篇</v>
      </c>
    </row>
    <row r="244" spans="1:12">
      <c r="B244" s="73" t="s">
        <v>166</v>
      </c>
      <c r="C244" s="29" t="s">
        <v>424</v>
      </c>
      <c r="D244" s="64" t="s">
        <v>293</v>
      </c>
      <c r="E244" s="8">
        <f>SUMIFS(Xuất出库!D:D,Xuất出库!G:G,B244,Xuất出库!C:C,D244)</f>
        <v>5</v>
      </c>
      <c r="F244" s="9">
        <f>SUMIFS(Xuất出库!E:E,Xuất出库!G:G,B244,Xuất出库!C:C,D244)+SUMIFS(Xuất出库!F:F,Xuất出库!G:G,B244,Xuất出库!C:C,D244)</f>
        <v>50</v>
      </c>
      <c r="G244" s="12">
        <f>6+12+15</f>
        <v>33</v>
      </c>
      <c r="H244" s="9">
        <f>SUMIFS(Hoàn回库!E:E,Hoàn回库!G:G,B244,Hoàn回库!C:C,D244)+SUMIFS(Hoàn回库!F:F,Hoàn回库!G:G,B244,Hoàn回库!C:C,D244)</f>
        <v>0</v>
      </c>
      <c r="I244" s="9">
        <f>SUMIFS('Điều hàng调货'!E:E,'Điều hàng调货'!A:A,K244,'Điều hàng调货'!G:G,B244)*-1+SUMIFS('Điều hàng调货'!E:E,'Điều hàng调货'!A:A,K244,'Điều hàng调货'!H:H,B244)+SUMIFS('Điều hàng调货'!F:F,'Điều hàng调货'!A:A,K244,'Điều hàng调货'!G:G,B244)*-1+SUMIFS('Điều hàng调货'!F:F,'Điều hàng调货'!A:A,K244,'Điều hàng调货'!H:H,B244)</f>
        <v>-16</v>
      </c>
      <c r="J244" s="9">
        <f t="shared" si="13"/>
        <v>1</v>
      </c>
      <c r="K244" s="9">
        <f>VLOOKUP($D244,SKU!$A:$I,3,FALSE)</f>
        <v>10076</v>
      </c>
      <c r="L244" s="9" t="str">
        <f>VLOOKUP($D244,SKU!$A:$I,2,FALSE)</f>
        <v>【Aikaho】鬼灭之刃第四弹 集结 【DS-04 Muster】</v>
      </c>
    </row>
    <row r="245" spans="1:12">
      <c r="B245" s="73" t="s">
        <v>166</v>
      </c>
      <c r="C245" s="29" t="s">
        <v>424</v>
      </c>
      <c r="D245" s="64" t="s">
        <v>91</v>
      </c>
      <c r="E245" s="8">
        <f>SUMIFS(Xuất出库!D:D,Xuất出库!G:G,B245,Xuất出库!C:C,D245)</f>
        <v>0</v>
      </c>
      <c r="F245" s="9">
        <f>SUMIFS(Xuất出库!E:E,Xuất出库!G:G,B245,Xuất出库!C:C,D245)+SUMIFS(Xuất出库!F:F,Xuất出库!G:G,B245,Xuất出库!C:C,D245)</f>
        <v>0</v>
      </c>
      <c r="G245" s="12">
        <f>10</f>
        <v>10</v>
      </c>
      <c r="H245" s="9">
        <f>SUMIFS(Hoàn回库!E:E,Hoàn回库!G:G,B245,Hoàn回库!C:C,D245)+SUMIFS(Hoàn回库!F:F,Hoàn回库!G:G,B245,Hoàn回库!C:C,D245)</f>
        <v>0</v>
      </c>
      <c r="I245" s="9">
        <f>SUMIFS('Điều hàng调货'!E:E,'Điều hàng调货'!A:A,K245,'Điều hàng调货'!G:G,B245)*-1+SUMIFS('Điều hàng调货'!E:E,'Điều hàng调货'!A:A,K245,'Điều hàng调货'!H:H,B245)+SUMIFS('Điều hàng调货'!F:F,'Điều hàng调货'!A:A,K245,'Điều hàng调货'!G:G,B245)*-1+SUMIFS('Điều hàng调货'!F:F,'Điều hàng调货'!A:A,K245,'Điều hàng调货'!H:H,B245)</f>
        <v>10</v>
      </c>
      <c r="J245" s="9">
        <f t="shared" si="13"/>
        <v>0</v>
      </c>
      <c r="K245" s="9">
        <f>VLOOKUP($D245,SKU!$A:$I,3,FALSE)</f>
        <v>10016</v>
      </c>
      <c r="L245" s="9" t="str">
        <f>VLOOKUP($D245,SKU!$A:$I,2,FALSE)</f>
        <v>思梨普文创《hey!国王陛下》集换式艺术家典藏卡</v>
      </c>
    </row>
    <row r="246" spans="1:12">
      <c r="B246" s="73" t="s">
        <v>166</v>
      </c>
      <c r="C246" s="29" t="s">
        <v>424</v>
      </c>
      <c r="D246" s="64" t="s">
        <v>317</v>
      </c>
      <c r="E246" s="8">
        <f>SUMIFS(Xuất出库!D:D,Xuất出库!G:G,B246,Xuất出库!C:C,D246)</f>
        <v>0</v>
      </c>
      <c r="F246" s="9">
        <f>SUMIFS(Xuất出库!E:E,Xuất出库!G:G,B246,Xuất出库!C:C,D246)+SUMIFS(Xuất出库!F:F,Xuất出库!G:G,B246,Xuất出库!C:C,D246)</f>
        <v>20</v>
      </c>
      <c r="G246" s="12">
        <f>10+3+8+3+10+4+2</f>
        <v>40</v>
      </c>
      <c r="H246" s="9">
        <f>SUMIFS(Hoàn回库!E:E,Hoàn回库!G:G,B246,Hoàn回库!C:C,D246)+SUMIFS(Hoàn回库!F:F,Hoàn回库!G:G,B246,Hoàn回库!C:C,D246)</f>
        <v>0</v>
      </c>
      <c r="I246" s="9">
        <f>SUMIFS('Điều hàng调货'!E:E,'Điều hàng调货'!A:A,K246,'Điều hàng调货'!G:G,B246)*-1+SUMIFS('Điều hàng调货'!E:E,'Điều hàng调货'!A:A,K246,'Điều hàng调货'!H:H,B246)+SUMIFS('Điều hàng调货'!F:F,'Điều hàng调货'!A:A,K246,'Điều hàng调货'!G:G,B246)*-1+SUMIFS('Điều hàng调货'!F:F,'Điều hàng调货'!A:A,K246,'Điều hàng调货'!H:H,B246)</f>
        <v>40</v>
      </c>
      <c r="J246" s="9">
        <f t="shared" si="13"/>
        <v>20</v>
      </c>
      <c r="K246" s="9">
        <f>VLOOKUP($D246,SKU!$A:$I,3,FALSE)</f>
        <v>10085</v>
      </c>
      <c r="L246" s="9" t="str">
        <f>VLOOKUP($D246,SKU!$A:$I,2,FALSE)</f>
        <v>火影忍者·手绘复刻撕撕乐</v>
      </c>
    </row>
    <row r="247" spans="1:12">
      <c r="B247" s="73" t="s">
        <v>166</v>
      </c>
      <c r="C247" s="29" t="s">
        <v>424</v>
      </c>
      <c r="D247" s="64" t="s">
        <v>159</v>
      </c>
      <c r="E247" s="8">
        <f>SUMIFS(Xuất出库!D:D,Xuất出库!G:G,B247,Xuất出库!C:C,D247)</f>
        <v>0</v>
      </c>
      <c r="F247" s="9">
        <f>SUMIFS(Xuất出库!E:E,Xuất出库!G:G,B247,Xuất出库!C:C,D247)+SUMIFS(Xuất出库!F:F,Xuất出库!G:G,B247,Xuất出库!C:C,D247)</f>
        <v>0</v>
      </c>
      <c r="G247" s="12">
        <v>0</v>
      </c>
      <c r="H247" s="9">
        <f>SUMIFS(Hoàn回库!E:E,Hoàn回库!G:G,B247,Hoàn回库!C:C,D247)+SUMIFS(Hoàn回库!F:F,Hoàn回库!G:G,B247,Hoàn回库!C:C,D247)</f>
        <v>0</v>
      </c>
      <c r="I247" s="9">
        <f>SUMIFS('Điều hàng调货'!E:E,'Điều hàng调货'!A:A,K247,'Điều hàng调货'!G:G,B247)*-1+SUMIFS('Điều hàng调货'!E:E,'Điều hàng调货'!A:A,K247,'Điều hàng调货'!H:H,B247)+SUMIFS('Điều hàng调货'!F:F,'Điều hàng调货'!A:A,K247,'Điều hàng调货'!G:G,B247)*-1+SUMIFS('Điều hàng调货'!F:F,'Điều hàng调货'!A:A,K247,'Điều hàng调货'!H:H,B247)</f>
        <v>9</v>
      </c>
      <c r="J247" s="9">
        <f t="shared" si="13"/>
        <v>9</v>
      </c>
      <c r="K247" s="9">
        <f>VLOOKUP($D247,SKU!$A:$I,3,FALSE)</f>
        <v>10033</v>
      </c>
      <c r="L247" s="9" t="str">
        <f>VLOOKUP($D247,SKU!$A:$I,2,FALSE)</f>
        <v>慕光文创「一千次心动」系列撕撕乐</v>
      </c>
    </row>
    <row r="248" spans="1:12">
      <c r="B248" s="73" t="s">
        <v>166</v>
      </c>
      <c r="C248" s="29" t="s">
        <v>424</v>
      </c>
      <c r="D248" s="64" t="s">
        <v>287</v>
      </c>
      <c r="E248" s="8">
        <f>SUMIFS(Xuất出库!D:D,Xuất出库!G:G,B248,Xuất出库!C:C,D248)</f>
        <v>0</v>
      </c>
      <c r="F248" s="9">
        <f>SUMIFS(Xuất出库!E:E,Xuất出库!G:G,B248,Xuất出库!C:C,D248)+SUMIFS(Xuất出库!F:F,Xuất出库!G:G,B248,Xuất出库!C:C,D248)</f>
        <v>0</v>
      </c>
      <c r="G248" s="12">
        <v>1</v>
      </c>
      <c r="H248" s="9">
        <f>SUMIFS(Hoàn回库!E:E,Hoàn回库!G:G,B248,Hoàn回库!C:C,D248)+SUMIFS(Hoàn回库!F:F,Hoàn回库!G:G,B248,Hoàn回库!C:C,D248)</f>
        <v>0</v>
      </c>
      <c r="I248" s="9">
        <f>SUMIFS('Điều hàng调货'!E:E,'Điều hàng调货'!A:A,K248,'Điều hàng调货'!G:G,B248)*-1+SUMIFS('Điều hàng调货'!E:E,'Điều hàng调货'!A:A,K248,'Điều hàng调货'!H:H,B248)+SUMIFS('Điều hàng调货'!F:F,'Điều hàng调货'!A:A,K248,'Điều hàng调货'!G:G,B248)*-1+SUMIFS('Điều hàng调货'!F:F,'Điều hàng调货'!A:A,K248,'Điều hàng调货'!H:H,B248)</f>
        <v>1</v>
      </c>
      <c r="J248" s="9">
        <f t="shared" si="13"/>
        <v>0</v>
      </c>
      <c r="K248" s="9">
        <f>VLOOKUP($D248,SKU!$A:$I,3,FALSE)</f>
        <v>10074</v>
      </c>
      <c r="L248" s="9" t="str">
        <f>VLOOKUP($D248,SKU!$A:$I,2,FALSE)</f>
        <v>火萤文创【帷幕将倾】俊男唯美撕撕乐</v>
      </c>
    </row>
    <row r="249" spans="1:12">
      <c r="B249" s="73" t="s">
        <v>166</v>
      </c>
      <c r="C249" s="29" t="s">
        <v>424</v>
      </c>
      <c r="D249" s="64" t="s">
        <v>266</v>
      </c>
      <c r="E249" s="8">
        <f>SUMIFS(Xuất出库!D:D,Xuất出库!G:G,B249,Xuất出库!C:C,D249)</f>
        <v>0</v>
      </c>
      <c r="F249" s="9">
        <f>SUMIFS(Xuất出库!E:E,Xuất出库!G:G,B249,Xuất出库!C:C,D249)+SUMIFS(Xuất出库!F:F,Xuất出库!G:G,B249,Xuất出库!C:C,D249)</f>
        <v>0</v>
      </c>
      <c r="G249" s="12">
        <v>7</v>
      </c>
      <c r="H249" s="9">
        <f>SUMIFS(Hoàn回库!E:E,Hoàn回库!G:G,B249,Hoàn回库!C:C,D249)+SUMIFS(Hoàn回库!F:F,Hoàn回库!G:G,B249,Hoàn回库!C:C,D249)</f>
        <v>0</v>
      </c>
      <c r="I249" s="9">
        <f>SUMIFS('Điều hàng调货'!E:E,'Điều hàng调货'!A:A,K249,'Điều hàng调货'!G:G,B249)*-1+SUMIFS('Điều hàng调货'!E:E,'Điều hàng调货'!A:A,K249,'Điều hàng调货'!H:H,B249)+SUMIFS('Điều hàng调货'!F:F,'Điều hàng调货'!A:A,K249,'Điều hàng调货'!G:G,B249)*-1+SUMIFS('Điều hàng调货'!F:F,'Điều hàng调货'!A:A,K249,'Điều hàng调货'!H:H,B249)</f>
        <v>7</v>
      </c>
      <c r="J249" s="9">
        <f t="shared" si="13"/>
        <v>0</v>
      </c>
      <c r="K249" s="9">
        <f>VLOOKUP($D249,SKU!$A:$I,3,FALSE)</f>
        <v>10066</v>
      </c>
      <c r="L249" s="9" t="str">
        <f>VLOOKUP($D249,SKU!$A:$I,2,FALSE)</f>
        <v>卡游柯南揭秘包第2弹</v>
      </c>
    </row>
    <row r="250" ht="15.75" spans="1:12">
      <c r="B250" s="74" t="s">
        <v>166</v>
      </c>
      <c r="C250" s="18" t="s">
        <v>424</v>
      </c>
      <c r="D250" s="75" t="s">
        <v>184</v>
      </c>
      <c r="E250" s="20">
        <f>SUMIFS(Xuất出库!D:D,Xuất出库!G:G,B250,Xuất出库!C:C,D250)</f>
        <v>0</v>
      </c>
      <c r="F250" s="21">
        <f>SUMIFS(Xuất出库!E:E,Xuất出库!G:G,B250,Xuất出库!C:C,D250)+SUMIFS(Xuất出库!F:F,Xuất出库!G:G,B250,Xuất出库!C:C,D250)</f>
        <v>0</v>
      </c>
      <c r="G250" s="43">
        <f>9</f>
        <v>9</v>
      </c>
      <c r="H250" s="21">
        <f>SUMIFS(Hoàn回库!E:E,Hoàn回库!G:G,B250,Hoàn回库!C:C,D250)+SUMIFS(Hoàn回库!F:F,Hoàn回库!G:G,B250,Hoàn回库!C:C,D250)</f>
        <v>0</v>
      </c>
      <c r="I250" s="21">
        <f>SUMIFS('Điều hàng调货'!E:E,'Điều hàng调货'!A:A,K250,'Điều hàng调货'!G:G,B250)*-1+SUMIFS('Điều hàng调货'!E:E,'Điều hàng调货'!A:A,K250,'Điều hàng调货'!H:H,B250)+SUMIFS('Điều hàng调货'!F:F,'Điều hàng调货'!A:A,K250,'Điều hàng调货'!G:G,B250)*-1+SUMIFS('Điều hàng调货'!F:F,'Điều hàng调货'!A:A,K250,'Điều hàng调货'!H:H,B250)</f>
        <v>9</v>
      </c>
      <c r="J250" s="21">
        <f t="shared" si="13"/>
        <v>0</v>
      </c>
      <c r="K250" s="21">
        <f>VLOOKUP($D250,SKU!$A:$I,3,FALSE)</f>
        <v>10039</v>
      </c>
      <c r="L250" s="21" t="str">
        <f>VLOOKUP($D250,SKU!$A:$I,2,FALSE)</f>
        <v>非凡航海王第五弹</v>
      </c>
    </row>
    <row r="251" ht="15.75" spans="1:12">
      <c r="B251" s="76" t="s">
        <v>468</v>
      </c>
      <c r="C251" s="53" t="s">
        <v>424</v>
      </c>
      <c r="D251" s="23" t="s">
        <v>155</v>
      </c>
      <c r="E251" s="24">
        <f>SUMIFS(Xuất出库!D:D,Xuất出库!G:G,B251,Xuất出库!C:C,D251)</f>
        <v>10</v>
      </c>
      <c r="F251" s="25">
        <f>SUMIFS(Xuất出库!E:E,Xuất出库!G:G,B251,Xuất出库!C:C,D251)+SUMIFS(Xuất出库!F:F,Xuất出库!G:G,B251,Xuất出库!C:C,D251)</f>
        <v>10</v>
      </c>
      <c r="G251" s="23"/>
      <c r="H251" s="25">
        <f>SUMIFS(Hoàn回库!E:E,Hoàn回库!G:G,B251,Hoàn回库!C:C,D251)+SUMIFS(Hoàn回库!F:F,Hoàn回库!G:G,B251,Hoàn回库!C:C,D251)</f>
        <v>10</v>
      </c>
      <c r="I251" s="25">
        <f>SUMIFS('Điều hàng调货'!E:E,'Điều hàng调货'!A:A,K251,'Điều hàng调货'!G:G,B251)*-1+SUMIFS('Điều hàng调货'!E:E,'Điều hàng调货'!A:A,K251,'Điều hàng调货'!H:H,B251)+SUMIFS('Điều hàng调货'!F:F,'Điều hàng调货'!A:A,K251,'Điều hàng调货'!G:G,B251)*-1+SUMIFS('Điều hàng调货'!F:F,'Điều hàng调货'!A:A,K251,'Điều hàng调货'!H:H,B251)</f>
        <v>0</v>
      </c>
      <c r="J251" s="25">
        <f t="shared" ref="J251:J293" si="14">F251-G251-H251+I251</f>
        <v>0</v>
      </c>
      <c r="K251" s="25">
        <f>VLOOKUP($D251,SKU!$A:$I,3,FALSE)</f>
        <v>10032</v>
      </c>
      <c r="L251" s="25" t="str">
        <f>VLOOKUP($D251,SKU!$A:$I,2,FALSE)</f>
        <v>绘心阁《魔道祖师—殊途同归》色纸卡牌</v>
      </c>
    </row>
    <row r="252" spans="1:12">
      <c r="B252" s="76" t="s">
        <v>468</v>
      </c>
      <c r="C252" s="53" t="s">
        <v>424</v>
      </c>
      <c r="D252" s="23" t="s">
        <v>131</v>
      </c>
      <c r="E252" s="24">
        <f>SUMIFS(Xuất出库!D:D,Xuất出库!G:G,B252,Xuất出库!C:C,D252)</f>
        <v>20</v>
      </c>
      <c r="F252" s="25">
        <f>SUMIFS(Xuất出库!E:E,Xuất出库!G:G,B252,Xuất出库!C:C,D252)+SUMIFS(Xuất出库!F:F,Xuất出库!G:G,B252,Xuất出库!C:C,D252)</f>
        <v>20</v>
      </c>
      <c r="G252" s="23"/>
      <c r="H252" s="25">
        <f>SUMIFS(Hoàn回库!E:E,Hoàn回库!G:G,B252,Hoàn回库!C:C,D252)+SUMIFS(Hoàn回库!F:F,Hoàn回库!G:G,B252,Hoàn回库!C:C,D252)</f>
        <v>20</v>
      </c>
      <c r="I252" s="9">
        <f>SUMIFS('Điều hàng调货'!E:E,'Điều hàng调货'!A:A,K252,'Điều hàng调货'!G:G,B252)*-1+SUMIFS('Điều hàng调货'!E:E,'Điều hàng调货'!A:A,K252,'Điều hàng调货'!H:H,B252)+SUMIFS('Điều hàng调货'!F:F,'Điều hàng调货'!A:A,K252,'Điều hàng调货'!G:G,B252)*-1+SUMIFS('Điều hàng调货'!F:F,'Điều hàng调货'!A:A,K252,'Điều hàng调货'!H:H,B252)</f>
        <v>0</v>
      </c>
      <c r="J252" s="9">
        <f t="shared" si="14"/>
        <v>0</v>
      </c>
      <c r="K252" s="25">
        <f>VLOOKUP($D252,SKU!$A:$I,3,FALSE)</f>
        <v>10026</v>
      </c>
      <c r="L252" s="25" t="str">
        <f>VLOOKUP($D252,SKU!$A:$I,2,FALSE)</f>
        <v>星恋文创·恋与深空《晦明交错之间》亚克力相框卡</v>
      </c>
    </row>
    <row r="253" spans="1:12">
      <c r="B253" s="76" t="s">
        <v>468</v>
      </c>
      <c r="C253" s="53" t="s">
        <v>424</v>
      </c>
      <c r="D253" s="23" t="s">
        <v>184</v>
      </c>
      <c r="E253" s="24">
        <f>SUMIFS(Xuất出库!D:D,Xuất出库!G:G,B253,Xuất出库!C:C,D253)</f>
        <v>1</v>
      </c>
      <c r="F253" s="25">
        <f>SUMIFS(Xuất出库!E:E,Xuất出库!G:G,B253,Xuất出库!C:C,D253)+SUMIFS(Xuất出库!F:F,Xuất出库!G:G,B253,Xuất出库!C:C,D253)</f>
        <v>20</v>
      </c>
      <c r="G253" s="23">
        <v>20</v>
      </c>
      <c r="H253" s="25">
        <f>SUMIFS(Hoàn回库!E:E,Hoàn回库!G:G,B253,Hoàn回库!C:C,D253)+SUMIFS(Hoàn回库!F:F,Hoàn回库!G:G,B253,Hoàn回库!C:C,D253)</f>
        <v>0</v>
      </c>
      <c r="I253" s="9">
        <f>SUMIFS('Điều hàng调货'!E:E,'Điều hàng调货'!A:A,K253,'Điều hàng调货'!G:G,B253)*-1+SUMIFS('Điều hàng调货'!E:E,'Điều hàng调货'!A:A,K253,'Điều hàng调货'!H:H,B253)+SUMIFS('Điều hàng调货'!F:F,'Điều hàng调货'!A:A,K253,'Điều hàng调货'!G:G,B253)*-1+SUMIFS('Điều hàng调货'!F:F,'Điều hàng调货'!A:A,K253,'Điều hàng调货'!H:H,B253)</f>
        <v>0</v>
      </c>
      <c r="J253" s="9">
        <f t="shared" si="14"/>
        <v>0</v>
      </c>
      <c r="K253" s="25">
        <f>VLOOKUP($D253,SKU!$A:$I,3,FALSE)</f>
        <v>10039</v>
      </c>
      <c r="L253" s="25" t="str">
        <f>VLOOKUP($D253,SKU!$A:$I,2,FALSE)</f>
        <v>非凡航海王第五弹</v>
      </c>
    </row>
    <row r="254" ht="15.75" spans="1:12">
      <c r="B254" s="77" t="s">
        <v>468</v>
      </c>
      <c r="C254" s="56" t="s">
        <v>424</v>
      </c>
      <c r="D254" s="37" t="s">
        <v>222</v>
      </c>
      <c r="E254" s="38">
        <f>SUMIFS(Xuất出库!D:D,Xuất出库!G:G,B254,Xuất出库!C:C,D254)</f>
        <v>5</v>
      </c>
      <c r="F254" s="39">
        <f>SUMIFS(Xuất出库!E:E,Xuất出库!G:G,B254,Xuất出库!C:C,D254)+SUMIFS(Xuất出库!F:F,Xuất出库!G:G,B254,Xuất出库!C:C,D254)</f>
        <v>60</v>
      </c>
      <c r="G254" s="37"/>
      <c r="H254" s="39">
        <f>SUMIFS(Hoàn回库!E:E,Hoàn回库!G:G,B254,Hoàn回库!C:C,D254)+SUMIFS(Hoàn回库!F:F,Hoàn回库!G:G,B254,Hoàn回库!C:C,D254)</f>
        <v>60</v>
      </c>
      <c r="I254" s="9">
        <f>SUMIFS('Điều hàng调货'!E:E,'Điều hàng调货'!A:A,K254,'Điều hàng调货'!G:G,B254)*-1+SUMIFS('Điều hàng调货'!E:E,'Điều hàng调货'!A:A,K254,'Điều hàng调货'!H:H,B254)+SUMIFS('Điều hàng调货'!F:F,'Điều hàng调货'!A:A,K254,'Điều hàng调货'!G:G,B254)*-1+SUMIFS('Điều hàng调货'!F:F,'Điều hàng调货'!A:A,K254,'Điều hàng调货'!H:H,B254)</f>
        <v>0</v>
      </c>
      <c r="J254" s="9">
        <f t="shared" si="14"/>
        <v>0</v>
      </c>
      <c r="K254" s="39">
        <f>VLOOKUP($D254,SKU!$A:$I,3,FALSE)</f>
        <v>10051</v>
      </c>
      <c r="L254" s="39" t="str">
        <f>VLOOKUP($D254,SKU!$A:$I,2,FALSE)</f>
        <v>南卡《魔卡少女樱》</v>
      </c>
    </row>
    <row r="255" ht="16.5" spans="1:12">
      <c r="A255" s="6"/>
      <c r="B255" s="78" t="s">
        <v>465</v>
      </c>
      <c r="C255" s="56" t="s">
        <v>424</v>
      </c>
      <c r="D255" s="37" t="s">
        <v>212</v>
      </c>
      <c r="E255" s="38">
        <f>SUMIFS(Xuất出库!D:D,Xuất出库!G:G,B255,Xuất出库!C:C,D255)</f>
        <v>0</v>
      </c>
      <c r="F255" s="39">
        <f>SUMIFS(Xuất出库!E:E,Xuất出库!G:G,B255,Xuất出库!C:C,D255)+SUMIFS(Xuất出库!F:F,Xuất出库!G:G,B255,Xuất出库!C:C,D255)</f>
        <v>10</v>
      </c>
      <c r="G255" s="43">
        <v>0</v>
      </c>
      <c r="H255" s="39">
        <f>SUMIFS(Hoàn回库!E:E,Hoàn回库!G:G,B255,Hoàn回库!C:C,D255)+SUMIFS(Hoàn回库!F:F,Hoàn回库!G:G,B255,Hoàn回库!C:C,D255)</f>
        <v>0</v>
      </c>
      <c r="I255" s="21">
        <f>SUMIFS('Điều hàng调货'!E:E,'Điều hàng调货'!A:A,K255,'Điều hàng调货'!G:G,B255)*-1+SUMIFS('Điều hàng调货'!E:E,'Điều hàng调货'!A:A,K255,'Điều hàng调货'!H:H,B255)+SUMIFS('Điều hàng调货'!F:F,'Điều hàng调货'!A:A,K255,'Điều hàng调货'!G:G,B255)*-1+SUMIFS('Điều hàng调货'!F:F,'Điều hàng调货'!A:A,K255,'Điều hàng调货'!H:H,B255)</f>
        <v>0</v>
      </c>
      <c r="J255" s="21">
        <f t="shared" si="14"/>
        <v>10</v>
      </c>
      <c r="K255" s="39">
        <f>VLOOKUP($D255,SKU!$A:$I,3,FALSE)</f>
        <v>10048</v>
      </c>
      <c r="L255" s="39" t="str">
        <f>VLOOKUP($D255,SKU!$A:$I,2,FALSE)</f>
        <v>奈良社《极昼漫游》美少女战士撕撕乐+异形小卡</v>
      </c>
    </row>
    <row r="256" ht="15.75" spans="1:12">
      <c r="A256" s="6"/>
      <c r="B256" s="79" t="s">
        <v>425</v>
      </c>
      <c r="C256" s="23" t="s">
        <v>424</v>
      </c>
      <c r="D256" s="23" t="s">
        <v>83</v>
      </c>
      <c r="E256" s="24">
        <f>SUMIFS(Xuất出库!D:D,Xuất出库!G:G,B256,Xuất出库!C:C,D256)</f>
        <v>20</v>
      </c>
      <c r="F256" s="25">
        <f>SUMIFS(Xuất出库!E:E,Xuất出库!G:G,B256,Xuất出库!C:C,D256)+SUMIFS(Xuất出库!F:F,Xuất出库!G:G,B256,Xuất出库!C:C,D256)</f>
        <v>60</v>
      </c>
      <c r="G256" s="23">
        <v>0</v>
      </c>
      <c r="H256" s="25">
        <f>SUMIFS(Hoàn回库!E:E,Hoàn回库!G:G,B256,Hoàn回库!C:C,D256)+SUMIFS(Hoàn回库!F:F,Hoàn回库!G:G,B256,Hoàn回库!C:C,D256)</f>
        <v>0</v>
      </c>
      <c r="I256" s="25">
        <f>SUMIFS('Điều hàng调货'!E:E,'Điều hàng调货'!A:A,K256,'Điều hàng调货'!G:G,B256)*-1+SUMIFS('Điều hàng调货'!E:E,'Điều hàng调货'!A:A,K256,'Điều hàng调货'!H:H,B256)+SUMIFS('Điều hàng调货'!F:F,'Điều hàng调货'!A:A,K256,'Điều hàng调货'!G:G,B256)*-1+SUMIFS('Điều hàng调货'!F:F,'Điều hàng调货'!A:A,K256,'Điều hàng调货'!H:H,B256)</f>
        <v>0</v>
      </c>
      <c r="J256" s="25">
        <f t="shared" si="14"/>
        <v>60</v>
      </c>
      <c r="K256" s="25">
        <f>VLOOKUP($D256,SKU!$A:$I,3,FALSE)</f>
        <v>10014</v>
      </c>
      <c r="L256" s="25" t="str">
        <f>VLOOKUP($D256,SKU!$A:$I,2,FALSE)</f>
        <v>星梦文创-Studio Ghibli宫崎骏撕撕乐系列 </v>
      </c>
    </row>
    <row r="257" spans="1:12">
      <c r="A257" s="6"/>
      <c r="B257" s="59" t="s">
        <v>425</v>
      </c>
      <c r="C257" s="6" t="s">
        <v>424</v>
      </c>
      <c r="D257" s="6" t="s">
        <v>43</v>
      </c>
      <c r="E257" s="8">
        <f>SUMIFS(Xuất出库!D:D,Xuất出库!G:G,B257,Xuất出库!C:C,D257)</f>
        <v>10</v>
      </c>
      <c r="F257" s="9">
        <f>SUMIFS(Xuất出库!E:E,Xuất出库!G:G,B257,Xuất出库!C:C,D257)+SUMIFS(Xuất出库!F:F,Xuất出库!G:G,B257,Xuất出库!C:C,D257)</f>
        <v>130</v>
      </c>
      <c r="G257" s="6">
        <f>13+13+5+7+4+23</f>
        <v>65</v>
      </c>
      <c r="H257" s="9">
        <f>SUMIFS(Hoàn回库!E:E,Hoàn回库!G:G,B257,Hoàn回库!C:C,D257)+SUMIFS(Hoàn回库!F:F,Hoàn回库!G:G,B257,Hoàn回库!C:C,D257)</f>
        <v>0</v>
      </c>
      <c r="I257" s="9">
        <f>SUMIFS('Điều hàng调货'!E:E,'Điều hàng调货'!A:A,K257,'Điều hàng调货'!G:G,B257)*-1+SUMIFS('Điều hàng调货'!E:E,'Điều hàng调货'!A:A,K257,'Điều hàng调货'!H:H,B257)+SUMIFS('Điều hàng调货'!F:F,'Điều hàng调货'!A:A,K257,'Điều hàng调货'!G:G,B257)*-1+SUMIFS('Điều hàng调货'!F:F,'Điều hàng调货'!A:A,K257,'Điều hàng调货'!H:H,B257)</f>
        <v>0</v>
      </c>
      <c r="J257" s="9">
        <f t="shared" si="14"/>
        <v>65</v>
      </c>
      <c r="K257" s="9">
        <f>VLOOKUP($D257,SKU!$A:$I,3,FALSE)</f>
        <v>10006</v>
      </c>
      <c r="L257" s="9" t="str">
        <f>VLOOKUP($D257,SKU!$A:$I,2,FALSE)</f>
        <v>云映文化「云之境の夏」第二弹·宫崎骏珍藏卡牌</v>
      </c>
    </row>
    <row r="258" spans="1:12">
      <c r="A258" s="6"/>
      <c r="B258" s="59" t="s">
        <v>425</v>
      </c>
      <c r="C258" s="6" t="s">
        <v>424</v>
      </c>
      <c r="D258" s="6" t="s">
        <v>24</v>
      </c>
      <c r="E258" s="8">
        <f>SUMIFS(Xuất出库!D:D,Xuất出库!G:G,B258,Xuất出库!C:C,D258)</f>
        <v>20</v>
      </c>
      <c r="F258" s="9">
        <f>SUMIFS(Xuất出库!E:E,Xuất出库!G:G,B258,Xuất出库!C:C,D258)+SUMIFS(Xuất出库!F:F,Xuất出库!G:G,B258,Xuất出库!C:C,D258)</f>
        <v>287</v>
      </c>
      <c r="G258" s="6">
        <f>15+15+29+27</f>
        <v>86</v>
      </c>
      <c r="H258" s="9">
        <f>SUMIFS(Hoàn回库!E:E,Hoàn回库!G:G,B258,Hoàn回库!C:C,D258)+SUMIFS(Hoàn回库!F:F,Hoàn回库!G:G,B258,Hoàn回库!C:C,D258)</f>
        <v>174</v>
      </c>
      <c r="I258" s="9">
        <f>SUMIFS('Điều hàng调货'!E:E,'Điều hàng调货'!A:A,K258,'Điều hàng调货'!G:G,B258)*-1+SUMIFS('Điều hàng调货'!E:E,'Điều hàng调货'!A:A,K258,'Điều hàng调货'!H:H,B258)+SUMIFS('Điều hàng调货'!F:F,'Điều hàng调货'!A:A,K258,'Điều hàng调货'!G:G,B258)*-1+SUMIFS('Điều hàng调货'!F:F,'Điều hàng调货'!A:A,K258,'Điều hàng调货'!H:H,B258)</f>
        <v>-27</v>
      </c>
      <c r="J258" s="9">
        <f t="shared" si="14"/>
        <v>0</v>
      </c>
      <c r="K258" s="9">
        <f>VLOOKUP($D258,SKU!$A:$I,3,FALSE)</f>
        <v>10003</v>
      </c>
      <c r="L258" s="9" t="str">
        <f>VLOOKUP($D258,SKU!$A:$I,2,FALSE)</f>
        <v>DUO米全新出品鬼灭之刃-柱合会议篇第二弹</v>
      </c>
    </row>
    <row r="259" spans="1:12">
      <c r="A259" s="6"/>
      <c r="B259" s="59" t="s">
        <v>425</v>
      </c>
      <c r="C259" s="6" t="s">
        <v>424</v>
      </c>
      <c r="D259" s="6" t="s">
        <v>95</v>
      </c>
      <c r="E259" s="8">
        <f>SUMIFS(Xuất出库!D:D,Xuất出库!G:G,B259,Xuất出库!C:C,D259)</f>
        <v>5</v>
      </c>
      <c r="F259" s="9">
        <f>SUMIFS(Xuất出库!E:E,Xuất出库!G:G,B259,Xuất出库!C:C,D259)+SUMIFS(Xuất出库!F:F,Xuất出库!G:G,B259,Xuất出库!C:C,D259)</f>
        <v>65</v>
      </c>
      <c r="G259" s="6">
        <f>6</f>
        <v>6</v>
      </c>
      <c r="H259" s="9">
        <f>SUMIFS(Hoàn回库!E:E,Hoàn回库!G:G,B259,Hoàn回库!C:C,D259)+SUMIFS(Hoàn回库!F:F,Hoàn回库!G:G,B259,Hoàn回库!C:C,D259)</f>
        <v>68</v>
      </c>
      <c r="I259" s="9">
        <f>SUMIFS('Điều hàng调货'!E:E,'Điều hàng调货'!A:A,K259,'Điều hàng调货'!G:G,B259)*-1+SUMIFS('Điều hàng调货'!E:E,'Điều hàng调货'!A:A,K259,'Điều hàng调货'!H:H,B259)+SUMIFS('Điều hàng调货'!F:F,'Điều hàng调货'!A:A,K259,'Điều hàng调货'!G:G,B259)*-1+SUMIFS('Điều hàng调货'!F:F,'Điều hàng调货'!A:A,K259,'Điều hàng调货'!H:H,B259)</f>
        <v>0</v>
      </c>
      <c r="J259" s="9">
        <f t="shared" si="14"/>
        <v>-9</v>
      </c>
      <c r="K259" s="9">
        <f>VLOOKUP($D259,SKU!$A:$I,3,FALSE)</f>
        <v>10017</v>
      </c>
      <c r="L259" s="9" t="str">
        <f>VLOOKUP($D259,SKU!$A:$I,2,FALSE)</f>
        <v>梦境-美少女战士第一弹</v>
      </c>
    </row>
    <row r="260" spans="1:12">
      <c r="A260" s="6"/>
      <c r="B260" s="59" t="s">
        <v>425</v>
      </c>
      <c r="C260" s="6" t="s">
        <v>424</v>
      </c>
      <c r="D260" s="6" t="s">
        <v>107</v>
      </c>
      <c r="E260" s="8">
        <f>SUMIFS(Xuất出库!D:D,Xuất出库!G:G,B260,Xuất出库!C:C,D260)</f>
        <v>5</v>
      </c>
      <c r="F260" s="9">
        <f>SUMIFS(Xuất出库!E:E,Xuất出库!G:G,B260,Xuất出库!C:C,D260)+SUMIFS(Xuất出库!F:F,Xuất出库!G:G,B260,Xuất出库!C:C,D260)</f>
        <v>80</v>
      </c>
      <c r="G260" s="6">
        <f>43+1+2+4+1</f>
        <v>51</v>
      </c>
      <c r="H260" s="9">
        <f>SUMIFS(Hoàn回库!E:E,Hoàn回库!G:G,B260,Hoàn回库!C:C,D260)+SUMIFS(Hoàn回库!F:F,Hoàn回库!G:G,B260,Hoàn回库!C:C,D260)</f>
        <v>29</v>
      </c>
      <c r="I260" s="9">
        <f>SUMIFS('Điều hàng调货'!E:E,'Điều hàng调货'!A:A,K260,'Điều hàng调货'!G:G,B260)*-1+SUMIFS('Điều hàng调货'!E:E,'Điều hàng调货'!A:A,K260,'Điều hàng调货'!H:H,B260)+SUMIFS('Điều hàng调货'!F:F,'Điều hàng调货'!A:A,K260,'Điều hàng调货'!G:G,B260)*-1+SUMIFS('Điều hàng调货'!F:F,'Điều hàng调货'!A:A,K260,'Điều hàng调货'!H:H,B260)</f>
        <v>0</v>
      </c>
      <c r="J260" s="9">
        <f t="shared" si="14"/>
        <v>0</v>
      </c>
      <c r="K260" s="9">
        <f>VLOOKUP($D260,SKU!$A:$I,3,FALSE)</f>
        <v>10020</v>
      </c>
      <c r="L260" s="9" t="str">
        <f>VLOOKUP($D260,SKU!$A:$I,2,FALSE)</f>
        <v>集卡社小樱</v>
      </c>
    </row>
    <row r="261" spans="1:12">
      <c r="A261" s="6"/>
      <c r="B261" s="59" t="s">
        <v>425</v>
      </c>
      <c r="C261" s="6" t="s">
        <v>424</v>
      </c>
      <c r="D261" s="6" t="s">
        <v>49</v>
      </c>
      <c r="E261" s="8">
        <f>SUMIFS(Xuất出库!D:D,Xuất出库!G:G,B261,Xuất出库!C:C,D261)</f>
        <v>5</v>
      </c>
      <c r="F261" s="9">
        <f>SUMIFS(Xuất出库!E:E,Xuất出库!G:G,B261,Xuất出库!C:C,D261)+SUMIFS(Xuất出库!F:F,Xuất出库!G:G,B261,Xuất出库!C:C,D261)</f>
        <v>72</v>
      </c>
      <c r="G261" s="6">
        <f>5+3</f>
        <v>8</v>
      </c>
      <c r="H261" s="9">
        <f>SUMIFS(Hoàn回库!E:E,Hoàn回库!G:G,B261,Hoàn回库!C:C,D261)+SUMIFS(Hoàn回库!F:F,Hoàn回库!G:G,B261,Hoàn回库!C:C,D261)</f>
        <v>64</v>
      </c>
      <c r="I261" s="9">
        <f>SUMIFS('Điều hàng调货'!E:E,'Điều hàng调货'!A:A,K261,'Điều hàng调货'!G:G,B261)*-1+SUMIFS('Điều hàng调货'!E:E,'Điều hàng调货'!A:A,K261,'Điều hàng调货'!H:H,B261)+SUMIFS('Điều hàng调货'!F:F,'Điều hàng调货'!A:A,K261,'Điều hàng调货'!G:G,B261)*-1+SUMIFS('Điều hàng调货'!F:F,'Điều hàng调货'!A:A,K261,'Điều hàng调货'!H:H,B261)</f>
        <v>0</v>
      </c>
      <c r="J261" s="9">
        <f t="shared" si="14"/>
        <v>0</v>
      </c>
      <c r="K261" s="9">
        <f>VLOOKUP($D261,SKU!$A:$I,3,FALSE)</f>
        <v>10007</v>
      </c>
      <c r="L261" s="9" t="str">
        <f>VLOOKUP($D261,SKU!$A:$I,2,FALSE)</f>
        <v>kawaii宫崎骏梦幻之国</v>
      </c>
    </row>
    <row r="262" spans="1:12">
      <c r="A262" s="6"/>
      <c r="B262" s="59" t="s">
        <v>425</v>
      </c>
      <c r="C262" s="6" t="s">
        <v>424</v>
      </c>
      <c r="D262" s="6" t="s">
        <v>184</v>
      </c>
      <c r="E262" s="8">
        <f>SUMIFS(Xuất出库!D:D,Xuất出库!G:G,B262,Xuất出库!C:C,D262)</f>
        <v>24</v>
      </c>
      <c r="F262" s="9">
        <f>SUMIFS(Xuất出库!E:E,Xuất出库!G:G,B262,Xuất出库!C:C,D262)+SUMIFS(Xuất出库!F:F,Xuất出库!G:G,B262,Xuất出库!C:C,D262)</f>
        <v>544</v>
      </c>
      <c r="G262" s="6">
        <f>24+40+69</f>
        <v>133</v>
      </c>
      <c r="H262" s="9">
        <f>SUMIFS(Hoàn回库!E:E,Hoàn回库!G:G,B262,Hoàn回库!C:C,D262)+SUMIFS(Hoàn回库!F:F,Hoàn回库!G:G,B262,Hoàn回库!C:C,D262)</f>
        <v>300</v>
      </c>
      <c r="I262" s="9">
        <f>SUMIFS('Điều hàng调货'!E:E,'Điều hàng调货'!A:A,K262,'Điều hàng调货'!G:G,B262)*-1+SUMIFS('Điều hàng调货'!E:E,'Điều hàng调货'!A:A,K262,'Điều hàng调货'!H:H,B262)+SUMIFS('Điều hàng调货'!F:F,'Điều hàng调货'!A:A,K262,'Điều hàng调货'!G:G,B262)*-1+SUMIFS('Điều hàng调货'!F:F,'Điều hàng调货'!A:A,K262,'Điều hàng调货'!H:H,B262)</f>
        <v>-111</v>
      </c>
      <c r="J262" s="9">
        <f t="shared" si="14"/>
        <v>0</v>
      </c>
      <c r="K262" s="9">
        <f>VLOOKUP($D262,SKU!$A:$I,3,FALSE)</f>
        <v>10039</v>
      </c>
      <c r="L262" s="9" t="str">
        <f>VLOOKUP($D262,SKU!$A:$I,2,FALSE)</f>
        <v>非凡航海王第五弹</v>
      </c>
    </row>
    <row r="263" ht="15.75" spans="1:12">
      <c r="A263" s="6"/>
      <c r="B263" s="61" t="s">
        <v>425</v>
      </c>
      <c r="C263" s="43" t="s">
        <v>424</v>
      </c>
      <c r="D263" s="43" t="s">
        <v>212</v>
      </c>
      <c r="E263" s="20">
        <f>SUMIFS(Xuất出库!D:D,Xuất出库!G:G,B263,Xuất出库!C:C,D263)</f>
        <v>0</v>
      </c>
      <c r="F263" s="21">
        <f>SUMIFS(Xuất出库!E:E,Xuất出库!G:G,B263,Xuất出库!C:C,D263)+SUMIFS(Xuất出库!F:F,Xuất出库!G:G,B263,Xuất出库!C:C,D263)</f>
        <v>0</v>
      </c>
      <c r="G263" s="43">
        <v>0</v>
      </c>
      <c r="H263" s="21">
        <f>SUMIFS(Hoàn回库!E:E,Hoàn回库!G:G,B263,Hoàn回库!C:C,D263)+SUMIFS(Hoàn回库!F:F,Hoàn回库!G:G,B263,Hoàn回库!C:C,D263)</f>
        <v>0</v>
      </c>
      <c r="I263" s="9">
        <f>SUMIFS('Điều hàng调货'!E:E,'Điều hàng调货'!A:A,K263,'Điều hàng调货'!G:G,B263)*-1+SUMIFS('Điều hàng调货'!E:E,'Điều hàng调货'!A:A,K263,'Điều hàng调货'!H:H,B263)+SUMIFS('Điều hàng调货'!F:F,'Điều hàng调货'!A:A,K263,'Điều hàng调货'!G:G,B263)*-1+SUMIFS('Điều hàng调货'!F:F,'Điều hàng调货'!A:A,K263,'Điều hàng调货'!H:H,B263)</f>
        <v>0</v>
      </c>
      <c r="J263" s="9">
        <f t="shared" si="14"/>
        <v>0</v>
      </c>
      <c r="K263" s="21">
        <f>VLOOKUP($D263,SKU!$A:$I,3,FALSE)</f>
        <v>10048</v>
      </c>
      <c r="L263" s="21" t="str">
        <f>VLOOKUP($D263,SKU!$A:$I,2,FALSE)</f>
        <v>奈良社《极昼漫游》美少女战士撕撕乐+异形小卡</v>
      </c>
    </row>
    <row r="264" ht="15.75" spans="1:12">
      <c r="A264" s="6"/>
      <c r="B264" s="80" t="s">
        <v>429</v>
      </c>
      <c r="C264" s="23" t="s">
        <v>428</v>
      </c>
      <c r="D264" s="23" t="s">
        <v>12</v>
      </c>
      <c r="E264" s="24">
        <f>SUMIFS(Xuất出库!D:D,Xuất出库!G:G,B264,Xuất出库!C:C,D264)</f>
        <v>5</v>
      </c>
      <c r="F264" s="25">
        <f>SUMIFS(Xuất出库!E:E,Xuất出库!G:G,B264,Xuất出库!C:C,D264)+SUMIFS(Xuất出库!F:F,Xuất出库!G:G,B264,Xuất出库!C:C,D264)</f>
        <v>5</v>
      </c>
      <c r="G264" s="23">
        <f>1+1+1</f>
        <v>3</v>
      </c>
      <c r="H264" s="25">
        <f>SUMIFS(Hoàn回库!E:E,Hoàn回库!G:G,B264,Hoàn回库!C:C,D264)+SUMIFS(Hoàn回库!F:F,Hoàn回库!G:G,B264,Hoàn回库!C:C,D264)</f>
        <v>0</v>
      </c>
      <c r="I264" s="9">
        <f>SUMIFS('Điều hàng调货'!E:E,'Điều hàng调货'!A:A,K264,'Điều hàng调货'!G:G,B264)*-1+SUMIFS('Điều hàng调货'!E:E,'Điều hàng调货'!A:A,K264,'Điều hàng调货'!H:H,B264)+SUMIFS('Điều hàng调货'!F:F,'Điều hàng调货'!A:A,K264,'Điều hàng调货'!G:G,B264)*-1+SUMIFS('Điều hàng调货'!F:F,'Điều hàng调货'!A:A,K264,'Điều hàng调货'!H:H,B264)</f>
        <v>-2</v>
      </c>
      <c r="J264" s="9">
        <f t="shared" si="14"/>
        <v>0</v>
      </c>
      <c r="K264" s="25">
        <f>VLOOKUP($D264,SKU!$A:$I,3,FALSE)</f>
        <v>10001</v>
      </c>
      <c r="L264" s="25" t="str">
        <f>VLOOKUP($D264,SKU!$A:$I,2,FALSE)</f>
        <v>《东株社》宝可梦水晶砖</v>
      </c>
    </row>
    <row r="265" spans="1:12">
      <c r="A265" s="6"/>
      <c r="B265" s="81" t="s">
        <v>429</v>
      </c>
      <c r="C265" s="6" t="s">
        <v>428</v>
      </c>
      <c r="D265" s="6" t="s">
        <v>30</v>
      </c>
      <c r="E265" s="8">
        <f>SUMIFS(Xuất出库!D:D,Xuất出库!G:G,B265,Xuất出库!C:C,D265)</f>
        <v>20</v>
      </c>
      <c r="F265" s="9">
        <f>SUMIFS(Xuất出库!E:E,Xuất出库!G:G,B265,Xuất出库!C:C,D265)+SUMIFS(Xuất出库!F:F,Xuất出库!G:G,B265,Xuất出库!C:C,D265)</f>
        <v>20</v>
      </c>
      <c r="G265" s="6">
        <f>6+1+1</f>
        <v>8</v>
      </c>
      <c r="H265" s="9">
        <f>SUMIFS(Hoàn回库!E:E,Hoàn回库!G:G,B265,Hoàn回库!C:C,D265)+SUMIFS(Hoàn回库!F:F,Hoàn回库!G:G,B265,Hoàn回库!C:C,D265)</f>
        <v>12</v>
      </c>
      <c r="I265" s="9">
        <f>SUMIFS('Điều hàng调货'!E:E,'Điều hàng调货'!A:A,K265,'Điều hàng调货'!G:G,B265)*-1+SUMIFS('Điều hàng调货'!E:E,'Điều hàng调货'!A:A,K265,'Điều hàng调货'!H:H,B265)+SUMIFS('Điều hàng调货'!F:F,'Điều hàng调货'!A:A,K265,'Điều hàng调货'!G:G,B265)*-1+SUMIFS('Điều hàng调货'!F:F,'Điều hàng调货'!A:A,K265,'Điều hàng调货'!H:H,B265)</f>
        <v>0</v>
      </c>
      <c r="J265" s="9">
        <f t="shared" si="14"/>
        <v>0</v>
      </c>
      <c r="K265" s="9">
        <f>VLOOKUP($D265,SKU!$A:$I,3,FALSE)</f>
        <v>10004</v>
      </c>
      <c r="L265" s="9" t="str">
        <f>VLOOKUP($D265,SKU!$A:$I,2,FALSE)</f>
        <v>初见花海咒术回战第一弹</v>
      </c>
    </row>
    <row r="266" spans="1:12">
      <c r="A266" s="6"/>
      <c r="B266" s="81" t="s">
        <v>429</v>
      </c>
      <c r="C266" s="6" t="s">
        <v>428</v>
      </c>
      <c r="D266" s="6" t="s">
        <v>43</v>
      </c>
      <c r="E266" s="8">
        <f>SUMIFS(Xuất出库!D:D,Xuất出库!G:G,B266,Xuất出库!C:C,D266)</f>
        <v>20</v>
      </c>
      <c r="F266" s="9">
        <f>SUMIFS(Xuất出库!E:E,Xuất出库!G:G,B266,Xuất出库!C:C,D266)+SUMIFS(Xuất出库!F:F,Xuất出库!G:G,B266,Xuất出库!C:C,D266)</f>
        <v>260</v>
      </c>
      <c r="G266" s="6">
        <f>15+35+7+5+3+3</f>
        <v>68</v>
      </c>
      <c r="H266" s="9">
        <f>SUMIFS(Hoàn回库!E:E,Hoàn回库!G:G,B266,Hoàn回库!C:C,D266)+SUMIFS(Hoàn回库!F:F,Hoàn回库!G:G,B266,Hoàn回库!C:C,D266)</f>
        <v>192</v>
      </c>
      <c r="I266" s="9">
        <f>SUMIFS('Điều hàng调货'!E:E,'Điều hàng调货'!A:A,K266,'Điều hàng调货'!G:G,B266)*-1+SUMIFS('Điều hàng调货'!E:E,'Điều hàng调货'!A:A,K266,'Điều hàng调货'!H:H,B266)+SUMIFS('Điều hàng调货'!F:F,'Điều hàng调货'!A:A,K266,'Điều hàng调货'!G:G,B266)*-1+SUMIFS('Điều hàng调货'!F:F,'Điều hàng调货'!A:A,K266,'Điều hàng调货'!H:H,B266)</f>
        <v>0</v>
      </c>
      <c r="J266" s="9">
        <f t="shared" si="14"/>
        <v>0</v>
      </c>
      <c r="K266" s="9">
        <f>VLOOKUP($D266,SKU!$A:$I,3,FALSE)</f>
        <v>10006</v>
      </c>
      <c r="L266" s="9" t="str">
        <f>VLOOKUP($D266,SKU!$A:$I,2,FALSE)</f>
        <v>云映文化「云之境の夏」第二弹·宫崎骏珍藏卡牌</v>
      </c>
    </row>
    <row r="267" spans="1:12">
      <c r="A267" s="6"/>
      <c r="B267" s="81" t="s">
        <v>429</v>
      </c>
      <c r="C267" s="6" t="s">
        <v>428</v>
      </c>
      <c r="D267" s="6" t="s">
        <v>139</v>
      </c>
      <c r="E267" s="8">
        <f>SUMIFS(Xuất出库!D:D,Xuất出库!G:G,B267,Xuất出库!C:C,D267)</f>
        <v>11</v>
      </c>
      <c r="F267" s="9">
        <f>SUMIFS(Xuất出库!E:E,Xuất出库!G:G,B267,Xuất出库!C:C,D267)+SUMIFS(Xuất出库!F:F,Xuất出库!G:G,B267,Xuất出库!C:C,D267)</f>
        <v>143</v>
      </c>
      <c r="G267" s="6">
        <f>13+13+19+2+8+5+2+26</f>
        <v>88</v>
      </c>
      <c r="H267" s="9">
        <f>SUMIFS(Hoàn回库!E:E,Hoàn回库!G:G,B267,Hoàn回库!C:C,D267)+SUMIFS(Hoàn回库!F:F,Hoàn回库!G:G,B267,Hoàn回库!C:C,D267)</f>
        <v>55</v>
      </c>
      <c r="I267" s="9">
        <f>SUMIFS('Điều hàng调货'!E:E,'Điều hàng调货'!A:A,K267,'Điều hàng调货'!G:G,B267)*-1+SUMIFS('Điều hàng调货'!E:E,'Điều hàng调货'!A:A,K267,'Điều hàng调货'!H:H,B267)+SUMIFS('Điều hàng调货'!F:F,'Điều hàng调货'!A:A,K267,'Điều hàng调货'!G:G,B267)*-1+SUMIFS('Điều hàng调货'!F:F,'Điều hàng调货'!A:A,K267,'Điều hàng调货'!H:H,B267)</f>
        <v>0</v>
      </c>
      <c r="J267" s="9">
        <f t="shared" si="14"/>
        <v>0</v>
      </c>
      <c r="K267" s="9">
        <f>VLOOKUP($D267,SKU!$A:$I,3,FALSE)</f>
        <v>10028</v>
      </c>
      <c r="L267" s="9" t="str">
        <f>VLOOKUP($D267,SKU!$A:$I,2,FALSE)</f>
        <v>潮玩咔原神 尘世收藏卡</v>
      </c>
    </row>
    <row r="268" spans="1:12">
      <c r="A268" s="6"/>
      <c r="B268" s="81" t="s">
        <v>429</v>
      </c>
      <c r="C268" s="6" t="s">
        <v>428</v>
      </c>
      <c r="D268" s="6" t="s">
        <v>79</v>
      </c>
      <c r="E268" s="8">
        <f>SUMIFS(Xuất出库!D:D,Xuất出库!G:G,B268,Xuất出库!C:C,D268)</f>
        <v>18</v>
      </c>
      <c r="F268" s="9">
        <f>SUMIFS(Xuất出库!E:E,Xuất出库!G:G,B268,Xuất出库!C:C,D268)+SUMIFS(Xuất出库!F:F,Xuất出库!G:G,B268,Xuất出库!C:C,D268)</f>
        <v>216</v>
      </c>
      <c r="G268" s="6">
        <f>43+78+65+13+17</f>
        <v>216</v>
      </c>
      <c r="H268" s="9">
        <f>SUMIFS(Hoàn回库!E:E,Hoàn回库!G:G,B268,Hoàn回库!C:C,D268)+SUMIFS(Hoàn回库!F:F,Hoàn回库!G:G,B268,Hoàn回库!C:C,D268)</f>
        <v>0</v>
      </c>
      <c r="I268" s="9">
        <f>SUMIFS('Điều hàng调货'!E:E,'Điều hàng调货'!A:A,K268,'Điều hàng调货'!G:G,B268)*-1+SUMIFS('Điều hàng调货'!E:E,'Điều hàng调货'!A:A,K268,'Điều hàng调货'!H:H,B268)+SUMIFS('Điều hàng调货'!F:F,'Điều hàng调货'!A:A,K268,'Điều hàng调货'!G:G,B268)*-1+SUMIFS('Điều hàng调货'!F:F,'Điều hàng调货'!A:A,K268,'Điều hàng调货'!H:H,B268)</f>
        <v>0</v>
      </c>
      <c r="J268" s="9">
        <f t="shared" si="14"/>
        <v>0</v>
      </c>
      <c r="K268" s="9">
        <f>VLOOKUP($D268,SKU!$A:$I,3,FALSE)</f>
        <v>10013</v>
      </c>
      <c r="L268" s="9" t="str">
        <f>VLOOKUP($D268,SKU!$A:$I,2,FALSE)</f>
        <v>皇卡 × 鬼灭《血月之契》篇决战无限城收藏卡</v>
      </c>
    </row>
    <row r="269" spans="1:12">
      <c r="A269" s="6"/>
      <c r="B269" s="81" t="s">
        <v>429</v>
      </c>
      <c r="C269" s="6" t="s">
        <v>428</v>
      </c>
      <c r="D269" s="6" t="s">
        <v>75</v>
      </c>
      <c r="E269" s="8">
        <f>SUMIFS(Xuất出库!D:D,Xuất出库!G:G,B269,Xuất出库!C:C,D269)</f>
        <v>5</v>
      </c>
      <c r="F269" s="9">
        <f>SUMIFS(Xuất出库!E:E,Xuất出库!G:G,B269,Xuất出库!C:C,D269)+SUMIFS(Xuất出库!F:F,Xuất出库!G:G,B269,Xuất出库!C:C,D269)</f>
        <v>150</v>
      </c>
      <c r="G269" s="6">
        <f>3+3+3+13</f>
        <v>22</v>
      </c>
      <c r="H269" s="9">
        <f>SUMIFS(Hoàn回库!E:E,Hoàn回库!G:G,B269,Hoàn回库!C:C,D269)+SUMIFS(Hoàn回库!F:F,Hoàn回库!G:G,B269,Hoàn回库!C:C,D269)</f>
        <v>0</v>
      </c>
      <c r="I269" s="9">
        <f>SUMIFS('Điều hàng调货'!E:E,'Điều hàng调货'!A:A,K269,'Điều hàng调货'!G:G,B269)*-1+SUMIFS('Điều hàng调货'!E:E,'Điều hàng调货'!A:A,K269,'Điều hàng调货'!H:H,B269)+SUMIFS('Điều hàng调货'!F:F,'Điều hàng调货'!A:A,K269,'Điều hàng调货'!G:G,B269)*-1+SUMIFS('Điều hàng调货'!F:F,'Điều hàng调货'!A:A,K269,'Điều hàng调货'!H:H,B269)</f>
        <v>-30</v>
      </c>
      <c r="J269" s="9">
        <f t="shared" si="14"/>
        <v>98</v>
      </c>
      <c r="K269" s="9">
        <f>VLOOKUP($D269,SKU!$A:$I,3,FALSE)</f>
        <v>10012</v>
      </c>
      <c r="L269" s="9" t="str">
        <f>VLOOKUP($D269,SKU!$A:$I,2,FALSE)</f>
        <v>卡文化进击的巨人</v>
      </c>
    </row>
    <row r="270" spans="1:12">
      <c r="A270" s="6"/>
      <c r="B270" s="81" t="s">
        <v>429</v>
      </c>
      <c r="C270" s="6" t="s">
        <v>428</v>
      </c>
      <c r="D270" s="6" t="s">
        <v>24</v>
      </c>
      <c r="E270" s="8">
        <f>SUMIFS(Xuất出库!D:D,Xuất出库!G:G,B270,Xuất出库!C:C,D270)</f>
        <v>25</v>
      </c>
      <c r="F270" s="9">
        <f>SUMIFS(Xuất出库!E:E,Xuất出库!G:G,B270,Xuất出库!C:C,D270)+SUMIFS(Xuất出库!F:F,Xuất出库!G:G,B270,Xuất出库!C:C,D270)</f>
        <v>407</v>
      </c>
      <c r="G270" s="6">
        <f>1+1+17+29+96+15+6+7+56+65+14+2</f>
        <v>309</v>
      </c>
      <c r="H270" s="9">
        <f>SUMIFS(Hoàn回库!E:E,Hoàn回库!G:G,B270,Hoàn回库!C:C,D270)+SUMIFS(Hoàn回库!F:F,Hoàn回库!G:G,B270,Hoàn回库!C:C,D270)</f>
        <v>98</v>
      </c>
      <c r="I270" s="9">
        <f>SUMIFS('Điều hàng调货'!E:E,'Điều hàng调货'!A:A,K270,'Điều hàng调货'!G:G,B270)*-1+SUMIFS('Điều hàng调货'!E:E,'Điều hàng调货'!A:A,K270,'Điều hàng调货'!H:H,B270)+SUMIFS('Điều hàng调货'!F:F,'Điều hàng调货'!A:A,K270,'Điều hàng调货'!G:G,B270)*-1+SUMIFS('Điều hàng调货'!F:F,'Điều hàng调货'!A:A,K270,'Điều hàng调货'!H:H,B270)</f>
        <v>0</v>
      </c>
      <c r="J270" s="9">
        <f t="shared" si="14"/>
        <v>0</v>
      </c>
      <c r="K270" s="9">
        <f>VLOOKUP($D270,SKU!$A:$I,3,FALSE)</f>
        <v>10003</v>
      </c>
      <c r="L270" s="9" t="str">
        <f>VLOOKUP($D270,SKU!$A:$I,2,FALSE)</f>
        <v>DUO米全新出品鬼灭之刃-柱合会议篇第二弹</v>
      </c>
    </row>
    <row r="271" spans="1:12">
      <c r="A271" s="6"/>
      <c r="B271" s="81" t="s">
        <v>429</v>
      </c>
      <c r="C271" s="6" t="s">
        <v>428</v>
      </c>
      <c r="D271" s="6" t="s">
        <v>167</v>
      </c>
      <c r="E271" s="8">
        <f>SUMIFS(Xuất出库!D:D,Xuất出库!G:G,B271,Xuất出库!C:C,D271)</f>
        <v>20</v>
      </c>
      <c r="F271" s="9">
        <f>SUMIFS(Xuất出库!E:E,Xuất出库!G:G,B271,Xuất出库!C:C,D271)+SUMIFS(Xuất出库!F:F,Xuất出库!G:G,B271,Xuất出库!C:C,D271)</f>
        <v>280</v>
      </c>
      <c r="G271" s="6">
        <f>9+19+21</f>
        <v>49</v>
      </c>
      <c r="H271" s="9">
        <f>SUMIFS(Hoàn回库!E:E,Hoàn回库!G:G,B271,Hoàn回库!C:C,D271)+SUMIFS(Hoàn回库!F:F,Hoàn回库!G:G,B271,Hoàn回库!C:C,D271)</f>
        <v>144</v>
      </c>
      <c r="I271" s="9">
        <f>SUMIFS('Điều hàng调货'!E:E,'Điều hàng调货'!A:A,K271,'Điều hàng调货'!G:G,B271)*-1+SUMIFS('Điều hàng调货'!E:E,'Điều hàng调货'!A:A,K271,'Điều hàng调货'!H:H,B271)+SUMIFS('Điều hàng调货'!F:F,'Điều hàng调货'!A:A,K271,'Điều hàng调货'!G:G,B271)*-1+SUMIFS('Điều hàng调货'!F:F,'Điều hàng调货'!A:A,K271,'Điều hàng调货'!H:H,B271)</f>
        <v>-17</v>
      </c>
      <c r="J271" s="9">
        <f t="shared" si="14"/>
        <v>70</v>
      </c>
      <c r="K271" s="9">
        <f>VLOOKUP($D271,SKU!$A:$I,3,FALSE)</f>
        <v>10035</v>
      </c>
      <c r="L271" s="9" t="str">
        <f>VLOOKUP($D271,SKU!$A:$I,2,FALSE)</f>
        <v>KK CARD × 新海诚系列第一弹</v>
      </c>
    </row>
    <row r="272" spans="1:12">
      <c r="A272" s="6"/>
      <c r="B272" s="81" t="s">
        <v>429</v>
      </c>
      <c r="C272" s="6" t="s">
        <v>428</v>
      </c>
      <c r="D272" s="6" t="s">
        <v>202</v>
      </c>
      <c r="E272" s="8">
        <f>SUMIFS(Xuất出库!D:D,Xuất出库!G:G,B272,Xuất出库!C:C,D272)</f>
        <v>43</v>
      </c>
      <c r="F272" s="9">
        <f>SUMIFS(Xuất出库!E:E,Xuất出库!G:G,B272,Xuất出库!C:C,D272)+SUMIFS(Xuất出库!F:F,Xuất出库!G:G,B272,Xuất出库!C:C,D272)</f>
        <v>43</v>
      </c>
      <c r="G272" s="6">
        <f>35+1</f>
        <v>36</v>
      </c>
      <c r="H272" s="9">
        <f>SUMIFS(Hoàn回库!E:E,Hoàn回库!G:G,B272,Hoàn回库!C:C,D272)+SUMIFS(Hoàn回库!F:F,Hoàn回库!G:G,B272,Hoàn回库!C:C,D272)</f>
        <v>7</v>
      </c>
      <c r="I272" s="9">
        <f>SUMIFS('Điều hàng调货'!E:E,'Điều hàng调货'!A:A,K272,'Điều hàng调货'!G:G,B272)*-1+SUMIFS('Điều hàng调货'!E:E,'Điều hàng调货'!A:A,K272,'Điều hàng调货'!H:H,B272)+SUMIFS('Điều hàng调货'!F:F,'Điều hàng调货'!A:A,K272,'Điều hàng调货'!G:G,B272)*-1+SUMIFS('Điều hàng调货'!F:F,'Điều hàng调货'!A:A,K272,'Điều hàng调货'!H:H,B272)</f>
        <v>0</v>
      </c>
      <c r="J272" s="9">
        <f t="shared" si="14"/>
        <v>0</v>
      </c>
      <c r="K272" s="9">
        <f>VLOOKUP($D272,SKU!$A:$I,3,FALSE)</f>
        <v>10044</v>
      </c>
      <c r="L272" s="9" t="str">
        <f>VLOOKUP($D272,SKU!$A:$I,2,FALSE)</f>
        <v>源宇宙原神.空月の歌·周边CD票根邮票组合套装</v>
      </c>
    </row>
    <row r="273" spans="1:12">
      <c r="A273" s="6"/>
      <c r="B273" s="81" t="s">
        <v>429</v>
      </c>
      <c r="C273" s="6" t="s">
        <v>428</v>
      </c>
      <c r="D273" s="6" t="s">
        <v>184</v>
      </c>
      <c r="E273" s="8">
        <f>SUMIFS(Xuất出库!D:D,Xuất出库!G:G,B273,Xuất出库!C:C,D273)</f>
        <v>103</v>
      </c>
      <c r="F273" s="9">
        <f>SUMIFS(Xuất出库!E:E,Xuất出库!G:G,B273,Xuất出库!C:C,D273)+SUMIFS(Xuất出库!F:F,Xuất出库!G:G,B273,Xuất出库!C:C,D273)</f>
        <v>2060</v>
      </c>
      <c r="G273" s="6">
        <f>48+3+4+226+9+64+40+42+29+20+20+60+113+107+120+110+35+40+20+20+20+62+100+84+203+130+80+120+53+20+120+40+125+62+20</f>
        <v>2369</v>
      </c>
      <c r="H273" s="9">
        <f>SUMIFS(Hoàn回库!E:E,Hoàn回库!G:G,B273,Hoàn回库!C:C,D273)+SUMIFS(Hoàn回库!F:F,Hoàn回库!G:G,B273,Hoàn回库!C:C,D273)</f>
        <v>64</v>
      </c>
      <c r="I273" s="9">
        <f>SUMIFS('Điều hàng调货'!E:E,'Điều hàng调货'!A:A,K273,'Điều hàng调货'!G:G,B273)*-1+SUMIFS('Điều hàng调货'!E:E,'Điều hàng调货'!A:A,K273,'Điều hàng调货'!H:H,B273)+SUMIFS('Điều hàng调货'!F:F,'Điều hàng调货'!A:A,K273,'Điều hàng调货'!G:G,B273)*-1+SUMIFS('Điều hàng调货'!F:F,'Điều hàng调货'!A:A,K273,'Điều hàng调货'!H:H,B273)</f>
        <v>373</v>
      </c>
      <c r="J273" s="9">
        <f t="shared" si="14"/>
        <v>0</v>
      </c>
      <c r="K273" s="9">
        <f>VLOOKUP($D273,SKU!$A:$I,3,FALSE)</f>
        <v>10039</v>
      </c>
      <c r="L273" s="9" t="str">
        <f>VLOOKUP($D273,SKU!$A:$I,2,FALSE)</f>
        <v>非凡航海王第五弹</v>
      </c>
    </row>
    <row r="274" spans="1:12">
      <c r="A274" s="6"/>
      <c r="B274" s="81" t="s">
        <v>429</v>
      </c>
      <c r="C274" s="6" t="s">
        <v>428</v>
      </c>
      <c r="D274" s="6" t="s">
        <v>49</v>
      </c>
      <c r="E274" s="8">
        <f>SUMIFS(Xuất出库!D:D,Xuất出库!G:G,B274,Xuất出库!C:C,D274)</f>
        <v>5</v>
      </c>
      <c r="F274" s="9">
        <f>SUMIFS(Xuất出库!E:E,Xuất出库!G:G,B274,Xuất出库!C:C,D274)+SUMIFS(Xuất出库!F:F,Xuất出库!G:G,B274,Xuất出库!C:C,D274)</f>
        <v>65</v>
      </c>
      <c r="G274" s="6">
        <f>11+2</f>
        <v>13</v>
      </c>
      <c r="H274" s="9">
        <f>SUMIFS(Hoàn回库!E:E,Hoàn回库!G:G,B274,Hoàn回库!C:C,D274)+SUMIFS(Hoàn回库!F:F,Hoàn回库!G:G,B274,Hoàn回库!C:C,D274)</f>
        <v>50</v>
      </c>
      <c r="I274" s="9">
        <f>SUMIFS('Điều hàng调货'!E:E,'Điều hàng调货'!A:A,K274,'Điều hàng调货'!G:G,B274)*-1+SUMIFS('Điều hàng调货'!E:E,'Điều hàng调货'!A:A,K274,'Điều hàng调货'!H:H,B274)+SUMIFS('Điều hàng调货'!F:F,'Điều hàng调货'!A:A,K274,'Điều hàng调货'!G:G,B274)*-1+SUMIFS('Điều hàng调货'!F:F,'Điều hàng调货'!A:A,K274,'Điều hàng调货'!H:H,B274)</f>
        <v>-2</v>
      </c>
      <c r="J274" s="9">
        <f t="shared" si="14"/>
        <v>0</v>
      </c>
      <c r="K274" s="9">
        <f>VLOOKUP($D274,SKU!$A:$I,3,FALSE)</f>
        <v>10007</v>
      </c>
      <c r="L274" s="9" t="str">
        <f>VLOOKUP($D274,SKU!$A:$I,2,FALSE)</f>
        <v>kawaii宫崎骏梦幻之国</v>
      </c>
    </row>
    <row r="275" spans="1:12">
      <c r="A275" s="6"/>
      <c r="B275" s="81" t="s">
        <v>429</v>
      </c>
      <c r="C275" s="6" t="s">
        <v>428</v>
      </c>
      <c r="D275" s="6" t="s">
        <v>119</v>
      </c>
      <c r="E275" s="8">
        <f>SUMIFS(Xuất出库!D:D,Xuất出库!G:G,B275,Xuất出库!C:C,D275)</f>
        <v>20</v>
      </c>
      <c r="F275" s="9">
        <f>SUMIFS(Xuất出库!E:E,Xuất出库!G:G,B275,Xuất出库!C:C,D275)+SUMIFS(Xuất出库!F:F,Xuất出库!G:G,B275,Xuất出库!C:C,D275)</f>
        <v>20</v>
      </c>
      <c r="G275" s="6">
        <f>4+1+1</f>
        <v>6</v>
      </c>
      <c r="H275" s="9">
        <f>SUMIFS(Hoàn回库!E:E,Hoàn回库!G:G,B275,Hoàn回库!C:C,D275)+SUMIFS(Hoàn回库!F:F,Hoàn回库!G:G,B275,Hoàn回库!C:C,D275)</f>
        <v>14</v>
      </c>
      <c r="I275" s="9">
        <f>SUMIFS('Điều hàng调货'!E:E,'Điều hàng调货'!A:A,K275,'Điều hàng调货'!G:G,B275)*-1+SUMIFS('Điều hàng调货'!E:E,'Điều hàng调货'!A:A,K275,'Điều hàng调货'!H:H,B275)+SUMIFS('Điều hàng调货'!F:F,'Điều hàng调货'!A:A,K275,'Điều hàng调货'!G:G,B275)*-1+SUMIFS('Điều hàng调货'!F:F,'Điều hàng调货'!A:A,K275,'Điều hàng调货'!H:H,B275)</f>
        <v>0</v>
      </c>
      <c r="J275" s="9">
        <f t="shared" si="14"/>
        <v>0</v>
      </c>
      <c r="K275" s="9">
        <f>VLOOKUP($D275,SKU!$A:$I,3,FALSE)</f>
        <v>10023</v>
      </c>
      <c r="L275" s="9" t="str">
        <f>VLOOKUP($D275,SKU!$A:$I,2,FALSE)</f>
        <v>风信文创尘世相逢之约星光来信原神邮票第一弹</v>
      </c>
    </row>
    <row r="276" spans="1:12">
      <c r="A276" s="6"/>
      <c r="B276" s="81" t="s">
        <v>429</v>
      </c>
      <c r="C276" s="6" t="s">
        <v>428</v>
      </c>
      <c r="D276" s="6" t="s">
        <v>209</v>
      </c>
      <c r="E276" s="8">
        <f>SUMIFS(Xuất出库!D:D,Xuất出库!G:G,B276,Xuất出库!C:C,D276)</f>
        <v>102</v>
      </c>
      <c r="F276" s="9">
        <f>SUMIFS(Xuất出库!E:E,Xuất出库!G:G,B276,Xuất出库!C:C,D276)+SUMIFS(Xuất出库!F:F,Xuất出库!G:G,B276,Xuất出库!C:C,D276)</f>
        <v>102</v>
      </c>
      <c r="G276" s="6">
        <f>20+10+2</f>
        <v>32</v>
      </c>
      <c r="H276" s="9">
        <f>SUMIFS(Hoàn回库!E:E,Hoàn回库!G:G,B276,Hoàn回库!C:C,D276)+SUMIFS(Hoàn回库!F:F,Hoàn回库!G:G,B276,Hoàn回库!C:C,D276)</f>
        <v>70</v>
      </c>
      <c r="I276" s="9">
        <f>SUMIFS('Điều hàng调货'!E:E,'Điều hàng调货'!A:A,K276,'Điều hàng调货'!G:G,B276)*-1+SUMIFS('Điều hàng调货'!E:E,'Điều hàng调货'!A:A,K276,'Điều hàng调货'!H:H,B276)+SUMIFS('Điều hàng调货'!F:F,'Điều hàng调货'!A:A,K276,'Điều hàng调货'!G:G,B276)*-1+SUMIFS('Điều hàng调货'!F:F,'Điều hàng调货'!A:A,K276,'Điều hàng调货'!H:H,B276)</f>
        <v>0</v>
      </c>
      <c r="J276" s="9">
        <f t="shared" si="14"/>
        <v>0</v>
      </c>
      <c r="K276" s="9">
        <f>VLOOKUP($D276,SKU!$A:$I,3,FALSE)</f>
        <v>10047</v>
      </c>
      <c r="L276" s="9" t="str">
        <f>VLOOKUP($D276,SKU!$A:$I,2,FALSE)</f>
        <v>提瓦特工坊·原神水晶色纸</v>
      </c>
    </row>
    <row r="277" spans="1:12">
      <c r="A277" s="6"/>
      <c r="B277" s="81" t="s">
        <v>429</v>
      </c>
      <c r="C277" s="6" t="s">
        <v>428</v>
      </c>
      <c r="D277" s="6" t="s">
        <v>207</v>
      </c>
      <c r="E277" s="8">
        <f>SUMIFS(Xuất出库!D:D,Xuất出库!G:G,B277,Xuất出库!C:C,D277)</f>
        <v>5</v>
      </c>
      <c r="F277" s="9">
        <f>SUMIFS(Xuất出库!E:E,Xuất出库!G:G,B277,Xuất出库!C:C,D277)+SUMIFS(Xuất出库!F:F,Xuất出库!G:G,B277,Xuất出库!C:C,D277)</f>
        <v>5</v>
      </c>
      <c r="G277" s="6">
        <f>1</f>
        <v>1</v>
      </c>
      <c r="H277" s="9">
        <f>SUMIFS(Hoàn回库!E:E,Hoàn回库!G:G,B277,Hoàn回库!C:C,D277)+SUMIFS(Hoàn回库!F:F,Hoàn回库!G:G,B277,Hoàn回库!C:C,D277)</f>
        <v>2</v>
      </c>
      <c r="I277" s="9">
        <f>SUMIFS('Điều hàng调货'!E:E,'Điều hàng调货'!A:A,K277,'Điều hàng调货'!G:G,B277)*-1+SUMIFS('Điều hàng调货'!E:E,'Điều hàng调货'!A:A,K277,'Điều hàng调货'!H:H,B277)+SUMIFS('Điều hàng调货'!F:F,'Điều hàng调货'!A:A,K277,'Điều hàng调货'!G:G,B277)*-1+SUMIFS('Điều hàng调货'!F:F,'Điều hàng调货'!A:A,K277,'Điều hàng调货'!H:H,B277)</f>
        <v>0</v>
      </c>
      <c r="J277" s="9">
        <f t="shared" si="14"/>
        <v>2</v>
      </c>
      <c r="K277" s="9">
        <f>VLOOKUP($D277,SKU!$A:$I,3,FALSE)</f>
        <v>10046</v>
      </c>
      <c r="L277" s="9" t="str">
        <f>VLOOKUP($D277,SKU!$A:$I,2,FALSE)</f>
        <v>夜灯</v>
      </c>
    </row>
    <row r="278" spans="1:12">
      <c r="A278" s="6"/>
      <c r="B278" s="81" t="s">
        <v>429</v>
      </c>
      <c r="C278" s="6" t="s">
        <v>428</v>
      </c>
      <c r="D278" s="6" t="s">
        <v>131</v>
      </c>
      <c r="E278" s="8">
        <f>SUMIFS(Xuất出库!D:D,Xuất出库!G:G,B278,Xuất出库!C:C,D278)</f>
        <v>20</v>
      </c>
      <c r="F278" s="9">
        <f>SUMIFS(Xuất出库!E:E,Xuất出库!G:G,B278,Xuất出库!C:C,D278)+SUMIFS(Xuất出库!F:F,Xuất出库!G:G,B278,Xuất出库!C:C,D278)</f>
        <v>20</v>
      </c>
      <c r="G278" s="6">
        <f>1</f>
        <v>1</v>
      </c>
      <c r="H278" s="9">
        <f>SUMIFS(Hoàn回库!E:E,Hoàn回库!G:G,B278,Hoàn回库!C:C,D278)+SUMIFS(Hoàn回库!F:F,Hoàn回库!G:G,B278,Hoàn回库!C:C,D278)</f>
        <v>19</v>
      </c>
      <c r="I278" s="9">
        <f>SUMIFS('Điều hàng调货'!E:E,'Điều hàng调货'!A:A,K278,'Điều hàng调货'!G:G,B278)*-1+SUMIFS('Điều hàng调货'!E:E,'Điều hàng调货'!A:A,K278,'Điều hàng调货'!H:H,B278)+SUMIFS('Điều hàng调货'!F:F,'Điều hàng调货'!A:A,K278,'Điều hàng调货'!G:G,B278)*-1+SUMIFS('Điều hàng调货'!F:F,'Điều hàng调货'!A:A,K278,'Điều hàng调货'!H:H,B278)</f>
        <v>0</v>
      </c>
      <c r="J278" s="9">
        <f t="shared" si="14"/>
        <v>0</v>
      </c>
      <c r="K278" s="9">
        <f>VLOOKUP($D278,SKU!$A:$I,3,FALSE)</f>
        <v>10026</v>
      </c>
      <c r="L278" s="9" t="str">
        <f>VLOOKUP($D278,SKU!$A:$I,2,FALSE)</f>
        <v>星恋文创·恋与深空《晦明交错之间》亚克力相框卡</v>
      </c>
    </row>
    <row r="279" spans="1:12">
      <c r="A279" s="6"/>
      <c r="B279" s="81" t="s">
        <v>429</v>
      </c>
      <c r="C279" s="6" t="s">
        <v>428</v>
      </c>
      <c r="D279" s="6" t="s">
        <v>188</v>
      </c>
      <c r="E279" s="8">
        <f>SUMIFS(Xuất出库!D:D,Xuất出库!G:G,B279,Xuất出库!C:C,D279)</f>
        <v>15</v>
      </c>
      <c r="F279" s="9">
        <f>SUMIFS(Xuất出库!E:E,Xuất出库!G:G,B279,Xuất出库!C:C,D279)+SUMIFS(Xuất出库!F:F,Xuất出库!G:G,B279,Xuất出库!C:C,D279)</f>
        <v>165</v>
      </c>
      <c r="G279" s="6">
        <f>51+25</f>
        <v>76</v>
      </c>
      <c r="H279" s="9">
        <f>SUMIFS(Hoàn回库!E:E,Hoàn回库!G:G,B279,Hoàn回库!C:C,D279)+SUMIFS(Hoàn回库!F:F,Hoàn回库!G:G,B279,Hoàn回库!C:C,D279)</f>
        <v>89</v>
      </c>
      <c r="I279" s="9">
        <f>SUMIFS('Điều hàng调货'!E:E,'Điều hàng调货'!A:A,K279,'Điều hàng调货'!G:G,B279)*-1+SUMIFS('Điều hàng调货'!E:E,'Điều hàng调货'!A:A,K279,'Điều hàng调货'!H:H,B279)+SUMIFS('Điều hàng调货'!F:F,'Điều hàng调货'!A:A,K279,'Điều hàng调货'!G:G,B279)*-1+SUMIFS('Điều hàng调货'!F:F,'Điều hàng调货'!A:A,K279,'Điều hàng调货'!H:H,B279)</f>
        <v>0</v>
      </c>
      <c r="J279" s="9">
        <f t="shared" si="14"/>
        <v>0</v>
      </c>
      <c r="K279" s="9">
        <f>VLOOKUP($D279,SKU!$A:$I,3,FALSE)</f>
        <v>10040</v>
      </c>
      <c r="L279" s="9" t="str">
        <f>VLOOKUP($D279,SKU!$A:$I,2,FALSE)</f>
        <v>酷卡文化-线条小狗3弹</v>
      </c>
    </row>
    <row r="280" spans="1:12">
      <c r="A280" s="6"/>
      <c r="B280" s="81" t="s">
        <v>429</v>
      </c>
      <c r="C280" s="6" t="s">
        <v>428</v>
      </c>
      <c r="D280" s="6" t="s">
        <v>196</v>
      </c>
      <c r="E280" s="8">
        <f>SUMIFS(Xuất出库!D:D,Xuất出库!G:G,B280,Xuất出库!C:C,D280)</f>
        <v>5</v>
      </c>
      <c r="F280" s="9">
        <f>SUMIFS(Xuất出库!E:E,Xuất出库!G:G,B280,Xuất出库!C:C,D280)+SUMIFS(Xuất出库!F:F,Xuất出库!G:G,B280,Xuất出库!C:C,D280)</f>
        <v>80</v>
      </c>
      <c r="G280" s="6">
        <v>16</v>
      </c>
      <c r="H280" s="9">
        <f>SUMIFS(Hoàn回库!E:E,Hoàn回库!G:G,B280,Hoàn回库!C:C,D280)+SUMIFS(Hoàn回库!F:F,Hoàn回库!G:G,B280,Hoàn回库!C:C,D280)</f>
        <v>0</v>
      </c>
      <c r="I280" s="9">
        <f>SUMIFS('Điều hàng调货'!E:E,'Điều hàng调货'!A:A,K280,'Điều hàng调货'!G:G,B280)*-1+SUMIFS('Điều hàng调货'!E:E,'Điều hàng调货'!A:A,K280,'Điều hàng调货'!H:H,B280)+SUMIFS('Điều hàng调货'!F:F,'Điều hàng调货'!A:A,K280,'Điều hàng调货'!G:G,B280)*-1+SUMIFS('Điều hàng调货'!F:F,'Điều hàng调货'!A:A,K280,'Điều hàng调货'!H:H,B280)</f>
        <v>-16</v>
      </c>
      <c r="J280" s="9">
        <f t="shared" si="14"/>
        <v>48</v>
      </c>
      <c r="K280" s="9">
        <f>VLOOKUP($D280,SKU!$A:$I,3,FALSE)</f>
        <v>10042</v>
      </c>
      <c r="L280" s="9" t="str">
        <f>VLOOKUP($D280,SKU!$A:$I,2,FALSE)</f>
        <v>黄油小熊系列收藏卡第二弹 小熊的观察日记</v>
      </c>
    </row>
    <row r="281" spans="1:12">
      <c r="A281" s="6"/>
      <c r="B281" s="81" t="s">
        <v>429</v>
      </c>
      <c r="C281" s="6" t="s">
        <v>428</v>
      </c>
      <c r="D281" s="6" t="s">
        <v>246</v>
      </c>
      <c r="E281" s="8">
        <f>SUMIFS(Xuất出库!D:D,Xuất出库!G:G,B281,Xuất出库!C:C,D281)</f>
        <v>90</v>
      </c>
      <c r="F281" s="9">
        <f>SUMIFS(Xuất出库!E:E,Xuất出库!G:G,B281,Xuất出库!C:C,D281)+SUMIFS(Xuất出库!F:F,Xuất出库!G:G,B281,Xuất出库!C:C,D281)</f>
        <v>90</v>
      </c>
      <c r="G281" s="6">
        <v>89</v>
      </c>
      <c r="H281" s="9">
        <f>SUMIFS(Hoàn回库!E:E,Hoàn回库!G:G,B281,Hoàn回库!C:C,D281)+SUMIFS(Hoàn回库!F:F,Hoàn回库!G:G,B281,Hoàn回库!C:C,D281)</f>
        <v>1</v>
      </c>
      <c r="I281" s="9">
        <f>SUMIFS('Điều hàng调货'!E:E,'Điều hàng调货'!A:A,K281,'Điều hàng调货'!G:G,B281)*-1+SUMIFS('Điều hàng调货'!E:E,'Điều hàng调货'!A:A,K281,'Điều hàng调货'!H:H,B281)+SUMIFS('Điều hàng调货'!F:F,'Điều hàng调货'!A:A,K281,'Điều hàng调货'!G:G,B281)*-1+SUMIFS('Điều hàng调货'!F:F,'Điều hàng调货'!A:A,K281,'Điều hàng调货'!H:H,B281)</f>
        <v>0</v>
      </c>
      <c r="J281" s="9">
        <f t="shared" si="14"/>
        <v>0</v>
      </c>
      <c r="K281" s="9">
        <f>VLOOKUP($D281,SKU!$A:$I,3,FALSE)</f>
        <v>10059</v>
      </c>
      <c r="L281" s="9" t="str">
        <f>VLOOKUP($D281,SKU!$A:$I,2,FALSE)</f>
        <v>鬼灭之刃·炽阳文创《未眠之夜 》限定双闪色纸</v>
      </c>
    </row>
    <row r="282" spans="1:12">
      <c r="A282" s="6"/>
      <c r="B282" s="81" t="s">
        <v>429</v>
      </c>
      <c r="C282" s="6" t="s">
        <v>428</v>
      </c>
      <c r="D282" s="6" t="s">
        <v>234</v>
      </c>
      <c r="E282" s="8">
        <f>SUMIFS(Xuất出库!D:D,Xuất出库!G:G,B282,Xuất出库!C:C,D282)</f>
        <v>8</v>
      </c>
      <c r="F282" s="9">
        <f>SUMIFS(Xuất出库!E:E,Xuất出库!G:G,B282,Xuất出库!C:C,D282)+SUMIFS(Xuất出库!F:F,Xuất出库!G:G,B282,Xuất出库!C:C,D282)</f>
        <v>40</v>
      </c>
      <c r="G282" s="6">
        <f>2+2+20+1</f>
        <v>25</v>
      </c>
      <c r="H282" s="9">
        <f>SUMIFS(Hoàn回库!E:E,Hoàn回库!G:G,B282,Hoàn回库!C:C,D282)+SUMIFS(Hoàn回库!F:F,Hoàn回库!G:G,B282,Hoàn回库!C:C,D282)</f>
        <v>15</v>
      </c>
      <c r="I282" s="9">
        <f>SUMIFS('Điều hàng调货'!E:E,'Điều hàng调货'!A:A,K282,'Điều hàng调货'!G:G,B282)*-1+SUMIFS('Điều hàng调货'!E:E,'Điều hàng调货'!A:A,K282,'Điều hàng调货'!H:H,B282)+SUMIFS('Điều hàng调货'!F:F,'Điều hàng调货'!A:A,K282,'Điều hàng调货'!G:G,B282)*-1+SUMIFS('Điều hàng调货'!F:F,'Điều hàng调货'!A:A,K282,'Điều hàng调货'!H:H,B282)</f>
        <v>0</v>
      </c>
      <c r="J282" s="9">
        <f t="shared" si="14"/>
        <v>0</v>
      </c>
      <c r="K282" s="9">
        <f>VLOOKUP($D282,SKU!$A:$I,3,FALSE)</f>
        <v>10055</v>
      </c>
      <c r="L282" s="9" t="str">
        <f>VLOOKUP($D282,SKU!$A:$I,2,FALSE)</f>
        <v>绘卷文创 - 梦境入画【鬼灭之刃系列收藏卡砖】</v>
      </c>
    </row>
    <row r="283" spans="1:12">
      <c r="A283" s="6"/>
      <c r="B283" s="81" t="s">
        <v>429</v>
      </c>
      <c r="C283" s="6" t="s">
        <v>428</v>
      </c>
      <c r="D283" s="6" t="s">
        <v>91</v>
      </c>
      <c r="E283" s="8">
        <f>SUMIFS(Xuất出库!D:D,Xuất出库!G:G,B283,Xuất出库!C:C,D283)</f>
        <v>5</v>
      </c>
      <c r="F283" s="9">
        <f>SUMIFS(Xuất出库!E:E,Xuất出库!G:G,B283,Xuất出库!C:C,D283)+SUMIFS(Xuất出库!F:F,Xuất出库!G:G,B283,Xuất出库!C:C,D283)</f>
        <v>50</v>
      </c>
      <c r="G283" s="6">
        <f>10+10</f>
        <v>20</v>
      </c>
      <c r="H283" s="9">
        <f>SUMIFS(Hoàn回库!E:E,Hoàn回库!G:G,B283,Hoàn回库!C:C,D283)+SUMIFS(Hoàn回库!F:F,Hoàn回库!G:G,B283,Hoàn回库!C:C,D283)</f>
        <v>0</v>
      </c>
      <c r="I283" s="9">
        <f>SUMIFS('Điều hàng调货'!E:E,'Điều hàng调货'!A:A,K283,'Điều hàng调货'!G:G,B283)*-1+SUMIFS('Điều hàng调货'!E:E,'Điều hàng调货'!A:A,K283,'Điều hàng调货'!H:H,B283)+SUMIFS('Điều hàng调货'!F:F,'Điều hàng调货'!A:A,K283,'Điều hàng调货'!G:G,B283)*-1+SUMIFS('Điều hàng调货'!F:F,'Điều hàng调货'!A:A,K283,'Điều hàng调货'!H:H,B283)</f>
        <v>-30</v>
      </c>
      <c r="J283" s="9">
        <f t="shared" si="14"/>
        <v>0</v>
      </c>
      <c r="K283" s="9">
        <f>VLOOKUP($D283,SKU!$A:$I,3,FALSE)</f>
        <v>10016</v>
      </c>
      <c r="L283" s="9" t="str">
        <f>VLOOKUP($D283,SKU!$A:$I,2,FALSE)</f>
        <v>思梨普文创《hey!国王陛下》集换式艺术家典藏卡</v>
      </c>
    </row>
    <row r="284" spans="1:12">
      <c r="A284" s="6"/>
      <c r="B284" s="81" t="s">
        <v>429</v>
      </c>
      <c r="C284" s="6" t="s">
        <v>428</v>
      </c>
      <c r="D284" s="6" t="s">
        <v>231</v>
      </c>
      <c r="E284" s="8">
        <f>SUMIFS(Xuất出库!D:D,Xuất出库!G:G,B284,Xuất出库!C:C,D284)</f>
        <v>1</v>
      </c>
      <c r="F284" s="9">
        <f>SUMIFS(Xuất出库!E:E,Xuất出库!G:G,B284,Xuất出库!C:C,D284)+SUMIFS(Xuất出库!F:F,Xuất出库!G:G,B284,Xuất出库!C:C,D284)</f>
        <v>1</v>
      </c>
      <c r="G284" s="6">
        <v>1</v>
      </c>
      <c r="H284" s="9">
        <f>SUMIFS(Hoàn回库!E:E,Hoàn回库!G:G,B284,Hoàn回库!C:C,D284)+SUMIFS(Hoàn回库!F:F,Hoàn回库!G:G,B284,Hoàn回库!C:C,D284)</f>
        <v>0</v>
      </c>
      <c r="I284" s="9">
        <f>SUMIFS('Điều hàng调货'!E:E,'Điều hàng调货'!A:A,K284,'Điều hàng调货'!G:G,B284)*-1+SUMIFS('Điều hàng调货'!E:E,'Điều hàng调货'!A:A,K284,'Điều hàng调货'!H:H,B284)+SUMIFS('Điều hàng调货'!F:F,'Điều hàng调货'!A:A,K284,'Điều hàng调货'!G:G,B284)*-1+SUMIFS('Điều hàng调货'!F:F,'Điều hàng调货'!A:A,K284,'Điều hàng调货'!H:H,B284)</f>
        <v>0</v>
      </c>
      <c r="J284" s="9">
        <f t="shared" si="14"/>
        <v>0</v>
      </c>
      <c r="K284" s="9">
        <f>VLOOKUP($D284,SKU!$A:$I,3,FALSE)</f>
        <v>10054</v>
      </c>
      <c r="L284" s="9" t="str">
        <f>VLOOKUP($D284,SKU!$A:$I,2,FALSE)</f>
        <v>太阳能招财猫</v>
      </c>
    </row>
    <row r="285" spans="1:12">
      <c r="A285" s="6"/>
      <c r="B285" s="81" t="s">
        <v>429</v>
      </c>
      <c r="C285" s="6" t="s">
        <v>428</v>
      </c>
      <c r="D285" s="6" t="s">
        <v>263</v>
      </c>
      <c r="E285" s="8">
        <f>SUMIFS(Xuất出库!D:D,Xuất出库!G:G,B285,Xuất出库!C:C,D285)</f>
        <v>10</v>
      </c>
      <c r="F285" s="9">
        <f>SUMIFS(Xuất出库!E:E,Xuất出库!G:G,B285,Xuất出库!C:C,D285)+SUMIFS(Xuất出库!F:F,Xuất出库!G:G,B285,Xuất出库!C:C,D285)</f>
        <v>120</v>
      </c>
      <c r="G285" s="6">
        <v>120</v>
      </c>
      <c r="H285" s="9">
        <f>SUMIFS(Hoàn回库!E:E,Hoàn回库!G:G,B285,Hoàn回库!C:C,D285)+SUMIFS(Hoàn回库!F:F,Hoàn回库!G:G,B285,Hoàn回库!C:C,D285)</f>
        <v>0</v>
      </c>
      <c r="I285" s="9">
        <f>SUMIFS('Điều hàng调货'!E:E,'Điều hàng调货'!A:A,K285,'Điều hàng调货'!G:G,B285)*-1+SUMIFS('Điều hàng调货'!E:E,'Điều hàng调货'!A:A,K285,'Điều hàng调货'!H:H,B285)+SUMIFS('Điều hàng调货'!F:F,'Điều hàng调货'!A:A,K285,'Điều hàng调货'!G:G,B285)*-1+SUMIFS('Điều hàng调货'!F:F,'Điều hàng调货'!A:A,K285,'Điều hàng调货'!H:H,B285)</f>
        <v>0</v>
      </c>
      <c r="J285" s="9">
        <f t="shared" si="14"/>
        <v>0</v>
      </c>
      <c r="K285" s="9">
        <f>VLOOKUP($D285,SKU!$A:$I,3,FALSE)</f>
        <v>10065</v>
      </c>
      <c r="L285" s="9" t="str">
        <f>VLOOKUP($D285,SKU!$A:$I,2,FALSE)</f>
        <v>【行星文创·上上签·命运答案】X全新原神系列上上签</v>
      </c>
    </row>
    <row r="286" spans="1:12">
      <c r="A286" s="6"/>
      <c r="B286" s="81" t="s">
        <v>429</v>
      </c>
      <c r="C286" s="6" t="s">
        <v>428</v>
      </c>
      <c r="D286" s="6" t="s">
        <v>255</v>
      </c>
      <c r="E286" s="8">
        <f>SUMIFS(Xuất出库!D:D,Xuất出库!G:G,B286,Xuất出库!C:C,D286)</f>
        <v>10</v>
      </c>
      <c r="F286" s="9">
        <f>SUMIFS(Xuất出库!E:E,Xuất出库!G:G,B286,Xuất出库!C:C,D286)+SUMIFS(Xuất出库!F:F,Xuất出库!G:G,B286,Xuất出库!C:C,D286)</f>
        <v>200</v>
      </c>
      <c r="G286" s="6"/>
      <c r="H286" s="9">
        <f>SUMIFS(Hoàn回库!E:E,Hoàn回库!G:G,B286,Hoàn回库!C:C,D286)+SUMIFS(Hoàn回库!F:F,Hoàn回库!G:G,B286,Hoàn回库!C:C,D286)</f>
        <v>0</v>
      </c>
      <c r="I286" s="9">
        <f>SUMIFS('Điều hàng调货'!E:E,'Điều hàng调货'!A:A,K286,'Điều hàng调货'!G:G,B286)*-1+SUMIFS('Điều hàng调货'!E:E,'Điều hàng调货'!A:A,K286,'Điều hàng调货'!H:H,B286)+SUMIFS('Điều hàng调货'!F:F,'Điều hàng调货'!A:A,K286,'Điều hàng调货'!G:G,B286)*-1+SUMIFS('Điều hàng调货'!F:F,'Điều hàng调货'!A:A,K286,'Điều hàng调货'!H:H,B286)</f>
        <v>0</v>
      </c>
      <c r="J286" s="9">
        <f t="shared" si="14"/>
        <v>200</v>
      </c>
      <c r="K286" s="9">
        <f>VLOOKUP($D286,SKU!$A:$I,3,FALSE)</f>
        <v>10062</v>
      </c>
      <c r="L286" s="9" t="str">
        <f>VLOOKUP($D286,SKU!$A:$I,2,FALSE)</f>
        <v>Mobile Legends: Bang Bang-Collectible Cards-Hand of Destiny-001A-SEA</v>
      </c>
    </row>
    <row r="287" spans="1:12">
      <c r="A287" s="6"/>
      <c r="B287" s="81" t="s">
        <v>429</v>
      </c>
      <c r="C287" s="6" t="s">
        <v>428</v>
      </c>
      <c r="D287" s="6" t="s">
        <v>260</v>
      </c>
      <c r="E287" s="8">
        <f>SUMIFS(Xuất出库!D:D,Xuất出库!G:G,B287,Xuất出库!C:C,D287)</f>
        <v>5</v>
      </c>
      <c r="F287" s="9">
        <f>SUMIFS(Xuất出库!E:E,Xuất出库!G:G,B287,Xuất出库!C:C,D287)+SUMIFS(Xuất出库!F:F,Xuất出库!G:G,B287,Xuất出库!C:C,D287)</f>
        <v>30</v>
      </c>
      <c r="G287" s="6">
        <f>6+12+25+1+5+1</f>
        <v>50</v>
      </c>
      <c r="H287" s="9">
        <f>SUMIFS(Hoàn回库!E:E,Hoàn回库!G:G,B287,Hoàn回库!C:C,D287)+SUMIFS(Hoàn回库!F:F,Hoàn回库!G:G,B287,Hoàn回库!C:C,D287)</f>
        <v>0</v>
      </c>
      <c r="I287" s="9">
        <f>SUMIFS('Điều hàng调货'!E:E,'Điều hàng调货'!A:A,K287,'Điều hàng调货'!G:G,B287)*-1+SUMIFS('Điều hàng调货'!E:E,'Điều hàng调货'!A:A,K287,'Điều hàng调货'!H:H,B287)+SUMIFS('Điều hàng调货'!F:F,'Điều hàng调货'!A:A,K287,'Điều hàng调货'!G:G,B287)*-1+SUMIFS('Điều hàng调货'!F:F,'Điều hàng调货'!A:A,K287,'Điều hàng调货'!H:H,B287)</f>
        <v>20</v>
      </c>
      <c r="J287" s="9">
        <f t="shared" si="14"/>
        <v>0</v>
      </c>
      <c r="K287" s="9">
        <f>VLOOKUP($D287,SKU!$A:$I,3,FALSE)</f>
        <v>10064</v>
      </c>
      <c r="L287" s="9" t="str">
        <f>VLOOKUP($D287,SKU!$A:$I,2,FALSE)</f>
        <v>源宇宙崩铁色纸</v>
      </c>
    </row>
    <row r="288" spans="1:12">
      <c r="A288" s="6"/>
      <c r="B288" s="81" t="s">
        <v>429</v>
      </c>
      <c r="C288" s="6" t="s">
        <v>428</v>
      </c>
      <c r="D288" s="12" t="s">
        <v>293</v>
      </c>
      <c r="E288" s="8">
        <f>SUMIFS(Xuất出库!D:D,Xuất出库!G:G,B288,Xuất出库!C:C,D288)</f>
        <v>15</v>
      </c>
      <c r="F288" s="9">
        <f>SUMIFS(Xuất出库!E:E,Xuất出库!G:G,B288,Xuất出库!C:C,D288)+SUMIFS(Xuất出库!F:F,Xuất出库!G:G,B288,Xuất出库!C:C,D288)</f>
        <v>150</v>
      </c>
      <c r="G288" s="6">
        <f>29+10+10</f>
        <v>49</v>
      </c>
      <c r="H288" s="9">
        <f>SUMIFS(Hoàn回库!E:E,Hoàn回库!G:G,B288,Hoàn回库!C:C,D288)+SUMIFS(Hoàn回库!F:F,Hoàn回库!G:G,B288,Hoàn回库!C:C,D288)</f>
        <v>0</v>
      </c>
      <c r="I288" s="9">
        <f>SUMIFS('Điều hàng调货'!E:E,'Điều hàng调货'!A:A,K288,'Điều hàng调货'!G:G,B288)*-1+SUMIFS('Điều hàng调货'!E:E,'Điều hàng调货'!A:A,K288,'Điều hàng调货'!H:H,B288)+SUMIFS('Điều hàng调货'!F:F,'Điều hàng调货'!A:A,K288,'Điều hàng调货'!G:G,B288)*-1+SUMIFS('Điều hàng调货'!F:F,'Điều hàng调货'!A:A,K288,'Điều hàng调货'!H:H,B288)</f>
        <v>-101</v>
      </c>
      <c r="J288" s="9">
        <f t="shared" si="14"/>
        <v>0</v>
      </c>
      <c r="K288" s="9">
        <f>VLOOKUP($D288,SKU!$A:$I,3,FALSE)</f>
        <v>10076</v>
      </c>
      <c r="L288" s="9" t="str">
        <f>VLOOKUP($D288,SKU!$A:$I,2,FALSE)</f>
        <v>【Aikaho】鬼灭之刃第四弹 集结 【DS-04 Muster】</v>
      </c>
    </row>
    <row r="289" spans="1:12">
      <c r="A289" s="6"/>
      <c r="B289" s="81" t="s">
        <v>429</v>
      </c>
      <c r="C289" s="6" t="s">
        <v>428</v>
      </c>
      <c r="D289" s="12" t="s">
        <v>280</v>
      </c>
      <c r="E289" s="8">
        <f>SUMIFS(Xuất出库!D:D,Xuất出库!G:G,B289,Xuất出库!C:C,D289)</f>
        <v>5</v>
      </c>
      <c r="F289" s="9">
        <f>SUMIFS(Xuất出库!E:E,Xuất出库!G:G,B289,Xuất出库!C:C,D289)+SUMIFS(Xuất出库!F:F,Xuất出库!G:G,B289,Xuất出库!C:C,D289)</f>
        <v>90</v>
      </c>
      <c r="G289" s="6">
        <f>1</f>
        <v>1</v>
      </c>
      <c r="H289" s="9">
        <f>SUMIFS(Hoàn回库!E:E,Hoàn回库!G:G,B289,Hoàn回库!C:C,D289)+SUMIFS(Hoàn回库!F:F,Hoàn回库!G:G,B289,Hoàn回库!C:C,D289)</f>
        <v>0</v>
      </c>
      <c r="I289" s="9">
        <f>SUMIFS('Điều hàng调货'!E:E,'Điều hàng调货'!A:A,K289,'Điều hàng调货'!G:G,B289)*-1+SUMIFS('Điều hàng调货'!E:E,'Điều hàng调货'!A:A,K289,'Điều hàng调货'!H:H,B289)+SUMIFS('Điều hàng调货'!F:F,'Điều hàng调货'!A:A,K289,'Điều hàng调货'!G:G,B289)*-1+SUMIFS('Điều hàng调货'!F:F,'Điều hàng调货'!A:A,K289,'Điều hàng调货'!H:H,B289)</f>
        <v>0</v>
      </c>
      <c r="J289" s="9">
        <f t="shared" si="14"/>
        <v>89</v>
      </c>
      <c r="K289" s="9">
        <f>VLOOKUP($D289,SKU!$A:$I,3,FALSE)</f>
        <v>10071</v>
      </c>
      <c r="L289" s="9" t="str">
        <f>VLOOKUP($D289,SKU!$A:$I,2,FALSE)</f>
        <v>咒术回战-术士收藏卡-高专篇</v>
      </c>
    </row>
    <row r="290" spans="1:12">
      <c r="A290" s="6"/>
      <c r="B290" s="81" t="s">
        <v>429</v>
      </c>
      <c r="C290" s="6" t="s">
        <v>428</v>
      </c>
      <c r="D290" s="12" t="s">
        <v>296</v>
      </c>
      <c r="E290" s="8">
        <f>SUMIFS(Xuất出库!D:D,Xuất出库!G:G,B290,Xuất出库!C:C,D290)</f>
        <v>30</v>
      </c>
      <c r="F290" s="9">
        <f>SUMIFS(Xuất出库!E:E,Xuất出库!G:G,B290,Xuất出库!C:C,D290)+SUMIFS(Xuất出库!F:F,Xuất出库!G:G,B290,Xuất出库!C:C,D290)</f>
        <v>30</v>
      </c>
      <c r="G290" s="6">
        <f>1+2+6</f>
        <v>9</v>
      </c>
      <c r="H290" s="9">
        <f>SUMIFS(Hoàn回库!E:E,Hoàn回库!G:G,B290,Hoàn回库!C:C,D290)+SUMIFS(Hoàn回库!F:F,Hoàn回库!G:G,B290,Hoàn回库!C:C,D290)</f>
        <v>0</v>
      </c>
      <c r="I290" s="9">
        <f>SUMIFS('Điều hàng调货'!E:E,'Điều hàng调货'!A:A,K290,'Điều hàng调货'!G:G,B290)*-1+SUMIFS('Điều hàng调货'!E:E,'Điều hàng调货'!A:A,K290,'Điều hàng调货'!H:H,B290)+SUMIFS('Điều hàng调货'!F:F,'Điều hàng调货'!A:A,K290,'Điều hàng调货'!G:G,B290)*-1+SUMIFS('Điều hàng调货'!F:F,'Điều hàng调货'!A:A,K290,'Điều hàng调货'!H:H,B290)</f>
        <v>-14</v>
      </c>
      <c r="J290" s="9">
        <f t="shared" si="14"/>
        <v>7</v>
      </c>
      <c r="K290" s="9">
        <f>VLOOKUP($D290,SKU!$A:$I,3,FALSE)</f>
        <v>10077</v>
      </c>
      <c r="L290" s="9" t="str">
        <f>VLOOKUP($D290,SKU!$A:$I,2,FALSE)</f>
        <v>多多文创原神第二弹卡砖—神眸再现</v>
      </c>
    </row>
    <row r="291" spans="1:12">
      <c r="A291" s="6"/>
      <c r="B291" s="81" t="s">
        <v>429</v>
      </c>
      <c r="C291" s="6" t="s">
        <v>428</v>
      </c>
      <c r="D291" s="12" t="s">
        <v>310</v>
      </c>
      <c r="E291" s="8">
        <f>SUMIFS(Xuất出库!D:D,Xuất出库!G:G,B291,Xuất出库!C:C,D291)</f>
        <v>30</v>
      </c>
      <c r="F291" s="9">
        <f>SUMIFS(Xuất出库!E:E,Xuất出库!G:G,B291,Xuất出库!C:C,D291)+SUMIFS(Xuất出库!F:F,Xuất出库!G:G,B291,Xuất出库!C:C,D291)</f>
        <v>180</v>
      </c>
      <c r="G291" s="6">
        <f>32+6+26+10+13+19+1+1+16+30</f>
        <v>154</v>
      </c>
      <c r="H291" s="9">
        <f>SUMIFS(Hoàn回库!E:E,Hoàn回库!G:G,B291,Hoàn回库!C:C,D291)+SUMIFS(Hoàn回库!F:F,Hoàn回库!G:G,B291,Hoàn回库!C:C,D291)</f>
        <v>0</v>
      </c>
      <c r="I291" s="9">
        <f>SUMIFS('Điều hàng调货'!E:E,'Điều hàng调货'!A:A,K291,'Điều hàng调货'!G:G,B291)*-1+SUMIFS('Điều hàng调货'!E:E,'Điều hàng调货'!A:A,K291,'Điều hàng调货'!H:H,B291)+SUMIFS('Điều hàng调货'!F:F,'Điều hàng调货'!A:A,K291,'Điều hàng调货'!G:G,B291)*-1+SUMIFS('Điều hàng调货'!F:F,'Điều hàng调货'!A:A,K291,'Điều hàng调货'!H:H,B291)</f>
        <v>-2</v>
      </c>
      <c r="J291" s="9">
        <f t="shared" si="14"/>
        <v>24</v>
      </c>
      <c r="K291" s="9">
        <f>VLOOKUP($D291,SKU!$A:$I,3,FALSE)</f>
        <v>10082</v>
      </c>
      <c r="L291" s="9" t="str">
        <f>VLOOKUP($D291,SKU!$A:$I,2,FALSE)</f>
        <v>吾羽文创-全亚克力正方形原神色纸</v>
      </c>
    </row>
    <row r="292" spans="1:12">
      <c r="A292" s="6"/>
      <c r="B292" s="81" t="s">
        <v>429</v>
      </c>
      <c r="C292" s="6" t="s">
        <v>428</v>
      </c>
      <c r="D292" s="12" t="s">
        <v>290</v>
      </c>
      <c r="E292" s="8">
        <f>SUMIFS(Xuất出库!D:D,Xuất出库!G:G,B292,Xuất出库!C:C,D292)</f>
        <v>0</v>
      </c>
      <c r="F292" s="9">
        <f>SUMIFS(Xuất出库!E:E,Xuất出库!G:G,B292,Xuất出库!C:C,D292)+SUMIFS(Xuất出库!F:F,Xuất出库!G:G,B292,Xuất出库!C:C,D292)</f>
        <v>0</v>
      </c>
      <c r="G292" s="6">
        <v>2</v>
      </c>
      <c r="H292" s="9">
        <f>SUMIFS(Hoàn回库!E:E,Hoàn回库!G:G,B292,Hoàn回库!C:C,D292)+SUMIFS(Hoàn回库!F:F,Hoàn回库!G:G,B292,Hoàn回库!C:C,D292)</f>
        <v>0</v>
      </c>
      <c r="I292" s="9">
        <f>SUMIFS('Điều hàng调货'!E:E,'Điều hàng调货'!A:A,K292,'Điều hàng调货'!G:G,B292)*-1+SUMIFS('Điều hàng调货'!E:E,'Điều hàng调货'!A:A,K292,'Điều hàng调货'!H:H,B292)+SUMIFS('Điều hàng调货'!F:F,'Điều hàng调货'!A:A,K292,'Điều hàng调货'!G:G,B292)*-1+SUMIFS('Điều hàng调货'!F:F,'Điều hàng调货'!A:A,K292,'Điều hàng调货'!H:H,B292)</f>
        <v>2</v>
      </c>
      <c r="J292" s="9">
        <f t="shared" si="14"/>
        <v>0</v>
      </c>
      <c r="K292" s="9">
        <f>VLOOKUP($D292,SKU!$A:$I,3,FALSE)</f>
        <v>10075</v>
      </c>
      <c r="L292" s="9" t="str">
        <f>VLOOKUP($D292,SKU!$A:$I,2,FALSE)</f>
        <v>《万卡卡文创》鬼灭之刃日轮破晓第一弹</v>
      </c>
    </row>
    <row r="293" spans="1:12">
      <c r="A293" s="6"/>
      <c r="B293" s="81" t="s">
        <v>429</v>
      </c>
      <c r="C293" s="6" t="s">
        <v>428</v>
      </c>
      <c r="D293" s="12" t="s">
        <v>322</v>
      </c>
      <c r="E293" s="8">
        <f>SUMIFS(Xuất出库!D:D,Xuất出库!G:G,B293,Xuất出库!C:C,D293)</f>
        <v>5</v>
      </c>
      <c r="F293" s="9">
        <f>SUMIFS(Xuất出库!E:E,Xuất出库!G:G,B293,Xuất出库!C:C,D293)+SUMIFS(Xuất出库!F:F,Xuất出库!G:G,B293,Xuất出库!C:C,D293)</f>
        <v>180</v>
      </c>
      <c r="G293" s="6">
        <f>10</f>
        <v>10</v>
      </c>
      <c r="H293" s="9">
        <f>SUMIFS(Hoàn回库!E:E,Hoàn回库!G:G,B293,Hoàn回库!C:C,D293)+SUMIFS(Hoàn回库!F:F,Hoàn回库!G:G,B293,Hoàn回库!C:C,D293)</f>
        <v>0</v>
      </c>
      <c r="I293" s="9">
        <f>SUMIFS('Điều hàng调货'!E:E,'Điều hàng调货'!A:A,K293,'Điều hàng调货'!G:G,B293)*-1+SUMIFS('Điều hàng调货'!E:E,'Điều hàng调货'!A:A,K293,'Điều hàng调货'!H:H,B293)+SUMIFS('Điều hàng调货'!F:F,'Điều hàng调货'!A:A,K293,'Điều hàng调货'!G:G,B293)*-1+SUMIFS('Điều hàng调货'!F:F,'Điều hàng调货'!A:A,K293,'Điều hàng调货'!H:H,B293)</f>
        <v>0</v>
      </c>
      <c r="J293" s="9">
        <f t="shared" si="14"/>
        <v>170</v>
      </c>
      <c r="K293" s="9">
        <f>VLOOKUP($D293,SKU!$A:$I,3,FALSE)</f>
        <v>10087</v>
      </c>
      <c r="L293" s="9" t="str">
        <f>VLOOKUP($D293,SKU!$A:$I,2,FALSE)</f>
        <v>世界杯足球2026</v>
      </c>
    </row>
    <row r="294" spans="1:12">
      <c r="A294" s="6"/>
      <c r="B294" s="81" t="s">
        <v>429</v>
      </c>
      <c r="C294" s="6" t="s">
        <v>428</v>
      </c>
      <c r="D294" s="12" t="s">
        <v>327</v>
      </c>
      <c r="E294" s="8">
        <f>SUMIFS(Xuất出库!D:D,Xuất出库!G:G,B294,Xuất出库!C:C,D294)</f>
        <v>0</v>
      </c>
      <c r="F294" s="9">
        <f>SUMIFS(Xuất出库!E:E,Xuất出库!G:G,B294,Xuất出库!C:C,D294)+SUMIFS(Xuất出库!F:F,Xuất出库!G:G,B294,Xuất出库!C:C,D294)</f>
        <v>0</v>
      </c>
      <c r="G294" s="16">
        <f>14+14</f>
        <v>28</v>
      </c>
      <c r="H294" s="9">
        <f>SUMIFS(Hoàn回库!E:E,Hoàn回库!G:G,B294,Hoàn回库!C:C,D294)+SUMIFS(Hoàn回库!F:F,Hoàn回库!G:G,B294,Hoàn回库!C:C,D294)</f>
        <v>0</v>
      </c>
      <c r="I294" s="9">
        <f>SUMIFS('Điều hàng调货'!E:E,'Điều hàng调货'!A:A,K294,'Điều hàng调货'!G:G,B294)*-1+SUMIFS('Điều hàng调货'!E:E,'Điều hàng调货'!A:A,K294,'Điều hàng调货'!H:H,B294)+SUMIFS('Điều hàng调货'!F:F,'Điều hàng调货'!A:A,K294,'Điều hàng调货'!G:G,B294)*-1+SUMIFS('Điều hàng调货'!F:F,'Điều hàng调货'!A:A,K294,'Điều hàng调货'!H:H,B294)</f>
        <v>28</v>
      </c>
      <c r="J294" s="9">
        <f t="shared" ref="J294:J304" si="15">F294-G294-H294+I294</f>
        <v>0</v>
      </c>
      <c r="K294" s="9">
        <f>VLOOKUP($D294,SKU!$A:$I,3,FALSE)</f>
        <v>10089</v>
      </c>
      <c r="L294" s="9" t="str">
        <f>VLOOKUP($D294,SKU!$A:$I,2,FALSE)</f>
        <v>星火线条小狗</v>
      </c>
    </row>
    <row r="295" spans="1:12">
      <c r="A295" s="6"/>
      <c r="B295" s="81" t="s">
        <v>429</v>
      </c>
      <c r="C295" s="6" t="s">
        <v>428</v>
      </c>
      <c r="D295" s="12" t="s">
        <v>364</v>
      </c>
      <c r="E295" s="8">
        <f>SUMIFS(Xuất出库!D:D,Xuất出库!G:G,B295,Xuất出库!C:C,D295)</f>
        <v>10</v>
      </c>
      <c r="F295" s="9">
        <f>SUMIFS(Xuất出库!E:E,Xuất出库!G:G,B295,Xuất出库!C:C,D295)+SUMIFS(Xuất出库!F:F,Xuất出库!G:G,B295,Xuất出库!C:C,D295)</f>
        <v>130</v>
      </c>
      <c r="G295" s="12">
        <f>27+14</f>
        <v>41</v>
      </c>
      <c r="H295" s="9">
        <f>SUMIFS(Hoàn回库!E:E,Hoàn回库!G:G,B295,Hoàn回库!C:C,D295)+SUMIFS(Hoàn回库!F:F,Hoàn回库!G:G,B295,Hoàn回库!C:C,D295)</f>
        <v>0</v>
      </c>
      <c r="I295" s="9">
        <f>SUMIFS('Điều hàng调货'!E:E,'Điều hàng调货'!A:A,K295,'Điều hàng调货'!G:G,B295)*-1+SUMIFS('Điều hàng调货'!E:E,'Điều hàng调货'!A:A,K295,'Điều hàng调货'!H:H,B295)+SUMIFS('Điều hàng调货'!F:F,'Điều hàng调货'!A:A,K295,'Điều hàng调货'!G:G,B295)*-1+SUMIFS('Điều hàng调货'!F:F,'Điều hàng调货'!A:A,K295,'Điều hàng调货'!H:H,B295)</f>
        <v>-52</v>
      </c>
      <c r="J295" s="9">
        <f t="shared" si="15"/>
        <v>37</v>
      </c>
      <c r="K295" s="9">
        <f>VLOOKUP($D295,SKU!$A:$I,3,FALSE)</f>
        <v>10102</v>
      </c>
      <c r="L295" s="9" t="str">
        <f>VLOOKUP($D295,SKU!$A:$I,2,FALSE)</f>
        <v>麒麟文创航海王第一弹-仙道天下</v>
      </c>
    </row>
    <row r="296" spans="1:12">
      <c r="A296" s="6"/>
      <c r="B296" s="81" t="s">
        <v>429</v>
      </c>
      <c r="C296" s="6" t="s">
        <v>428</v>
      </c>
      <c r="D296" s="12" t="s">
        <v>299</v>
      </c>
      <c r="E296" s="8">
        <f>SUMIFS(Xuất出库!D:D,Xuất出库!G:G,B296,Xuất出库!C:C,D296)</f>
        <v>10</v>
      </c>
      <c r="F296" s="9">
        <f>SUMIFS(Xuất出库!E:E,Xuất出库!G:G,B296,Xuất出库!C:C,D296)+SUMIFS(Xuất出库!F:F,Xuất出库!G:G,B296,Xuất出库!C:C,D296)</f>
        <v>10</v>
      </c>
      <c r="G296" s="12">
        <f>3</f>
        <v>3</v>
      </c>
      <c r="H296" s="9">
        <f>SUMIFS(Hoàn回库!E:E,Hoàn回库!G:G,B296,Hoàn回库!C:C,D296)+SUMIFS(Hoàn回库!F:F,Hoàn回库!G:G,B296,Hoàn回库!C:C,D296)</f>
        <v>0</v>
      </c>
      <c r="I296" s="9">
        <f>SUMIFS('Điều hàng调货'!E:E,'Điều hàng调货'!A:A,K296,'Điều hàng调货'!G:G,B296)*-1+SUMIFS('Điều hàng调货'!E:E,'Điều hàng调货'!A:A,K296,'Điều hàng调货'!H:H,B296)+SUMIFS('Điều hàng调货'!F:F,'Điều hàng调货'!A:A,K296,'Điều hàng调货'!G:G,B296)*-1+SUMIFS('Điều hàng调货'!F:F,'Điều hàng调货'!A:A,K296,'Điều hàng调货'!H:H,B296)</f>
        <v>0</v>
      </c>
      <c r="J296" s="9">
        <f t="shared" si="15"/>
        <v>7</v>
      </c>
      <c r="K296" s="9">
        <f>VLOOKUP($D296,SKU!$A:$I,3,FALSE)</f>
        <v>10078</v>
      </c>
      <c r="L296" s="9" t="str">
        <f>VLOOKUP($D296,SKU!$A:$I,2,FALSE)</f>
        <v>摩斯社×名侦探柯南-摩斯密码系列评级邮票</v>
      </c>
    </row>
    <row r="297" spans="1:12">
      <c r="A297" s="6"/>
      <c r="B297" s="81" t="s">
        <v>429</v>
      </c>
      <c r="C297" s="6" t="s">
        <v>428</v>
      </c>
      <c r="D297" s="12" t="s">
        <v>367</v>
      </c>
      <c r="E297" s="8">
        <f>SUMIFS(Xuất出库!D:D,Xuất出库!G:G,B297,Xuất出库!C:C,D297)</f>
        <v>0</v>
      </c>
      <c r="F297" s="9">
        <f>SUMIFS(Xuất出库!E:E,Xuất出库!G:G,B297,Xuất出库!C:C,D297)+SUMIFS(Xuất出库!F:F,Xuất出库!G:G,B297,Xuất出库!C:C,D297)</f>
        <v>0</v>
      </c>
      <c r="G297" s="12">
        <f>20</f>
        <v>20</v>
      </c>
      <c r="H297" s="9">
        <f>SUMIFS(Hoàn回库!E:E,Hoàn回库!G:G,B297,Hoàn回库!C:C,D297)+SUMIFS(Hoàn回库!F:F,Hoàn回库!G:G,B297,Hoàn回库!C:C,D297)</f>
        <v>0</v>
      </c>
      <c r="I297" s="9">
        <f>SUMIFS('Điều hàng调货'!E:E,'Điều hàng调货'!A:A,K297,'Điều hàng调货'!G:G,B297)*-1+SUMIFS('Điều hàng调货'!E:E,'Điều hàng调货'!A:A,K297,'Điều hàng调货'!H:H,B297)+SUMIFS('Điều hàng调货'!F:F,'Điều hàng调货'!A:A,K297,'Điều hàng调货'!G:G,B297)*-1+SUMIFS('Điều hàng调货'!F:F,'Điều hàng调货'!A:A,K297,'Điều hàng调货'!H:H,B297)</f>
        <v>100</v>
      </c>
      <c r="J297" s="9">
        <f t="shared" si="15"/>
        <v>80</v>
      </c>
      <c r="K297" s="9">
        <f>VLOOKUP($D297,SKU!$A:$I,3,FALSE)</f>
        <v>10103</v>
      </c>
      <c r="L297" s="9" t="str">
        <f>VLOOKUP($D297,SKU!$A:$I,2,FALSE)</f>
        <v>疯狂动物城白金收藏卡狐兔神探</v>
      </c>
    </row>
    <row r="298" spans="1:12">
      <c r="A298" s="6"/>
      <c r="B298" s="81" t="s">
        <v>429</v>
      </c>
      <c r="C298" s="6" t="s">
        <v>428</v>
      </c>
      <c r="D298" s="12" t="s">
        <v>371</v>
      </c>
      <c r="E298" s="8">
        <f>SUMIFS(Xuất出库!D:D,Xuất出库!G:G,B298,Xuất出库!C:C,D298)</f>
        <v>1</v>
      </c>
      <c r="F298" s="9">
        <f>SUMIFS(Xuất出库!E:E,Xuất出库!G:G,B298,Xuất出库!C:C,D298)+SUMIFS(Xuất出库!F:F,Xuất出库!G:G,B298,Xuất出库!C:C,D298)</f>
        <v>5</v>
      </c>
      <c r="G298" s="12">
        <f>6</f>
        <v>6</v>
      </c>
      <c r="H298" s="9">
        <f>SUMIFS(Hoàn回库!E:E,Hoàn回库!G:G,B298,Hoàn回库!C:C,D298)+SUMIFS(Hoàn回库!F:F,Hoàn回库!G:G,B298,Hoàn回库!C:C,D298)</f>
        <v>0</v>
      </c>
      <c r="I298" s="9">
        <f>SUMIFS('Điều hàng调货'!E:E,'Điều hàng调货'!A:A,K298,'Điều hàng调货'!G:G,B298)*-1+SUMIFS('Điều hàng调货'!E:E,'Điều hàng调货'!A:A,K298,'Điều hàng调货'!H:H,B298)+SUMIFS('Điều hàng调货'!F:F,'Điều hàng调货'!A:A,K298,'Điều hàng调货'!G:G,B298)*-1+SUMIFS('Điều hàng调货'!F:F,'Điều hàng调货'!A:A,K298,'Điều hàng调货'!H:H,B298)</f>
        <v>1</v>
      </c>
      <c r="J298" s="9">
        <f t="shared" si="15"/>
        <v>0</v>
      </c>
      <c r="K298" s="9">
        <f>VLOOKUP($D298,SKU!$A:$I,3,FALSE)</f>
        <v>10105</v>
      </c>
      <c r="L298" s="9" t="str">
        <f>VLOOKUP($D298,SKU!$A:$I,2,FALSE)</f>
        <v>木木卡舍·鬼灭之刃无限城篇</v>
      </c>
    </row>
    <row r="299" spans="1:12">
      <c r="A299" s="6"/>
      <c r="B299" s="81" t="s">
        <v>429</v>
      </c>
      <c r="C299" s="6" t="s">
        <v>428</v>
      </c>
      <c r="D299" s="12" t="s">
        <v>319</v>
      </c>
      <c r="E299" s="8">
        <f>SUMIFS(Xuất出库!D:D,Xuất出库!G:G,B299,Xuất出库!C:C,D299)</f>
        <v>12</v>
      </c>
      <c r="F299" s="9">
        <f>SUMIFS(Xuất出库!E:E,Xuất出库!G:G,B299,Xuất出库!C:C,D299)+SUMIFS(Xuất出库!F:F,Xuất出库!G:G,B299,Xuất出库!C:C,D299)</f>
        <v>12</v>
      </c>
      <c r="G299" s="12">
        <f>6+3</f>
        <v>9</v>
      </c>
      <c r="H299" s="9">
        <f>SUMIFS(Hoàn回库!E:E,Hoàn回库!G:G,B299,Hoàn回库!C:C,D299)+SUMIFS(Hoàn回库!F:F,Hoàn回库!G:G,B299,Hoàn回库!C:C,D299)</f>
        <v>0</v>
      </c>
      <c r="I299" s="9">
        <f>SUMIFS('Điều hàng调货'!E:E,'Điều hàng调货'!A:A,K299,'Điều hàng调货'!G:G,B299)*-1+SUMIFS('Điều hàng调货'!E:E,'Điều hàng调货'!A:A,K299,'Điều hàng调货'!H:H,B299)+SUMIFS('Điều hàng调货'!F:F,'Điều hàng调货'!A:A,K299,'Điều hàng调货'!G:G,B299)*-1+SUMIFS('Điều hàng调货'!F:F,'Điều hàng调货'!A:A,K299,'Điều hàng调货'!H:H,B299)</f>
        <v>16</v>
      </c>
      <c r="J299" s="9">
        <f t="shared" si="15"/>
        <v>19</v>
      </c>
      <c r="K299" s="9">
        <f>VLOOKUP($D299,SKU!$A:$I,3,FALSE)</f>
        <v>10086</v>
      </c>
      <c r="L299" s="9" t="str">
        <f>VLOOKUP($D299,SKU!$A:$I,2,FALSE)</f>
        <v>【潮迷文创】名侦探柯南-危险排队-周边创意艺术色纸</v>
      </c>
    </row>
    <row r="300" spans="1:12">
      <c r="A300" s="6"/>
      <c r="B300" s="81" t="s">
        <v>429</v>
      </c>
      <c r="C300" s="6" t="s">
        <v>428</v>
      </c>
      <c r="D300" s="12" t="s">
        <v>338</v>
      </c>
      <c r="E300" s="8">
        <f>SUMIFS(Xuất出库!D:D,Xuất出库!G:G,B300,Xuất出库!C:C,D300)</f>
        <v>5</v>
      </c>
      <c r="F300" s="9">
        <f>SUMIFS(Xuất出库!E:E,Xuất出库!G:G,B300,Xuất出库!C:C,D300)+SUMIFS(Xuất出库!F:F,Xuất出库!G:G,B300,Xuất出库!C:C,D300)</f>
        <v>65</v>
      </c>
      <c r="G300" s="12"/>
      <c r="H300" s="9">
        <f>SUMIFS(Hoàn回库!E:E,Hoàn回库!G:G,B300,Hoàn回库!C:C,D300)+SUMIFS(Hoàn回库!F:F,Hoàn回库!G:G,B300,Hoàn回库!C:C,D300)</f>
        <v>0</v>
      </c>
      <c r="I300" s="9">
        <f>SUMIFS('Điều hàng调货'!E:E,'Điều hàng调货'!A:A,K300,'Điều hàng调货'!G:G,B300)*-1+SUMIFS('Điều hàng调货'!E:E,'Điều hàng调货'!A:A,K300,'Điều hàng调货'!H:H,B300)+SUMIFS('Điều hàng调货'!F:F,'Điều hàng调货'!A:A,K300,'Điều hàng调货'!G:G,B300)*-1+SUMIFS('Điều hàng调货'!F:F,'Điều hàng调货'!A:A,K300,'Điều hàng调货'!H:H,B300)</f>
        <v>0</v>
      </c>
      <c r="J300" s="9">
        <f t="shared" si="15"/>
        <v>65</v>
      </c>
      <c r="K300" s="9">
        <f>VLOOKUP($D300,SKU!$A:$I,3,FALSE)</f>
        <v>10093</v>
      </c>
      <c r="L300" s="9" t="str">
        <f>VLOOKUP($D300,SKU!$A:$I,2,FALSE)</f>
        <v>星绘社新海诚系列卡牌</v>
      </c>
    </row>
    <row r="301" spans="1:12">
      <c r="A301" s="6"/>
      <c r="B301" s="81" t="s">
        <v>429</v>
      </c>
      <c r="C301" s="6" t="s">
        <v>428</v>
      </c>
      <c r="D301" s="12" t="s">
        <v>347</v>
      </c>
      <c r="E301" s="8">
        <f>SUMIFS(Xuất出库!D:D,Xuất出库!G:G,B301,Xuất出库!C:C,D301)</f>
        <v>5</v>
      </c>
      <c r="F301" s="9">
        <f>SUMIFS(Xuất出库!E:E,Xuất出库!G:G,B301,Xuất出库!C:C,D301)+SUMIFS(Xuất出库!F:F,Xuất出库!G:G,B301,Xuất出库!C:C,D301)</f>
        <v>70</v>
      </c>
      <c r="G301" s="12"/>
      <c r="H301" s="9">
        <f>SUMIFS(Hoàn回库!E:E,Hoàn回库!G:G,B301,Hoàn回库!C:C,D301)+SUMIFS(Hoàn回库!F:F,Hoàn回库!G:G,B301,Hoàn回库!C:C,D301)</f>
        <v>0</v>
      </c>
      <c r="I301" s="9">
        <f>SUMIFS('Điều hàng调货'!E:E,'Điều hàng调货'!A:A,K301,'Điều hàng调货'!G:G,B301)*-1+SUMIFS('Điều hàng调货'!E:E,'Điều hàng调货'!A:A,K301,'Điều hàng调货'!H:H,B301)+SUMIFS('Điều hàng调货'!F:F,'Điều hàng调货'!A:A,K301,'Điều hàng调货'!G:G,B301)*-1+SUMIFS('Điều hàng调货'!F:F,'Điều hàng调货'!A:A,K301,'Điều hàng调货'!H:H,B301)</f>
        <v>0</v>
      </c>
      <c r="J301" s="9">
        <f t="shared" si="15"/>
        <v>70</v>
      </c>
      <c r="K301" s="9">
        <f>VLOOKUP($D301,SKU!$A:$I,3,FALSE)</f>
        <v>10096</v>
      </c>
      <c r="L301" s="9" t="str">
        <f>VLOOKUP($D301,SKU!$A:$I,2,FALSE)</f>
        <v>至臻文创美少女战士</v>
      </c>
    </row>
    <row r="302" spans="1:12">
      <c r="A302" s="6"/>
      <c r="B302" s="81" t="s">
        <v>429</v>
      </c>
      <c r="C302" s="6" t="s">
        <v>428</v>
      </c>
      <c r="D302" s="12"/>
      <c r="E302" s="8">
        <f>SUMIFS(Xuất出库!D:D,Xuất出库!G:G,B302,Xuất出库!C:C,D302)</f>
        <v>0</v>
      </c>
      <c r="F302" s="9">
        <f>SUMIFS(Xuất出库!E:E,Xuất出库!G:G,B302,Xuất出库!C:C,D302)+SUMIFS(Xuất出库!F:F,Xuất出库!G:G,B302,Xuất出库!C:C,D302)</f>
        <v>0</v>
      </c>
      <c r="G302" s="12"/>
      <c r="H302" s="9">
        <f>SUMIFS(Hoàn回库!E:E,Hoàn回库!G:G,B302,Hoàn回库!C:C,D302)+SUMIFS(Hoàn回库!F:F,Hoàn回库!G:G,B302,Hoàn回库!C:C,D302)</f>
        <v>0</v>
      </c>
      <c r="I302" s="9">
        <f>SUMIFS('Điều hàng调货'!E:E,'Điều hàng调货'!A:A,K302,'Điều hàng调货'!G:G,B302)*-1+SUMIFS('Điều hàng调货'!E:E,'Điều hàng调货'!A:A,K302,'Điều hàng调货'!H:H,B302)+SUMIFS('Điều hàng调货'!F:F,'Điều hàng调货'!A:A,K302,'Điều hàng调货'!G:G,B302)*-1+SUMIFS('Điều hàng调货'!F:F,'Điều hàng调货'!A:A,K302,'Điều hàng调货'!H:H,B302)</f>
        <v>0</v>
      </c>
      <c r="J302" s="9">
        <f t="shared" si="15"/>
        <v>0</v>
      </c>
      <c r="K302" s="9" t="e">
        <f>VLOOKUP($D302,SKU!$A:$I,3,FALSE)</f>
        <v>#N/A</v>
      </c>
      <c r="L302" s="9" t="e">
        <f>VLOOKUP($D302,SKU!$A:$I,2,FALSE)</f>
        <v>#N/A</v>
      </c>
    </row>
    <row r="303" spans="1:12">
      <c r="A303" s="6"/>
      <c r="B303" s="81" t="s">
        <v>429</v>
      </c>
      <c r="C303" s="6" t="s">
        <v>428</v>
      </c>
      <c r="D303" s="12"/>
      <c r="E303" s="8">
        <f>SUMIFS(Xuất出库!D:D,Xuất出库!G:G,B303,Xuất出库!C:C,D303)</f>
        <v>0</v>
      </c>
      <c r="F303" s="9">
        <f>SUMIFS(Xuất出库!E:E,Xuất出库!G:G,B303,Xuất出库!C:C,D303)+SUMIFS(Xuất出库!F:F,Xuất出库!G:G,B303,Xuất出库!C:C,D303)</f>
        <v>0</v>
      </c>
      <c r="G303" s="12"/>
      <c r="H303" s="9">
        <f>SUMIFS(Hoàn回库!E:E,Hoàn回库!G:G,B303,Hoàn回库!C:C,D303)+SUMIFS(Hoàn回库!F:F,Hoàn回库!G:G,B303,Hoàn回库!C:C,D303)</f>
        <v>0</v>
      </c>
      <c r="I303" s="9">
        <f>SUMIFS('Điều hàng调货'!E:E,'Điều hàng调货'!A:A,K303,'Điều hàng调货'!G:G,B303)*-1+SUMIFS('Điều hàng调货'!E:E,'Điều hàng调货'!A:A,K303,'Điều hàng调货'!H:H,B303)+SUMIFS('Điều hàng调货'!F:F,'Điều hàng调货'!A:A,K303,'Điều hàng调货'!G:G,B303)*-1+SUMIFS('Điều hàng调货'!F:F,'Điều hàng调货'!A:A,K303,'Điều hàng调货'!H:H,B303)</f>
        <v>0</v>
      </c>
      <c r="J303" s="9">
        <f t="shared" si="15"/>
        <v>0</v>
      </c>
      <c r="K303" s="9" t="e">
        <f>VLOOKUP($D303,SKU!$A:$I,3,FALSE)</f>
        <v>#N/A</v>
      </c>
      <c r="L303" s="9" t="e">
        <f>VLOOKUP($D303,SKU!$A:$I,2,FALSE)</f>
        <v>#N/A</v>
      </c>
    </row>
    <row r="304" spans="1:12">
      <c r="A304" s="6"/>
      <c r="B304" s="81" t="s">
        <v>429</v>
      </c>
      <c r="C304" s="6" t="s">
        <v>428</v>
      </c>
      <c r="D304" s="12"/>
      <c r="E304" s="8">
        <f>SUMIFS(Xuất出库!D:D,Xuất出库!G:G,B304,Xuất出库!C:C,D304)</f>
        <v>0</v>
      </c>
      <c r="F304" s="9">
        <f>SUMIFS(Xuất出库!E:E,Xuất出库!G:G,B304,Xuất出库!C:C,D304)+SUMIFS(Xuất出库!F:F,Xuất出库!G:G,B304,Xuất出库!C:C,D304)</f>
        <v>0</v>
      </c>
      <c r="G304" s="12"/>
      <c r="H304" s="9">
        <f>SUMIFS(Hoàn回库!E:E,Hoàn回库!G:G,B304,Hoàn回库!C:C,D304)+SUMIFS(Hoàn回库!F:F,Hoàn回库!G:G,B304,Hoàn回库!C:C,D304)</f>
        <v>0</v>
      </c>
      <c r="I304" s="9">
        <f>SUMIFS('Điều hàng调货'!E:E,'Điều hàng调货'!A:A,K304,'Điều hàng调货'!G:G,B304)*-1+SUMIFS('Điều hàng调货'!E:E,'Điều hàng调货'!A:A,K304,'Điều hàng调货'!H:H,B304)+SUMIFS('Điều hàng调货'!F:F,'Điều hàng调货'!A:A,K304,'Điều hàng调货'!G:G,B304)*-1+SUMIFS('Điều hàng调货'!F:F,'Điều hàng调货'!A:A,K304,'Điều hàng调货'!H:H,B304)</f>
        <v>0</v>
      </c>
      <c r="J304" s="9">
        <f t="shared" si="15"/>
        <v>0</v>
      </c>
      <c r="K304" s="9" t="e">
        <f>VLOOKUP($D304,SKU!$A:$I,3,FALSE)</f>
        <v>#N/A</v>
      </c>
      <c r="L304" s="9" t="e">
        <f>VLOOKUP($D304,SKU!$A:$I,2,FALSE)</f>
        <v>#N/A</v>
      </c>
    </row>
    <row r="305" ht="15.75" spans="1:12">
      <c r="A305" s="6"/>
      <c r="B305" s="82" t="s">
        <v>429</v>
      </c>
      <c r="C305" s="43" t="s">
        <v>428</v>
      </c>
      <c r="D305" s="43"/>
      <c r="E305" s="20">
        <f>SUMIFS(Xuất出库!D:D,Xuất出库!G:G,B305,Xuất出库!C:C,D305)</f>
        <v>0</v>
      </c>
      <c r="F305" s="21">
        <f>SUMIFS(Xuất出库!E:E,Xuất出库!G:G,B305,Xuất出库!C:C,D305)+SUMIFS(Xuất出库!F:F,Xuất出库!G:G,B305,Xuất出库!C:C,D305)</f>
        <v>0</v>
      </c>
      <c r="G305" s="43"/>
      <c r="H305" s="21">
        <f>SUMIFS(Hoàn回库!E:E,Hoàn回库!G:G,B305,Hoàn回库!C:C,D305)+SUMIFS(Hoàn回库!F:F,Hoàn回库!G:G,B305,Hoàn回库!C:C,D305)</f>
        <v>0</v>
      </c>
      <c r="I305" s="21">
        <f>SUMIFS('Điều hàng调货'!E:E,'Điều hàng调货'!A:A,K305,'Điều hàng调货'!G:G,B305)*-1+SUMIFS('Điều hàng调货'!E:E,'Điều hàng调货'!A:A,K305,'Điều hàng调货'!H:H,B305)+SUMIFS('Điều hàng调货'!F:F,'Điều hàng调货'!A:A,K305,'Điều hàng调货'!G:G,B305)*-1+SUMIFS('Điều hàng调货'!F:F,'Điều hàng调货'!A:A,K305,'Điều hàng调货'!H:H,B305)</f>
        <v>0</v>
      </c>
      <c r="J305" s="21">
        <f t="shared" ref="J305:J321" si="16">F305-G305-H305+I305</f>
        <v>0</v>
      </c>
      <c r="K305" s="21" t="e">
        <f>VLOOKUP($D305,SKU!$A:$I,3,FALSE)</f>
        <v>#N/A</v>
      </c>
      <c r="L305" s="21" t="e">
        <f>VLOOKUP($D305,SKU!$A:$I,2,FALSE)</f>
        <v>#N/A</v>
      </c>
    </row>
    <row r="306" ht="15.75" spans="1:12">
      <c r="B306" s="83" t="s">
        <v>78</v>
      </c>
      <c r="C306" s="53" t="s">
        <v>428</v>
      </c>
      <c r="D306" s="23" t="s">
        <v>184</v>
      </c>
      <c r="E306" s="24">
        <f>SUMIFS(Xuất出库!D:D,Xuất出库!G:G,B306,Xuất出库!C:C,D306)</f>
        <v>58</v>
      </c>
      <c r="F306" s="25">
        <f>SUMIFS(Xuất出库!E:E,Xuất出库!G:G,B306,Xuất出库!C:C,D306)+SUMIFS(Xuất出库!F:F,Xuất出库!G:G,B306,Xuất出库!C:C,D306)</f>
        <v>1160</v>
      </c>
      <c r="G306" s="54">
        <f>43+40+60+63+20+84+10+40+16+20+165+20+141+120+80+100+270+18</f>
        <v>1310</v>
      </c>
      <c r="H306" s="25">
        <f>SUMIFS(Hoàn回库!E:E,Hoàn回库!G:G,B306,Hoàn回库!C:C,D306)+SUMIFS(Hoàn回库!F:F,Hoàn回库!G:G,B306,Hoàn回库!C:C,D306)</f>
        <v>0</v>
      </c>
      <c r="I306" s="25">
        <f>SUMIFS('Điều hàng调货'!E:E,'Điều hàng调货'!A:A,K306,'Điều hàng调货'!G:G,B306)*-1+SUMIFS('Điều hàng调货'!E:E,'Điều hàng调货'!A:A,K306,'Điều hàng调货'!H:H,B306)+SUMIFS('Điều hàng调货'!F:F,'Điều hàng调货'!A:A,K306,'Điều hàng调货'!G:G,B306)*-1+SUMIFS('Điều hàng调货'!F:F,'Điều hàng调货'!A:A,K306,'Điều hàng调货'!H:H,B306)</f>
        <v>262</v>
      </c>
      <c r="J306" s="25">
        <f t="shared" si="16"/>
        <v>112</v>
      </c>
      <c r="K306" s="25">
        <f>VLOOKUP($D306,SKU!$A:$I,3,FALSE)</f>
        <v>10039</v>
      </c>
      <c r="L306" s="25" t="str">
        <f>VLOOKUP($D306,SKU!$A:$I,2,FALSE)</f>
        <v>非凡航海王第五弹</v>
      </c>
    </row>
    <row r="307" spans="1:12">
      <c r="B307" s="83" t="s">
        <v>78</v>
      </c>
      <c r="C307" s="53" t="s">
        <v>428</v>
      </c>
      <c r="D307" s="6" t="s">
        <v>155</v>
      </c>
      <c r="E307" s="8">
        <f>SUMIFS(Xuất出库!D:D,Xuất出库!G:G,B307,Xuất出库!C:C,D307)</f>
        <v>10</v>
      </c>
      <c r="F307" s="9">
        <f>SUMIFS(Xuất出库!E:E,Xuất出库!G:G,B307,Xuất出库!C:C,D307)+SUMIFS(Xuất出库!F:F,Xuất出库!G:G,B307,Xuất出库!C:C,D307)</f>
        <v>10</v>
      </c>
      <c r="G307" s="6"/>
      <c r="H307" s="9">
        <f>SUMIFS(Hoàn回库!E:E,Hoàn回库!G:G,B307,Hoàn回库!C:C,D307)+SUMIFS(Hoàn回库!F:F,Hoàn回库!G:G,B307,Hoàn回库!C:C,D307)</f>
        <v>10</v>
      </c>
      <c r="I307" s="9">
        <f>SUMIFS('Điều hàng调货'!E:E,'Điều hàng调货'!A:A,K307,'Điều hàng调货'!G:G,B307)*-1+SUMIFS('Điều hàng调货'!E:E,'Điều hàng调货'!A:A,K307,'Điều hàng调货'!H:H,B307)+SUMIFS('Điều hàng调货'!F:F,'Điều hàng调货'!A:A,K307,'Điều hàng调货'!G:G,B307)*-1+SUMIFS('Điều hàng调货'!F:F,'Điều hàng调货'!A:A,K307,'Điều hàng调货'!H:H,B307)</f>
        <v>0</v>
      </c>
      <c r="J307" s="9">
        <f t="shared" si="16"/>
        <v>0</v>
      </c>
      <c r="K307" s="9">
        <f>VLOOKUP($D307,SKU!$A:$I,3,FALSE)</f>
        <v>10032</v>
      </c>
      <c r="L307" s="9" t="str">
        <f>VLOOKUP($D307,SKU!$A:$I,2,FALSE)</f>
        <v>绘心阁《魔道祖师—殊途同归》色纸卡牌</v>
      </c>
    </row>
    <row r="308" spans="1:12">
      <c r="B308" s="83" t="s">
        <v>78</v>
      </c>
      <c r="C308" s="53" t="s">
        <v>428</v>
      </c>
      <c r="D308" s="6" t="s">
        <v>222</v>
      </c>
      <c r="E308" s="8">
        <f>SUMIFS(Xuất出库!D:D,Xuất出库!G:G,B308,Xuất出库!C:C,D308)</f>
        <v>5</v>
      </c>
      <c r="F308" s="9">
        <f>SUMIFS(Xuất出库!E:E,Xuất出库!G:G,B308,Xuất出库!C:C,D308)+SUMIFS(Xuất出库!F:F,Xuất出库!G:G,B308,Xuất出库!C:C,D308)</f>
        <v>60</v>
      </c>
      <c r="G308" s="6"/>
      <c r="H308" s="9">
        <f>SUMIFS(Hoàn回库!E:E,Hoàn回库!G:G,B308,Hoàn回库!C:C,D308)+SUMIFS(Hoàn回库!F:F,Hoàn回库!G:G,B308,Hoàn回库!C:C,D308)</f>
        <v>60</v>
      </c>
      <c r="I308" s="9">
        <f>SUMIFS('Điều hàng调货'!E:E,'Điều hàng调货'!A:A,K308,'Điều hàng调货'!G:G,B308)*-1+SUMIFS('Điều hàng调货'!E:E,'Điều hàng调货'!A:A,K308,'Điều hàng调货'!H:H,B308)+SUMIFS('Điều hàng调货'!F:F,'Điều hàng调货'!A:A,K308,'Điều hàng调货'!G:G,B308)*-1+SUMIFS('Điều hàng调货'!F:F,'Điều hàng调货'!A:A,K308,'Điều hàng调货'!H:H,B308)</f>
        <v>0</v>
      </c>
      <c r="J308" s="9">
        <f t="shared" si="16"/>
        <v>0</v>
      </c>
      <c r="K308" s="9">
        <f>VLOOKUP($D308,SKU!$A:$I,3,FALSE)</f>
        <v>10051</v>
      </c>
      <c r="L308" s="9" t="str">
        <f>VLOOKUP($D308,SKU!$A:$I,2,FALSE)</f>
        <v>南卡《魔卡少女樱》</v>
      </c>
    </row>
    <row r="309" spans="1:12">
      <c r="B309" s="83" t="s">
        <v>78</v>
      </c>
      <c r="C309" s="53" t="s">
        <v>428</v>
      </c>
      <c r="D309" s="6" t="s">
        <v>212</v>
      </c>
      <c r="E309" s="8">
        <f>SUMIFS(Xuất出库!D:D,Xuất出库!G:G,B309,Xuất出库!C:C,D309)</f>
        <v>10</v>
      </c>
      <c r="F309" s="9">
        <f>SUMIFS(Xuất出库!E:E,Xuất出库!G:G,B309,Xuất出库!C:C,D309)+SUMIFS(Xuất出库!F:F,Xuất出库!G:G,B309,Xuất出库!C:C,D309)</f>
        <v>10</v>
      </c>
      <c r="G309" s="6"/>
      <c r="H309" s="9">
        <f>SUMIFS(Hoàn回库!E:E,Hoàn回库!G:G,B309,Hoàn回库!C:C,D309)+SUMIFS(Hoàn回库!F:F,Hoàn回库!G:G,B309,Hoàn回库!C:C,D309)</f>
        <v>0</v>
      </c>
      <c r="I309" s="9">
        <f>SUMIFS('Điều hàng调货'!E:E,'Điều hàng调货'!A:A,K309,'Điều hàng调货'!G:G,B309)*-1+SUMIFS('Điều hàng调货'!E:E,'Điều hàng调货'!A:A,K309,'Điều hàng调货'!H:H,B309)+SUMIFS('Điều hàng调货'!F:F,'Điều hàng调货'!A:A,K309,'Điều hàng调货'!G:G,B309)*-1+SUMIFS('Điều hàng调货'!F:F,'Điều hàng调货'!A:A,K309,'Điều hàng调货'!H:H,B309)</f>
        <v>0</v>
      </c>
      <c r="J309" s="9">
        <f t="shared" si="16"/>
        <v>10</v>
      </c>
      <c r="K309" s="9">
        <f>VLOOKUP($D309,SKU!$A:$I,3,FALSE)</f>
        <v>10048</v>
      </c>
      <c r="L309" s="9" t="str">
        <f>VLOOKUP($D309,SKU!$A:$I,2,FALSE)</f>
        <v>奈良社《极昼漫游》美少女战士撕撕乐+异形小卡</v>
      </c>
    </row>
    <row r="310" spans="1:12">
      <c r="B310" s="83" t="s">
        <v>78</v>
      </c>
      <c r="C310" s="53" t="s">
        <v>428</v>
      </c>
      <c r="D310" s="6" t="s">
        <v>99</v>
      </c>
      <c r="E310" s="8">
        <f>SUMIFS(Xuất出库!D:D,Xuất出库!G:G,B310,Xuất出库!C:C,D310)</f>
        <v>5</v>
      </c>
      <c r="F310" s="9">
        <f>SUMIFS(Xuất出库!E:E,Xuất出库!G:G,B310,Xuất出库!C:C,D310)+SUMIFS(Xuất出库!F:F,Xuất出库!G:G,B310,Xuất出库!C:C,D310)</f>
        <v>65</v>
      </c>
      <c r="G310" s="6"/>
      <c r="H310" s="9">
        <f>SUMIFS(Hoàn回库!E:E,Hoàn回库!G:G,B310,Hoàn回库!C:C,D310)+SUMIFS(Hoàn回库!F:F,Hoàn回库!G:G,B310,Hoàn回库!C:C,D310)</f>
        <v>0</v>
      </c>
      <c r="I310" s="9">
        <f>SUMIFS('Điều hàng调货'!E:E,'Điều hàng调货'!A:A,K310,'Điều hàng调货'!G:G,B310)*-1+SUMIFS('Điều hàng调货'!E:E,'Điều hàng调货'!A:A,K310,'Điều hàng调货'!H:H,B310)+SUMIFS('Điều hàng调货'!F:F,'Điều hàng调货'!A:A,K310,'Điều hàng调货'!G:G,B310)*-1+SUMIFS('Điều hàng调货'!F:F,'Điều hàng调货'!A:A,K310,'Điều hàng调货'!H:H,B310)</f>
        <v>-39</v>
      </c>
      <c r="J310" s="9">
        <f t="shared" si="16"/>
        <v>26</v>
      </c>
      <c r="K310" s="9">
        <f>VLOOKUP($D310,SKU!$A:$I,3,FALSE)</f>
        <v>10018</v>
      </c>
      <c r="L310" s="9" t="str">
        <f>VLOOKUP($D310,SKU!$A:$I,2,FALSE)</f>
        <v>圣月美少女战士星尘协奏曲长卡</v>
      </c>
    </row>
    <row r="311" spans="1:12">
      <c r="B311" s="83" t="s">
        <v>78</v>
      </c>
      <c r="C311" s="53" t="s">
        <v>428</v>
      </c>
      <c r="D311" s="6" t="s">
        <v>131</v>
      </c>
      <c r="E311" s="8">
        <f>SUMIFS(Xuất出库!D:D,Xuất出库!G:G,B311,Xuất出库!C:C,D311)</f>
        <v>20</v>
      </c>
      <c r="F311" s="9">
        <f>SUMIFS(Xuất出库!E:E,Xuất出库!G:G,B311,Xuất出库!C:C,D311)+SUMIFS(Xuất出库!F:F,Xuất出库!G:G,B311,Xuất出库!C:C,D311)</f>
        <v>20</v>
      </c>
      <c r="G311" s="6"/>
      <c r="H311" s="9">
        <f>SUMIFS(Hoàn回库!E:E,Hoàn回库!G:G,B311,Hoàn回库!C:C,D311)+SUMIFS(Hoàn回库!F:F,Hoàn回库!G:G,B311,Hoàn回库!C:C,D311)</f>
        <v>0</v>
      </c>
      <c r="I311" s="9">
        <f>SUMIFS('Điều hàng调货'!E:E,'Điều hàng调货'!A:A,K311,'Điều hàng调货'!G:G,B311)*-1+SUMIFS('Điều hàng调货'!E:E,'Điều hàng调货'!A:A,K311,'Điều hàng调货'!H:H,B311)+SUMIFS('Điều hàng调货'!F:F,'Điều hàng调货'!A:A,K311,'Điều hàng调货'!G:G,B311)*-1+SUMIFS('Điều hàng调货'!F:F,'Điều hàng调货'!A:A,K311,'Điều hàng调货'!H:H,B311)</f>
        <v>0</v>
      </c>
      <c r="J311" s="9">
        <f t="shared" si="16"/>
        <v>20</v>
      </c>
      <c r="K311" s="9">
        <f>VLOOKUP($D311,SKU!$A:$I,3,FALSE)</f>
        <v>10026</v>
      </c>
      <c r="L311" s="9" t="str">
        <f>VLOOKUP($D311,SKU!$A:$I,2,FALSE)</f>
        <v>星恋文创·恋与深空《晦明交错之间》亚克力相框卡</v>
      </c>
    </row>
    <row r="312" spans="1:12">
      <c r="B312" s="83" t="s">
        <v>78</v>
      </c>
      <c r="C312" s="53" t="s">
        <v>428</v>
      </c>
      <c r="D312" s="6" t="s">
        <v>207</v>
      </c>
      <c r="E312" s="8">
        <f>SUMIFS(Xuất出库!D:D,Xuất出库!G:G,B312,Xuất出库!C:C,D312)</f>
        <v>3</v>
      </c>
      <c r="F312" s="9">
        <f>SUMIFS(Xuất出库!E:E,Xuất出库!G:G,B312,Xuất出库!C:C,D312)+SUMIFS(Xuất出库!F:F,Xuất出库!G:G,B312,Xuất出库!C:C,D312)</f>
        <v>3</v>
      </c>
      <c r="G312" s="6">
        <v>1</v>
      </c>
      <c r="H312" s="9">
        <f>SUMIFS(Hoàn回库!E:E,Hoàn回库!G:G,B312,Hoàn回库!C:C,D312)+SUMIFS(Hoàn回库!F:F,Hoàn回库!G:G,B312,Hoàn回库!C:C,D312)</f>
        <v>0</v>
      </c>
      <c r="I312" s="9">
        <f>SUMIFS('Điều hàng调货'!E:E,'Điều hàng调货'!A:A,K312,'Điều hàng调货'!G:G,B312)*-1+SUMIFS('Điều hàng调货'!E:E,'Điều hàng调货'!A:A,K312,'Điều hàng调货'!H:H,B312)+SUMIFS('Điều hàng调货'!F:F,'Điều hàng调货'!A:A,K312,'Điều hàng调货'!G:G,B312)*-1+SUMIFS('Điều hàng调货'!F:F,'Điều hàng调货'!A:A,K312,'Điều hàng调货'!H:H,B312)</f>
        <v>0</v>
      </c>
      <c r="J312" s="9">
        <f t="shared" si="16"/>
        <v>2</v>
      </c>
      <c r="K312" s="9">
        <f>VLOOKUP($D312,SKU!$A:$I,3,FALSE)</f>
        <v>10046</v>
      </c>
      <c r="L312" s="9" t="str">
        <f>VLOOKUP($D312,SKU!$A:$I,2,FALSE)</f>
        <v>夜灯</v>
      </c>
    </row>
    <row r="313" spans="1:12">
      <c r="B313" s="83" t="s">
        <v>78</v>
      </c>
      <c r="C313" s="53" t="s">
        <v>428</v>
      </c>
      <c r="D313" s="6" t="s">
        <v>196</v>
      </c>
      <c r="E313" s="8">
        <f>SUMIFS(Xuất出库!D:D,Xuất出库!G:G,B313,Xuất出库!C:C,D313)</f>
        <v>5</v>
      </c>
      <c r="F313" s="9">
        <f>SUMIFS(Xuất出库!E:E,Xuất出库!G:G,B313,Xuất出库!C:C,D313)+SUMIFS(Xuất出库!F:F,Xuất出库!G:G,B313,Xuất出库!C:C,D313)</f>
        <v>80</v>
      </c>
      <c r="G313" s="6"/>
      <c r="H313" s="9">
        <f>SUMIFS(Hoàn回库!E:E,Hoàn回库!G:G,B313,Hoàn回库!C:C,D313)+SUMIFS(Hoàn回库!F:F,Hoàn回库!G:G,B313,Hoàn回库!C:C,D313)</f>
        <v>0</v>
      </c>
      <c r="I313" s="9">
        <f>SUMIFS('Điều hàng调货'!E:E,'Điều hàng调货'!A:A,K313,'Điều hàng调货'!G:G,B313)*-1+SUMIFS('Điều hàng调货'!E:E,'Điều hàng调货'!A:A,K313,'Điều hàng调货'!H:H,B313)+SUMIFS('Điều hàng调货'!F:F,'Điều hàng调货'!A:A,K313,'Điều hàng调货'!G:G,B313)*-1+SUMIFS('Điều hàng调货'!F:F,'Điều hàng调货'!A:A,K313,'Điều hàng调货'!H:H,B313)</f>
        <v>0</v>
      </c>
      <c r="J313" s="9">
        <f t="shared" si="16"/>
        <v>80</v>
      </c>
      <c r="K313" s="9">
        <f>VLOOKUP($D313,SKU!$A:$I,3,FALSE)</f>
        <v>10042</v>
      </c>
      <c r="L313" s="9" t="str">
        <f>VLOOKUP($D313,SKU!$A:$I,2,FALSE)</f>
        <v>黄油小熊系列收藏卡第二弹 小熊的观察日记</v>
      </c>
    </row>
    <row r="314" spans="1:12">
      <c r="B314" s="83" t="s">
        <v>78</v>
      </c>
      <c r="C314" s="53" t="s">
        <v>428</v>
      </c>
      <c r="D314" s="6" t="s">
        <v>246</v>
      </c>
      <c r="E314" s="8">
        <f>SUMIFS(Xuất出库!D:D,Xuất出库!G:G,B314,Xuất出库!C:C,D314)</f>
        <v>1</v>
      </c>
      <c r="F314" s="9">
        <f>SUMIFS(Xuất出库!E:E,Xuất出库!G:G,B314,Xuất出库!C:C,D314)+SUMIFS(Xuất出库!F:F,Xuất出库!G:G,B314,Xuất出库!C:C,D314)</f>
        <v>1</v>
      </c>
      <c r="G314" s="6">
        <v>1</v>
      </c>
      <c r="H314" s="9">
        <f>SUMIFS(Hoàn回库!E:E,Hoàn回库!G:G,B314,Hoàn回库!C:C,D314)+SUMIFS(Hoàn回库!F:F,Hoàn回库!G:G,B314,Hoàn回库!C:C,D314)</f>
        <v>0</v>
      </c>
      <c r="I314" s="9">
        <f>SUMIFS('Điều hàng调货'!E:E,'Điều hàng调货'!A:A,K314,'Điều hàng调货'!G:G,B314)*-1+SUMIFS('Điều hàng调货'!E:E,'Điều hàng调货'!A:A,K314,'Điều hàng调货'!H:H,B314)+SUMIFS('Điều hàng调货'!F:F,'Điều hàng调货'!A:A,K314,'Điều hàng调货'!G:G,B314)*-1+SUMIFS('Điều hàng调货'!F:F,'Điều hàng调货'!A:A,K314,'Điều hàng调货'!H:H,B314)</f>
        <v>0</v>
      </c>
      <c r="J314" s="9">
        <f t="shared" si="16"/>
        <v>0</v>
      </c>
      <c r="K314" s="9">
        <f>VLOOKUP($D314,SKU!$A:$I,3,FALSE)</f>
        <v>10059</v>
      </c>
      <c r="L314" s="9" t="str">
        <f>VLOOKUP($D314,SKU!$A:$I,2,FALSE)</f>
        <v>鬼灭之刃·炽阳文创《未眠之夜 》限定双闪色纸</v>
      </c>
    </row>
    <row r="315" spans="1:12">
      <c r="B315" s="83" t="s">
        <v>78</v>
      </c>
      <c r="C315" s="53" t="s">
        <v>428</v>
      </c>
      <c r="D315" s="6" t="s">
        <v>244</v>
      </c>
      <c r="E315" s="8">
        <f>SUMIFS(Xuất出库!D:D,Xuất出库!G:G,B315,Xuất出库!C:C,D315)</f>
        <v>6</v>
      </c>
      <c r="F315" s="9">
        <f>SUMIFS(Xuất出库!E:E,Xuất出库!G:G,B315,Xuất出库!C:C,D315)+SUMIFS(Xuất出库!F:F,Xuất出库!G:G,B315,Xuất出库!C:C,D315)</f>
        <v>90</v>
      </c>
      <c r="G315" s="6"/>
      <c r="H315" s="9">
        <f>SUMIFS(Hoàn回库!E:E,Hoàn回库!G:G,B315,Hoàn回库!C:C,D315)+SUMIFS(Hoàn回库!F:F,Hoàn回库!G:G,B315,Hoàn回库!C:C,D315)</f>
        <v>90</v>
      </c>
      <c r="I315" s="9">
        <f>SUMIFS('Điều hàng调货'!E:E,'Điều hàng调货'!A:A,K315,'Điều hàng调货'!G:G,B315)*-1+SUMIFS('Điều hàng调货'!E:E,'Điều hàng调货'!A:A,K315,'Điều hàng调货'!H:H,B315)+SUMIFS('Điều hàng调货'!F:F,'Điều hàng调货'!A:A,K315,'Điều hàng调货'!G:G,B315)*-1+SUMIFS('Điều hàng调货'!F:F,'Điều hàng调货'!A:A,K315,'Điều hàng调货'!H:H,B315)</f>
        <v>0</v>
      </c>
      <c r="J315" s="9">
        <f t="shared" si="16"/>
        <v>0</v>
      </c>
      <c r="K315" s="9">
        <f>VLOOKUP($D315,SKU!$A:$I,3,FALSE)</f>
        <v>10058</v>
      </c>
      <c r="L315" s="9" t="str">
        <f>VLOOKUP($D315,SKU!$A:$I,2,FALSE)</f>
        <v>三丽鸥家族hello kitty梦境巡礼</v>
      </c>
    </row>
    <row r="316" spans="1:12">
      <c r="B316" s="83" t="s">
        <v>78</v>
      </c>
      <c r="C316" s="53" t="s">
        <v>428</v>
      </c>
      <c r="D316" s="12" t="s">
        <v>260</v>
      </c>
      <c r="E316" s="8">
        <f>SUMIFS(Xuất出库!D:D,Xuất出库!G:G,B316,Xuất出库!C:C,D316)</f>
        <v>20</v>
      </c>
      <c r="F316" s="9">
        <f>SUMIFS(Xuất出库!E:E,Xuất出库!G:G,B316,Xuất出库!C:C,D316)+SUMIFS(Xuất出库!F:F,Xuất出库!G:G,B316,Xuất出库!C:C,D316)</f>
        <v>120</v>
      </c>
      <c r="G316" s="6">
        <f>26+24+11+23+12+6+10+11+1+5+2+14+1+2+9+1+17+1+18</f>
        <v>194</v>
      </c>
      <c r="H316" s="9">
        <f>SUMIFS(Hoàn回库!E:E,Hoàn回库!G:G,B316,Hoàn回库!C:C,D316)+SUMIFS(Hoàn回库!F:F,Hoàn回库!G:G,B316,Hoàn回库!C:C,D316)</f>
        <v>0</v>
      </c>
      <c r="I316" s="9">
        <f>SUMIFS('Điều hàng调货'!E:E,'Điều hàng调货'!A:A,K316,'Điều hàng调货'!G:G,B316)*-1+SUMIFS('Điều hàng调货'!E:E,'Điều hàng调货'!A:A,K316,'Điều hàng调货'!H:H,B316)+SUMIFS('Điều hàng调货'!F:F,'Điều hàng调货'!A:A,K316,'Điều hàng调货'!G:G,B316)*-1+SUMIFS('Điều hàng调货'!F:F,'Điều hàng调货'!A:A,K316,'Điều hàng调货'!H:H,B316)</f>
        <v>74</v>
      </c>
      <c r="J316" s="9">
        <f t="shared" si="16"/>
        <v>0</v>
      </c>
      <c r="K316" s="9">
        <f>VLOOKUP($D316,SKU!$A:$I,3,FALSE)</f>
        <v>10064</v>
      </c>
      <c r="L316" s="9" t="str">
        <f>VLOOKUP($D316,SKU!$A:$I,2,FALSE)</f>
        <v>源宇宙崩铁色纸</v>
      </c>
    </row>
    <row r="317" spans="1:12">
      <c r="B317" s="83" t="s">
        <v>78</v>
      </c>
      <c r="C317" s="53" t="s">
        <v>428</v>
      </c>
      <c r="D317" s="12" t="s">
        <v>266</v>
      </c>
      <c r="E317" s="8">
        <f>SUMIFS(Xuất出库!D:D,Xuất出库!G:G,B317,Xuất出库!C:C,D317)</f>
        <v>10</v>
      </c>
      <c r="F317" s="9">
        <f>SUMIFS(Xuất出库!E:E,Xuất出库!G:G,B317,Xuất出库!C:C,D317)+SUMIFS(Xuất出库!F:F,Xuất出库!G:G,B317,Xuất出库!C:C,D317)</f>
        <v>360</v>
      </c>
      <c r="G317" s="6">
        <f>76+8</f>
        <v>84</v>
      </c>
      <c r="H317" s="9">
        <f>SUMIFS(Hoàn回库!E:E,Hoàn回库!G:G,B317,Hoàn回库!C:C,D317)+SUMIFS(Hoàn回库!F:F,Hoàn回库!G:G,B317,Hoàn回库!C:C,D317)</f>
        <v>0</v>
      </c>
      <c r="I317" s="9">
        <f>SUMIFS('Điều hàng调货'!E:E,'Điều hàng调货'!A:A,K317,'Điều hàng调货'!G:G,B317)*-1+SUMIFS('Điều hàng调货'!E:E,'Điều hàng调货'!A:A,K317,'Điều hàng调货'!H:H,B317)+SUMIFS('Điều hàng调货'!F:F,'Điều hàng调货'!A:A,K317,'Điều hàng调货'!G:G,B317)*-1+SUMIFS('Điều hàng调货'!F:F,'Điều hàng调货'!A:A,K317,'Điều hàng调货'!H:H,B317)</f>
        <v>-276</v>
      </c>
      <c r="J317" s="9">
        <f t="shared" si="16"/>
        <v>0</v>
      </c>
      <c r="K317" s="9">
        <f>VLOOKUP($D317,SKU!$A:$I,3,FALSE)</f>
        <v>10066</v>
      </c>
      <c r="L317" s="9" t="str">
        <f>VLOOKUP($D317,SKU!$A:$I,2,FALSE)</f>
        <v>卡游柯南揭秘包第2弹</v>
      </c>
    </row>
    <row r="318" spans="1:12">
      <c r="B318" s="83" t="s">
        <v>78</v>
      </c>
      <c r="C318" s="53" t="s">
        <v>428</v>
      </c>
      <c r="D318" s="12" t="s">
        <v>296</v>
      </c>
      <c r="E318" s="8">
        <f>SUMIFS(Xuất出库!D:D,Xuất出库!G:G,B318,Xuất出库!C:C,D318)</f>
        <v>60</v>
      </c>
      <c r="F318" s="9">
        <f>SUMIFS(Xuất出库!E:E,Xuất出库!G:G,B318,Xuất出库!C:C,D318)+SUMIFS(Xuất出库!F:F,Xuất出库!G:G,B318,Xuất出库!C:C,D318)</f>
        <v>60</v>
      </c>
      <c r="G318" s="6">
        <f>26+1+3</f>
        <v>30</v>
      </c>
      <c r="H318" s="9">
        <f>SUMIFS(Hoàn回库!E:E,Hoàn回库!G:G,B318,Hoàn回库!C:C,D318)+SUMIFS(Hoàn回库!F:F,Hoàn回库!G:G,B318,Hoàn回库!C:C,D318)</f>
        <v>0</v>
      </c>
      <c r="I318" s="9">
        <f>SUMIFS('Điều hàng调货'!E:E,'Điều hàng调货'!A:A,K318,'Điều hàng调货'!G:G,B318)*-1+SUMIFS('Điều hàng调货'!E:E,'Điều hàng调货'!A:A,K318,'Điều hàng调货'!H:H,B318)+SUMIFS('Điều hàng调货'!F:F,'Điều hàng调货'!A:A,K318,'Điều hàng调货'!G:G,B318)*-1+SUMIFS('Điều hàng调货'!F:F,'Điều hàng调货'!A:A,K318,'Điều hàng调货'!H:H,B318)</f>
        <v>-30</v>
      </c>
      <c r="J318" s="9">
        <f t="shared" si="16"/>
        <v>0</v>
      </c>
      <c r="K318" s="9">
        <f>VLOOKUP($D318,SKU!$A:$I,3,FALSE)</f>
        <v>10077</v>
      </c>
      <c r="L318" s="9" t="str">
        <f>VLOOKUP($D318,SKU!$A:$I,2,FALSE)</f>
        <v>多多文创原神第二弹卡砖—神眸再现</v>
      </c>
    </row>
    <row r="319" spans="1:12">
      <c r="B319" s="83" t="s">
        <v>78</v>
      </c>
      <c r="C319" s="53" t="s">
        <v>428</v>
      </c>
      <c r="D319" s="12" t="s">
        <v>12</v>
      </c>
      <c r="E319" s="8">
        <f>SUMIFS(Xuất出库!D:D,Xuất出库!G:G,B319,Xuất出库!C:C,D319)</f>
        <v>0</v>
      </c>
      <c r="F319" s="9">
        <f>SUMIFS(Xuất出库!E:E,Xuất出库!G:G,B319,Xuất出库!C:C,D319)+SUMIFS(Xuất出库!F:F,Xuất出库!G:G,B319,Xuất出库!C:C,D319)</f>
        <v>0</v>
      </c>
      <c r="G319" s="6">
        <f>2+2+2+1+14</f>
        <v>21</v>
      </c>
      <c r="H319" s="9">
        <f>SUMIFS(Hoàn回库!E:E,Hoàn回库!G:G,B319,Hoàn回库!C:C,D319)+SUMIFS(Hoàn回库!F:F,Hoàn回库!G:G,B319,Hoàn回库!C:C,D319)</f>
        <v>0</v>
      </c>
      <c r="I319" s="9">
        <f>SUMIFS('Điều hàng调货'!E:E,'Điều hàng调货'!A:A,K319,'Điều hàng调货'!G:G,B319)*-1+SUMIFS('Điều hàng调货'!E:E,'Điều hàng调货'!A:A,K319,'Điều hàng调货'!H:H,B319)+SUMIFS('Điều hàng调货'!F:F,'Điều hàng调货'!A:A,K319,'Điều hàng调货'!G:G,B319)*-1+SUMIFS('Điều hàng调货'!F:F,'Điều hàng调货'!A:A,K319,'Điều hàng调货'!H:H,B319)</f>
        <v>21</v>
      </c>
      <c r="J319" s="9">
        <f t="shared" si="16"/>
        <v>0</v>
      </c>
      <c r="K319" s="9">
        <f>VLOOKUP($D319,SKU!$A:$I,3,FALSE)</f>
        <v>10001</v>
      </c>
      <c r="L319" s="9" t="str">
        <f>VLOOKUP($D319,SKU!$A:$I,2,FALSE)</f>
        <v>《东株社》宝可梦水晶砖</v>
      </c>
    </row>
    <row r="320" spans="1:12">
      <c r="B320" s="84" t="s">
        <v>78</v>
      </c>
      <c r="C320" s="60" t="s">
        <v>428</v>
      </c>
      <c r="D320" s="12" t="s">
        <v>290</v>
      </c>
      <c r="E320" s="13">
        <f>SUMIFS(Xuất出库!D:D,Xuất出库!G:G,B320,Xuất出库!C:C,D320)</f>
        <v>0</v>
      </c>
      <c r="F320" s="14">
        <f>SUMIFS(Xuất出库!E:E,Xuất出库!G:G,B320,Xuất出库!C:C,D320)+SUMIFS(Xuất出库!F:F,Xuất出库!G:G,B320,Xuất出库!C:C,D320)</f>
        <v>0</v>
      </c>
      <c r="G320" s="12">
        <v>1</v>
      </c>
      <c r="H320" s="14">
        <f>SUMIFS(Hoàn回库!E:E,Hoàn回库!G:G,B320,Hoàn回库!C:C,D320)+SUMIFS(Hoàn回库!F:F,Hoàn回库!G:G,B320,Hoàn回库!C:C,D320)</f>
        <v>0</v>
      </c>
      <c r="I320" s="14">
        <f>SUMIFS('Điều hàng调货'!E:E,'Điều hàng调货'!A:A,K320,'Điều hàng调货'!G:G,B320)*-1+SUMIFS('Điều hàng调货'!E:E,'Điều hàng调货'!A:A,K320,'Điều hàng调货'!H:H,B320)+SUMIFS('Điều hàng调货'!F:F,'Điều hàng调货'!A:A,K320,'Điều hàng调货'!G:G,B320)*-1+SUMIFS('Điều hàng调货'!F:F,'Điều hàng调货'!A:A,K320,'Điều hàng调货'!H:H,B320)</f>
        <v>1</v>
      </c>
      <c r="J320" s="14">
        <f t="shared" si="16"/>
        <v>0</v>
      </c>
      <c r="K320" s="14">
        <f>VLOOKUP($D320,SKU!$A:$I,3,FALSE)</f>
        <v>10075</v>
      </c>
      <c r="L320" s="14" t="str">
        <f>VLOOKUP($D320,SKU!$A:$I,2,FALSE)</f>
        <v>《万卡卡文创》鬼灭之刃日轮破晓第一弹</v>
      </c>
    </row>
    <row r="321" spans="2:12">
      <c r="B321" s="63" t="s">
        <v>78</v>
      </c>
      <c r="C321" s="29" t="s">
        <v>428</v>
      </c>
      <c r="D321" s="29" t="s">
        <v>75</v>
      </c>
      <c r="E321" s="30">
        <f>SUMIFS(Xuất出库!D:D,Xuất出库!G:G,B321,Xuất出库!C:C,D321)</f>
        <v>5</v>
      </c>
      <c r="F321" s="31">
        <f>SUMIFS(Xuất出库!E:E,Xuất出库!G:G,B321,Xuất出库!C:C,D321)+SUMIFS(Xuất出库!F:F,Xuất出库!G:G,B321,Xuất出库!C:C,D321)</f>
        <v>150</v>
      </c>
      <c r="G321" s="29">
        <f>10</f>
        <v>10</v>
      </c>
      <c r="H321" s="31">
        <f>SUMIFS(Hoàn回库!E:E,Hoàn回库!G:G,B321,Hoàn回库!C:C,D321)+SUMIFS(Hoàn回库!F:F,Hoàn回库!G:G,B321,Hoàn回库!C:C,D321)</f>
        <v>0</v>
      </c>
      <c r="I321" s="31">
        <f>SUMIFS('Điều hàng调货'!E:E,'Điều hàng调货'!A:A,K321,'Điều hàng调货'!G:G,B321)*-1+SUMIFS('Điều hàng调货'!E:E,'Điều hàng调货'!A:A,K321,'Điều hàng调货'!H:H,B321)+SUMIFS('Điều hàng调货'!F:F,'Điều hàng调货'!A:A,K321,'Điều hàng调货'!G:G,B321)*-1+SUMIFS('Điều hàng调货'!F:F,'Điều hàng调货'!A:A,K321,'Điều hàng调货'!H:H,B321)</f>
        <v>0</v>
      </c>
      <c r="J321" s="31">
        <f t="shared" si="16"/>
        <v>140</v>
      </c>
      <c r="K321" s="31">
        <f>VLOOKUP($D321,SKU!$A:$I,3,FALSE)</f>
        <v>10012</v>
      </c>
      <c r="L321" s="31" t="str">
        <f>VLOOKUP($D321,SKU!$A:$I,2,FALSE)</f>
        <v>卡文化进击的巨人</v>
      </c>
    </row>
    <row r="322" spans="2:12">
      <c r="B322" s="63" t="s">
        <v>78</v>
      </c>
      <c r="C322" s="29" t="s">
        <v>428</v>
      </c>
      <c r="D322" s="29" t="s">
        <v>317</v>
      </c>
      <c r="E322" s="30">
        <f>SUMIFS(Xuất出库!D:D,Xuất出库!G:G,B322,Xuất出库!C:C,D322)</f>
        <v>30</v>
      </c>
      <c r="F322" s="31">
        <f>SUMIFS(Xuất出库!E:E,Xuất出库!G:G,B322,Xuất出库!C:C,D322)+SUMIFS(Xuất出库!F:F,Xuất出库!G:G,B322,Xuất出库!C:C,D322)</f>
        <v>30</v>
      </c>
      <c r="G322" s="29">
        <f>1</f>
        <v>1</v>
      </c>
      <c r="H322" s="31">
        <f>SUMIFS(Hoàn回库!E:E,Hoàn回库!G:G,B322,Hoàn回库!C:C,D322)+SUMIFS(Hoàn回库!F:F,Hoàn回库!G:G,B322,Hoàn回库!C:C,D322)</f>
        <v>0</v>
      </c>
      <c r="I322" s="31">
        <f>SUMIFS('Điều hàng调货'!E:E,'Điều hàng调货'!A:A,K322,'Điều hàng调货'!G:G,B322)*-1+SUMIFS('Điều hàng调货'!E:E,'Điều hàng调货'!A:A,K322,'Điều hàng调货'!H:H,B322)+SUMIFS('Điều hàng调货'!F:F,'Điều hàng调货'!A:A,K322,'Điều hàng调货'!G:G,B322)*-1+SUMIFS('Điều hàng调货'!F:F,'Điều hàng调货'!A:A,K322,'Điều hàng调货'!H:H,B322)</f>
        <v>0</v>
      </c>
      <c r="J322" s="31">
        <f t="shared" ref="J322:J333" si="17">F322-G322-H322+I322</f>
        <v>29</v>
      </c>
      <c r="K322" s="31">
        <f>VLOOKUP($D322,SKU!$A:$I,3,FALSE)</f>
        <v>10085</v>
      </c>
      <c r="L322" s="31" t="str">
        <f>VLOOKUP($D322,SKU!$A:$I,2,FALSE)</f>
        <v>火影忍者·手绘复刻撕撕乐</v>
      </c>
    </row>
    <row r="323" spans="2:12">
      <c r="B323" s="63" t="s">
        <v>78</v>
      </c>
      <c r="C323" s="29" t="s">
        <v>428</v>
      </c>
      <c r="D323" s="29" t="s">
        <v>167</v>
      </c>
      <c r="E323" s="30">
        <f>SUMIFS(Xuất出库!D:D,Xuất出库!G:G,B323,Xuất出库!C:C,D323)</f>
        <v>0</v>
      </c>
      <c r="F323" s="31">
        <f>SUMIFS(Xuất出库!E:E,Xuất出库!G:G,B323,Xuất出库!C:C,D323)+SUMIFS(Xuất出库!F:F,Xuất出库!G:G,B323,Xuất出库!C:C,D323)</f>
        <v>0</v>
      </c>
      <c r="G323" s="29">
        <v>14</v>
      </c>
      <c r="H323" s="31">
        <f>SUMIFS(Hoàn回库!E:E,Hoàn回库!G:G,B323,Hoàn回库!C:C,D323)+SUMIFS(Hoàn回库!F:F,Hoàn回库!G:G,B323,Hoàn回库!C:C,D323)</f>
        <v>0</v>
      </c>
      <c r="I323" s="31">
        <f>SUMIFS('Điều hàng调货'!E:E,'Điều hàng调货'!A:A,K323,'Điều hàng调货'!G:G,B323)*-1+SUMIFS('Điều hàng调货'!E:E,'Điều hàng调货'!A:A,K323,'Điều hàng调货'!H:H,B323)+SUMIFS('Điều hàng调货'!F:F,'Điều hàng调货'!A:A,K323,'Điều hàng调货'!G:G,B323)*-1+SUMIFS('Điều hàng调货'!F:F,'Điều hàng调货'!A:A,K323,'Điều hàng调货'!H:H,B323)</f>
        <v>17</v>
      </c>
      <c r="J323" s="31">
        <f t="shared" si="17"/>
        <v>3</v>
      </c>
      <c r="K323" s="31">
        <f>VLOOKUP($D323,SKU!$A:$I,3,FALSE)</f>
        <v>10035</v>
      </c>
      <c r="L323" s="31" t="str">
        <f>VLOOKUP($D323,SKU!$A:$I,2,FALSE)</f>
        <v>KK CARD × 新海诚系列第一弹</v>
      </c>
    </row>
    <row r="324" spans="2:12">
      <c r="B324" s="63" t="s">
        <v>78</v>
      </c>
      <c r="C324" s="29" t="s">
        <v>428</v>
      </c>
      <c r="D324" s="29" t="s">
        <v>310</v>
      </c>
      <c r="E324" s="30">
        <f>SUMIFS(Xuất出库!D:D,Xuất出库!G:G,B324,Xuất出库!C:C,D324)</f>
        <v>0</v>
      </c>
      <c r="F324" s="31">
        <f>SUMIFS(Xuất出库!E:E,Xuất出库!G:G,B324,Xuất出库!C:C,D324)+SUMIFS(Xuất出库!F:F,Xuất出库!G:G,B324,Xuất出库!C:C,D324)</f>
        <v>0</v>
      </c>
      <c r="G324" s="29">
        <f>2</f>
        <v>2</v>
      </c>
      <c r="H324" s="31">
        <f>SUMIFS(Hoàn回库!E:E,Hoàn回库!G:G,B324,Hoàn回库!C:C,D324)+SUMIFS(Hoàn回库!F:F,Hoàn回库!G:G,B324,Hoàn回库!C:C,D324)</f>
        <v>0</v>
      </c>
      <c r="I324" s="31">
        <f>SUMIFS('Điều hàng调货'!E:E,'Điều hàng调货'!A:A,K324,'Điều hàng调货'!G:G,B324)*-1+SUMIFS('Điều hàng调货'!E:E,'Điều hàng调货'!A:A,K324,'Điều hàng调货'!H:H,B324)+SUMIFS('Điều hàng调货'!F:F,'Điều hàng调货'!A:A,K324,'Điều hàng调货'!G:G,B324)*-1+SUMIFS('Điều hàng调货'!F:F,'Điều hàng调货'!A:A,K324,'Điều hàng调货'!H:H,B324)</f>
        <v>2</v>
      </c>
      <c r="J324" s="31">
        <f t="shared" si="17"/>
        <v>0</v>
      </c>
      <c r="K324" s="31">
        <f>VLOOKUP($D324,SKU!$A:$I,3,FALSE)</f>
        <v>10082</v>
      </c>
      <c r="L324" s="31" t="str">
        <f>VLOOKUP($D324,SKU!$A:$I,2,FALSE)</f>
        <v>吾羽文创-全亚克力正方形原神色纸</v>
      </c>
    </row>
    <row r="325" spans="2:12">
      <c r="B325" s="63" t="s">
        <v>78</v>
      </c>
      <c r="C325" s="29" t="s">
        <v>428</v>
      </c>
      <c r="D325" s="29" t="s">
        <v>377</v>
      </c>
      <c r="E325" s="30">
        <f>SUMIFS(Xuất出库!D:D,Xuất出库!G:G,B325,Xuất出库!C:C,D325)</f>
        <v>6</v>
      </c>
      <c r="F325" s="31">
        <f>SUMIFS(Xuất出库!E:E,Xuất出库!G:G,B325,Xuất出库!C:C,D325)+SUMIFS(Xuất出库!F:F,Xuất出库!G:G,B325,Xuất出库!C:C,D325)</f>
        <v>90</v>
      </c>
      <c r="G325" s="29">
        <f>15</f>
        <v>15</v>
      </c>
      <c r="H325" s="31">
        <f>SUMIFS(Hoàn回库!E:E,Hoàn回库!G:G,B325,Hoàn回库!C:C,D325)+SUMIFS(Hoàn回库!F:F,Hoàn回库!G:G,B325,Hoàn回库!C:C,D325)</f>
        <v>0</v>
      </c>
      <c r="I325" s="31">
        <f>SUMIFS('Điều hàng调货'!E:E,'Điều hàng调货'!A:A,K325,'Điều hàng调货'!G:G,B325)*-1+SUMIFS('Điều hàng调货'!E:E,'Điều hàng调货'!A:A,K325,'Điều hàng调货'!H:H,B325)+SUMIFS('Điều hàng调货'!F:F,'Điều hàng调货'!A:A,K325,'Điều hàng调货'!G:G,B325)*-1+SUMIFS('Điều hàng调货'!F:F,'Điều hàng调货'!A:A,K325,'Điều hàng调货'!H:H,B325)</f>
        <v>-75</v>
      </c>
      <c r="J325" s="31">
        <f t="shared" si="17"/>
        <v>0</v>
      </c>
      <c r="K325" s="31">
        <f>VLOOKUP($D325,SKU!$A:$I,3,FALSE)</f>
        <v>10107</v>
      </c>
      <c r="L325" s="31" t="str">
        <f>VLOOKUP($D325,SKU!$A:$I,2,FALSE)</f>
        <v>Hi卡柯南第四弹《一切都会大白于天下》</v>
      </c>
    </row>
    <row r="326" spans="2:12">
      <c r="B326" s="63" t="s">
        <v>78</v>
      </c>
      <c r="C326" s="29" t="s">
        <v>428</v>
      </c>
      <c r="D326" s="29" t="s">
        <v>274</v>
      </c>
      <c r="E326" s="30">
        <f>SUMIFS(Xuất出库!D:D,Xuất出库!G:G,B326,Xuất出库!C:C,D326)</f>
        <v>90</v>
      </c>
      <c r="F326" s="31">
        <f>SUMIFS(Xuất出库!E:E,Xuất出库!G:G,B326,Xuất出库!C:C,D326)+SUMIFS(Xuất出库!F:F,Xuất出库!G:G,B326,Xuất出库!C:C,D326)</f>
        <v>90</v>
      </c>
      <c r="G326" s="29">
        <f>8+3+8+10</f>
        <v>29</v>
      </c>
      <c r="H326" s="31">
        <f>SUMIFS(Hoàn回库!E:E,Hoàn回库!G:G,B326,Hoàn回库!C:C,D326)+SUMIFS(Hoàn回库!F:F,Hoàn回库!G:G,B326,Hoàn回库!C:C,D326)</f>
        <v>0</v>
      </c>
      <c r="I326" s="31">
        <f>SUMIFS('Điều hàng调货'!E:E,'Điều hàng调货'!A:A,K326,'Điều hàng调货'!G:G,B326)*-1+SUMIFS('Điều hàng调货'!E:E,'Điều hàng调货'!A:A,K326,'Điều hàng调货'!H:H,B326)+SUMIFS('Điều hàng调货'!F:F,'Điều hàng调货'!A:A,K326,'Điều hàng调货'!G:G,B326)*-1+SUMIFS('Điều hàng调货'!F:F,'Điều hàng调货'!A:A,K326,'Điều hàng调货'!H:H,B326)</f>
        <v>0</v>
      </c>
      <c r="J326" s="31">
        <f t="shared" si="17"/>
        <v>61</v>
      </c>
      <c r="K326" s="31">
        <f>VLOOKUP($D326,SKU!$A:$I,3,FALSE)</f>
        <v>10069</v>
      </c>
      <c r="L326" s="31" t="str">
        <f>VLOOKUP($D326,SKU!$A:$I,2,FALSE)</f>
        <v>【艺画文创】鸣潮撕撕乐</v>
      </c>
    </row>
    <row r="327" spans="2:12">
      <c r="B327" s="63" t="s">
        <v>78</v>
      </c>
      <c r="C327" s="29" t="s">
        <v>428</v>
      </c>
      <c r="D327" s="29" t="s">
        <v>364</v>
      </c>
      <c r="E327" s="30">
        <f>SUMIFS(Xuất出库!D:D,Xuất出库!G:G,B327,Xuất出库!C:C,D327)</f>
        <v>5</v>
      </c>
      <c r="F327" s="31">
        <f>SUMIFS(Xuất出库!E:E,Xuất出库!G:G,B327,Xuất出库!C:C,D327)+SUMIFS(Xuất出库!F:F,Xuất出库!G:G,B327,Xuất出库!C:C,D327)</f>
        <v>65</v>
      </c>
      <c r="G327" s="29">
        <f>13</f>
        <v>13</v>
      </c>
      <c r="H327" s="31">
        <f>SUMIFS(Hoàn回库!E:E,Hoàn回库!G:G,B327,Hoàn回库!C:C,D327)+SUMIFS(Hoàn回库!F:F,Hoàn回库!G:G,B327,Hoàn回库!C:C,D327)</f>
        <v>0</v>
      </c>
      <c r="I327" s="31">
        <f>SUMIFS('Điều hàng调货'!E:E,'Điều hàng调货'!A:A,K327,'Điều hàng调货'!G:G,B327)*-1+SUMIFS('Điều hàng调货'!E:E,'Điều hàng调货'!A:A,K327,'Điều hàng调货'!H:H,B327)+SUMIFS('Điều hàng调货'!F:F,'Điều hàng调货'!A:A,K327,'Điều hàng调货'!G:G,B327)*-1+SUMIFS('Điều hàng调货'!F:F,'Điều hàng调货'!A:A,K327,'Điều hàng调货'!H:H,B327)</f>
        <v>-39</v>
      </c>
      <c r="J327" s="31">
        <f t="shared" si="17"/>
        <v>13</v>
      </c>
      <c r="K327" s="31">
        <f>VLOOKUP($D327,SKU!$A:$I,3,FALSE)</f>
        <v>10102</v>
      </c>
      <c r="L327" s="31" t="str">
        <f>VLOOKUP($D327,SKU!$A:$I,2,FALSE)</f>
        <v>麒麟文创航海王第一弹-仙道天下</v>
      </c>
    </row>
    <row r="328" spans="2:12">
      <c r="B328" s="63" t="s">
        <v>78</v>
      </c>
      <c r="C328" s="29" t="s">
        <v>428</v>
      </c>
      <c r="D328" s="29" t="s">
        <v>367</v>
      </c>
      <c r="E328" s="30">
        <f>SUMIFS(Xuất出库!D:D,Xuất出库!G:G,B328,Xuất出库!C:C,D328)</f>
        <v>0</v>
      </c>
      <c r="F328" s="31">
        <f>SUMIFS(Xuất出库!E:E,Xuất出库!G:G,B328,Xuất出库!C:C,D328)+SUMIFS(Xuất出库!F:F,Xuất出库!G:G,B328,Xuất出库!C:C,D328)</f>
        <v>0</v>
      </c>
      <c r="G328" s="29">
        <f>1+1</f>
        <v>2</v>
      </c>
      <c r="H328" s="31">
        <f>SUMIFS(Hoàn回库!E:E,Hoàn回库!G:G,B328,Hoàn回库!C:C,D328)+SUMIFS(Hoàn回库!F:F,Hoàn回库!G:G,B328,Hoàn回库!C:C,D328)</f>
        <v>0</v>
      </c>
      <c r="I328" s="31">
        <f>SUMIFS('Điều hàng调货'!E:E,'Điều hàng调货'!A:A,K328,'Điều hàng调货'!G:G,B328)*-1+SUMIFS('Điều hàng调货'!E:E,'Điều hàng调货'!A:A,K328,'Điều hàng调货'!H:H,B328)+SUMIFS('Điều hàng调货'!F:F,'Điều hàng调货'!A:A,K328,'Điều hàng调货'!G:G,B328)*-1+SUMIFS('Điều hàng调货'!F:F,'Điều hàng调货'!A:A,K328,'Điều hàng调货'!H:H,B328)</f>
        <v>100</v>
      </c>
      <c r="J328" s="31">
        <f t="shared" si="17"/>
        <v>98</v>
      </c>
      <c r="K328" s="31">
        <f>VLOOKUP($D328,SKU!$A:$I,3,FALSE)</f>
        <v>10103</v>
      </c>
      <c r="L328" s="31" t="str">
        <f>VLOOKUP($D328,SKU!$A:$I,2,FALSE)</f>
        <v>疯狂动物城白金收藏卡狐兔神探</v>
      </c>
    </row>
    <row r="329" spans="2:12">
      <c r="B329" s="63" t="s">
        <v>78</v>
      </c>
      <c r="C329" s="29" t="s">
        <v>428</v>
      </c>
      <c r="D329" s="29" t="s">
        <v>167</v>
      </c>
      <c r="E329" s="30">
        <f>SUMIFS(Xuất出库!D:D,Xuất出库!G:G,B329,Xuất出库!C:C,D329)</f>
        <v>0</v>
      </c>
      <c r="F329" s="31">
        <f>SUMIFS(Xuất出库!E:E,Xuất出库!G:G,B329,Xuất出库!C:C,D329)+SUMIFS(Xuất出库!F:F,Xuất出库!G:G,B329,Xuất出库!C:C,D329)</f>
        <v>0</v>
      </c>
      <c r="G329" s="29">
        <f>3+14</f>
        <v>17</v>
      </c>
      <c r="H329" s="31">
        <f>SUMIFS(Hoàn回库!E:E,Hoàn回库!G:G,B329,Hoàn回库!C:C,D329)+SUMIFS(Hoàn回库!F:F,Hoàn回库!G:G,B329,Hoàn回库!C:C,D329)</f>
        <v>0</v>
      </c>
      <c r="I329" s="31">
        <f>SUMIFS('Điều hàng调货'!E:E,'Điều hàng调货'!A:A,K329,'Điều hàng调货'!G:G,B329)*-1+SUMIFS('Điều hàng调货'!E:E,'Điều hàng调货'!A:A,K329,'Điều hàng调货'!H:H,B329)+SUMIFS('Điều hàng调货'!F:F,'Điều hàng调货'!A:A,K329,'Điều hàng调货'!G:G,B329)*-1+SUMIFS('Điều hàng调货'!F:F,'Điều hàng调货'!A:A,K329,'Điều hàng调货'!H:H,B329)</f>
        <v>17</v>
      </c>
      <c r="J329" s="31">
        <f t="shared" si="17"/>
        <v>0</v>
      </c>
      <c r="K329" s="31">
        <f>VLOOKUP($D329,SKU!$A:$I,3,FALSE)</f>
        <v>10035</v>
      </c>
      <c r="L329" s="31" t="str">
        <f>VLOOKUP($D329,SKU!$A:$I,2,FALSE)</f>
        <v>KK CARD × 新海诚系列第一弹</v>
      </c>
    </row>
    <row r="330" spans="2:12">
      <c r="B330" s="63" t="s">
        <v>78</v>
      </c>
      <c r="C330" s="29" t="s">
        <v>428</v>
      </c>
      <c r="D330" s="29" t="s">
        <v>319</v>
      </c>
      <c r="E330" s="30">
        <f>SUMIFS(Xuất出库!D:D,Xuất出库!G:G,B330,Xuất出库!C:C,D330)</f>
        <v>10</v>
      </c>
      <c r="F330" s="31">
        <f>SUMIFS(Xuất出库!E:E,Xuất出库!G:G,B330,Xuất出库!C:C,D330)+SUMIFS(Xuất出库!F:F,Xuất出库!G:G,B330,Xuất出库!C:C,D330)</f>
        <v>10</v>
      </c>
      <c r="G330" s="29">
        <f>1+3</f>
        <v>4</v>
      </c>
      <c r="H330" s="31">
        <f>SUMIFS(Hoàn回库!E:E,Hoàn回库!G:G,B330,Hoàn回库!C:C,D330)+SUMIFS(Hoàn回库!F:F,Hoàn回库!G:G,B330,Hoàn回库!C:C,D330)</f>
        <v>0</v>
      </c>
      <c r="I330" s="31">
        <f>SUMIFS('Điều hàng调货'!E:E,'Điều hàng调货'!A:A,K330,'Điều hàng调货'!G:G,B330)*-1+SUMIFS('Điều hàng调货'!E:E,'Điều hàng调货'!A:A,K330,'Điều hàng调货'!H:H,B330)+SUMIFS('Điều hàng调货'!F:F,'Điều hàng调货'!A:A,K330,'Điều hàng调货'!G:G,B330)*-1+SUMIFS('Điều hàng调货'!F:F,'Điều hàng调货'!A:A,K330,'Điều hàng调货'!H:H,B330)</f>
        <v>8</v>
      </c>
      <c r="J330" s="31">
        <f t="shared" si="17"/>
        <v>14</v>
      </c>
      <c r="K330" s="31">
        <f>VLOOKUP($D330,SKU!$A:$I,3,FALSE)</f>
        <v>10086</v>
      </c>
      <c r="L330" s="31" t="str">
        <f>VLOOKUP($D330,SKU!$A:$I,2,FALSE)</f>
        <v>【潮迷文创】名侦探柯南-危险排队-周边创意艺术色纸</v>
      </c>
    </row>
    <row r="331" spans="2:12">
      <c r="B331" s="63" t="s">
        <v>78</v>
      </c>
      <c r="C331" s="29" t="s">
        <v>428</v>
      </c>
      <c r="D331" s="29" t="s">
        <v>371</v>
      </c>
      <c r="E331" s="30">
        <f>SUMIFS(Xuất出库!D:D,Xuất出库!G:G,B331,Xuất出库!C:C,D331)</f>
        <v>0</v>
      </c>
      <c r="F331" s="31">
        <f>SUMIFS(Xuất出库!E:E,Xuất出库!G:G,B331,Xuất出库!C:C,D331)+SUMIFS(Xuất出库!F:F,Xuất出库!G:G,B331,Xuất出库!C:C,D331)</f>
        <v>0</v>
      </c>
      <c r="G331" s="29">
        <f>29+1+11</f>
        <v>41</v>
      </c>
      <c r="H331" s="31">
        <f>SUMIFS(Hoàn回库!E:E,Hoàn回库!G:G,B331,Hoàn回库!C:C,D331)+SUMIFS(Hoàn回库!F:F,Hoàn回库!G:G,B331,Hoàn回库!C:C,D331)</f>
        <v>0</v>
      </c>
      <c r="I331" s="31">
        <f>SUMIFS('Điều hàng调货'!E:E,'Điều hàng调货'!A:A,K331,'Điều hàng调货'!G:G,B331)*-1+SUMIFS('Điều hàng调货'!E:E,'Điều hàng调货'!A:A,K331,'Điều hàng调货'!H:H,B331)+SUMIFS('Điều hàng调货'!F:F,'Điều hàng调货'!A:A,K331,'Điều hàng调货'!G:G,B331)*-1+SUMIFS('Điều hàng调货'!F:F,'Điều hàng调货'!A:A,K331,'Điều hàng调货'!H:H,B331)</f>
        <v>41</v>
      </c>
      <c r="J331" s="31">
        <f t="shared" si="17"/>
        <v>0</v>
      </c>
      <c r="K331" s="31">
        <f>VLOOKUP($D331,SKU!$A:$I,3,FALSE)</f>
        <v>10105</v>
      </c>
      <c r="L331" s="31" t="str">
        <f>VLOOKUP($D331,SKU!$A:$I,2,FALSE)</f>
        <v>木木卡舍·鬼灭之刃无限城篇</v>
      </c>
    </row>
    <row r="332" spans="2:12">
      <c r="B332" s="63" t="s">
        <v>78</v>
      </c>
      <c r="C332" s="29" t="s">
        <v>428</v>
      </c>
      <c r="D332" s="34" t="s">
        <v>358</v>
      </c>
      <c r="E332" s="30">
        <f>SUMIFS(Xuất出库!D:D,Xuất出库!G:G,B332,Xuất出库!C:C,D332)</f>
        <v>5</v>
      </c>
      <c r="F332" s="31">
        <f>SUMIFS(Xuất出库!E:E,Xuất出库!G:G,B332,Xuất出库!C:C,D332)+SUMIFS(Xuất出库!F:F,Xuất出库!G:G,B332,Xuất出库!C:C,D332)</f>
        <v>65</v>
      </c>
      <c r="G332" s="29">
        <f>13+13</f>
        <v>26</v>
      </c>
      <c r="H332" s="31">
        <f>SUMIFS(Hoàn回库!E:E,Hoàn回库!G:G,B332,Hoàn回库!C:C,D332)+SUMIFS(Hoàn回库!F:F,Hoàn回库!G:G,B332,Hoàn回库!C:C,D332)</f>
        <v>0</v>
      </c>
      <c r="I332" s="31">
        <f>SUMIFS('Điều hàng调货'!E:E,'Điều hàng调货'!A:A,K332,'Điều hàng调货'!G:G,B332)*-1+SUMIFS('Điều hàng调货'!E:E,'Điều hàng调货'!A:A,K332,'Điều hàng调货'!H:H,B332)+SUMIFS('Điều hàng调货'!F:F,'Điều hàng调货'!A:A,K332,'Điều hàng调货'!G:G,B332)*-1+SUMIFS('Điều hàng调货'!F:F,'Điều hàng调货'!A:A,K332,'Điều hàng调货'!H:H,B332)</f>
        <v>0</v>
      </c>
      <c r="J332" s="31">
        <f t="shared" ref="J332:J344" si="18">F332-G332-H332+I332</f>
        <v>39</v>
      </c>
      <c r="K332" s="31">
        <f>VLOOKUP($D332,SKU!$A:$I,3,FALSE)</f>
        <v>10100</v>
      </c>
      <c r="L332" s="31" t="str">
        <f>VLOOKUP($D332,SKU!$A:$I,2,FALSE)</f>
        <v>《意卡文创海贼王》第二弹</v>
      </c>
    </row>
    <row r="333" spans="2:12">
      <c r="B333" s="63" t="s">
        <v>78</v>
      </c>
      <c r="C333" s="29" t="s">
        <v>428</v>
      </c>
      <c r="D333" s="29"/>
      <c r="E333" s="30">
        <f>SUMIFS(Xuất出库!D:D,Xuất出库!G:G,B333,Xuất出库!C:C,D333)</f>
        <v>0</v>
      </c>
      <c r="F333" s="31">
        <f>SUMIFS(Xuất出库!E:E,Xuất出库!G:G,B333,Xuất出库!C:C,D333)+SUMIFS(Xuất出库!F:F,Xuất出库!G:G,B333,Xuất出库!C:C,D333)</f>
        <v>0</v>
      </c>
      <c r="G333" s="29"/>
      <c r="H333" s="31">
        <f>SUMIFS(Hoàn回库!E:E,Hoàn回库!G:G,B333,Hoàn回库!C:C,D333)+SUMIFS(Hoàn回库!F:F,Hoàn回库!G:G,B333,Hoàn回库!C:C,D333)</f>
        <v>0</v>
      </c>
      <c r="I333" s="31">
        <f>SUMIFS('Điều hàng调货'!E:E,'Điều hàng调货'!A:A,K333,'Điều hàng调货'!G:G,B333)*-1+SUMIFS('Điều hàng调货'!E:E,'Điều hàng调货'!A:A,K333,'Điều hàng调货'!H:H,B333)+SUMIFS('Điều hàng调货'!F:F,'Điều hàng调货'!A:A,K333,'Điều hàng调货'!G:G,B333)*-1+SUMIFS('Điều hàng调货'!F:F,'Điều hàng调货'!A:A,K333,'Điều hàng调货'!H:H,B333)</f>
        <v>0</v>
      </c>
      <c r="J333" s="31">
        <f t="shared" si="18"/>
        <v>0</v>
      </c>
      <c r="K333" s="31" t="e">
        <f>VLOOKUP($D333,SKU!$A:$I,3,FALSE)</f>
        <v>#N/A</v>
      </c>
      <c r="L333" s="31" t="e">
        <f>VLOOKUP($D333,SKU!$A:$I,2,FALSE)</f>
        <v>#N/A</v>
      </c>
    </row>
    <row r="334" spans="2:12">
      <c r="B334" s="63" t="s">
        <v>78</v>
      </c>
      <c r="C334" s="29" t="s">
        <v>428</v>
      </c>
      <c r="D334" s="29"/>
      <c r="E334" s="30">
        <f>SUMIFS(Xuất出库!D:D,Xuất出库!G:G,B334,Xuất出库!C:C,D334)</f>
        <v>0</v>
      </c>
      <c r="F334" s="31">
        <f>SUMIFS(Xuất出库!E:E,Xuất出库!G:G,B334,Xuất出库!C:C,D334)+SUMIFS(Xuất出库!F:F,Xuất出库!G:G,B334,Xuất出库!C:C,D334)</f>
        <v>0</v>
      </c>
      <c r="G334" s="29"/>
      <c r="H334" s="31">
        <f>SUMIFS(Hoàn回库!E:E,Hoàn回库!G:G,B334,Hoàn回库!C:C,D334)+SUMIFS(Hoàn回库!F:F,Hoàn回库!G:G,B334,Hoàn回库!C:C,D334)</f>
        <v>0</v>
      </c>
      <c r="I334" s="31">
        <f>SUMIFS('Điều hàng调货'!E:E,'Điều hàng调货'!A:A,K334,'Điều hàng调货'!G:G,B334)*-1+SUMIFS('Điều hàng调货'!E:E,'Điều hàng调货'!A:A,K334,'Điều hàng调货'!H:H,B334)+SUMIFS('Điều hàng调货'!F:F,'Điều hàng调货'!A:A,K334,'Điều hàng调货'!G:G,B334)*-1+SUMIFS('Điều hàng调货'!F:F,'Điều hàng调货'!A:A,K334,'Điều hàng调货'!H:H,B334)</f>
        <v>0</v>
      </c>
      <c r="J334" s="31">
        <f t="shared" si="18"/>
        <v>0</v>
      </c>
      <c r="K334" s="31" t="e">
        <f>VLOOKUP($D334,SKU!$A:$I,3,FALSE)</f>
        <v>#N/A</v>
      </c>
      <c r="L334" s="31" t="e">
        <f>VLOOKUP($D334,SKU!$A:$I,2,FALSE)</f>
        <v>#N/A</v>
      </c>
    </row>
    <row r="335" spans="2:12">
      <c r="B335" s="63" t="s">
        <v>78</v>
      </c>
      <c r="C335" s="29" t="s">
        <v>428</v>
      </c>
      <c r="D335" s="29"/>
      <c r="E335" s="30">
        <f>SUMIFS(Xuất出库!D:D,Xuất出库!G:G,B335,Xuất出库!C:C,D335)</f>
        <v>0</v>
      </c>
      <c r="F335" s="31">
        <f>SUMIFS(Xuất出库!E:E,Xuất出库!G:G,B335,Xuất出库!C:C,D335)+SUMIFS(Xuất出库!F:F,Xuất出库!G:G,B335,Xuất出库!C:C,D335)</f>
        <v>0</v>
      </c>
      <c r="G335" s="29"/>
      <c r="H335" s="31">
        <f>SUMIFS(Hoàn回库!E:E,Hoàn回库!G:G,B335,Hoàn回库!C:C,D335)+SUMIFS(Hoàn回库!F:F,Hoàn回库!G:G,B335,Hoàn回库!C:C,D335)</f>
        <v>0</v>
      </c>
      <c r="I335" s="31">
        <f>SUMIFS('Điều hàng调货'!E:E,'Điều hàng调货'!A:A,K335,'Điều hàng调货'!G:G,B335)*-1+SUMIFS('Điều hàng调货'!E:E,'Điều hàng调货'!A:A,K335,'Điều hàng调货'!H:H,B335)+SUMIFS('Điều hàng调货'!F:F,'Điều hàng调货'!A:A,K335,'Điều hàng调货'!G:G,B335)*-1+SUMIFS('Điều hàng调货'!F:F,'Điều hàng调货'!A:A,K335,'Điều hàng调货'!H:H,B335)</f>
        <v>0</v>
      </c>
      <c r="J335" s="31">
        <f t="shared" si="18"/>
        <v>0</v>
      </c>
      <c r="K335" s="31" t="e">
        <f>VLOOKUP($D335,SKU!$A:$I,3,FALSE)</f>
        <v>#N/A</v>
      </c>
      <c r="L335" s="31" t="e">
        <f>VLOOKUP($D335,SKU!$A:$I,2,FALSE)</f>
        <v>#N/A</v>
      </c>
    </row>
    <row r="336" spans="2:12">
      <c r="B336" s="63" t="s">
        <v>78</v>
      </c>
      <c r="C336" s="29" t="s">
        <v>428</v>
      </c>
      <c r="D336" s="29"/>
      <c r="E336" s="30">
        <f>SUMIFS(Xuất出库!D:D,Xuất出库!G:G,B336,Xuất出库!C:C,D336)</f>
        <v>0</v>
      </c>
      <c r="F336" s="31">
        <f>SUMIFS(Xuất出库!E:E,Xuất出库!G:G,B336,Xuất出库!C:C,D336)+SUMIFS(Xuất出库!F:F,Xuất出库!G:G,B336,Xuất出库!C:C,D336)</f>
        <v>0</v>
      </c>
      <c r="G336" s="29"/>
      <c r="H336" s="31">
        <f>SUMIFS(Hoàn回库!E:E,Hoàn回库!G:G,B336,Hoàn回库!C:C,D336)+SUMIFS(Hoàn回库!F:F,Hoàn回库!G:G,B336,Hoàn回库!C:C,D336)</f>
        <v>0</v>
      </c>
      <c r="I336" s="31">
        <f>SUMIFS('Điều hàng调货'!E:E,'Điều hàng调货'!A:A,K336,'Điều hàng调货'!G:G,B336)*-1+SUMIFS('Điều hàng调货'!E:E,'Điều hàng调货'!A:A,K336,'Điều hàng调货'!H:H,B336)+SUMIFS('Điều hàng调货'!F:F,'Điều hàng调货'!A:A,K336,'Điều hàng调货'!G:G,B336)*-1+SUMIFS('Điều hàng调货'!F:F,'Điều hàng调货'!A:A,K336,'Điều hàng调货'!H:H,B336)</f>
        <v>0</v>
      </c>
      <c r="J336" s="31">
        <f t="shared" si="18"/>
        <v>0</v>
      </c>
      <c r="K336" s="31" t="e">
        <f>VLOOKUP($D336,SKU!$A:$I,3,FALSE)</f>
        <v>#N/A</v>
      </c>
      <c r="L336" s="31" t="e">
        <f>VLOOKUP($D336,SKU!$A:$I,2,FALSE)</f>
        <v>#N/A</v>
      </c>
    </row>
    <row r="337" spans="1:12">
      <c r="B337" s="63" t="s">
        <v>78</v>
      </c>
      <c r="C337" s="29" t="s">
        <v>428</v>
      </c>
      <c r="D337" s="29"/>
      <c r="E337" s="30">
        <f>SUMIFS(Xuất出库!D:D,Xuất出库!G:G,B337,Xuất出库!C:C,D337)</f>
        <v>0</v>
      </c>
      <c r="F337" s="31">
        <f>SUMIFS(Xuất出库!E:E,Xuất出库!G:G,B337,Xuất出库!C:C,D337)+SUMIFS(Xuất出库!F:F,Xuất出库!G:G,B337,Xuất出库!C:C,D337)</f>
        <v>0</v>
      </c>
      <c r="G337" s="29"/>
      <c r="H337" s="31">
        <f>SUMIFS(Hoàn回库!E:E,Hoàn回库!G:G,B337,Hoàn回库!C:C,D337)+SUMIFS(Hoàn回库!F:F,Hoàn回库!G:G,B337,Hoàn回库!C:C,D337)</f>
        <v>0</v>
      </c>
      <c r="I337" s="31">
        <f>SUMIFS('Điều hàng调货'!E:E,'Điều hàng调货'!A:A,K337,'Điều hàng调货'!G:G,B337)*-1+SUMIFS('Điều hàng调货'!E:E,'Điều hàng调货'!A:A,K337,'Điều hàng调货'!H:H,B337)+SUMIFS('Điều hàng调货'!F:F,'Điều hàng调货'!A:A,K337,'Điều hàng调货'!G:G,B337)*-1+SUMIFS('Điều hàng调货'!F:F,'Điều hàng调货'!A:A,K337,'Điều hàng调货'!H:H,B337)</f>
        <v>0</v>
      </c>
      <c r="J337" s="31">
        <f t="shared" si="18"/>
        <v>0</v>
      </c>
      <c r="K337" s="31" t="e">
        <f>VLOOKUP($D337,SKU!$A:$I,3,FALSE)</f>
        <v>#N/A</v>
      </c>
      <c r="L337" s="31" t="e">
        <f>VLOOKUP($D337,SKU!$A:$I,2,FALSE)</f>
        <v>#N/A</v>
      </c>
    </row>
    <row r="338" spans="1:12">
      <c r="B338" s="63" t="s">
        <v>78</v>
      </c>
      <c r="C338" s="29" t="s">
        <v>428</v>
      </c>
      <c r="D338" s="29"/>
      <c r="E338" s="30">
        <f>SUMIFS(Xuất出库!D:D,Xuất出库!G:G,B338,Xuất出库!C:C,D338)</f>
        <v>0</v>
      </c>
      <c r="F338" s="31">
        <f>SUMIFS(Xuất出库!E:E,Xuất出库!G:G,B338,Xuất出库!C:C,D338)+SUMIFS(Xuất出库!F:F,Xuất出库!G:G,B338,Xuất出库!C:C,D338)</f>
        <v>0</v>
      </c>
      <c r="G338" s="29"/>
      <c r="H338" s="31">
        <f>SUMIFS(Hoàn回库!E:E,Hoàn回库!G:G,B338,Hoàn回库!C:C,D338)+SUMIFS(Hoàn回库!F:F,Hoàn回库!G:G,B338,Hoàn回库!C:C,D338)</f>
        <v>0</v>
      </c>
      <c r="I338" s="31">
        <f>SUMIFS('Điều hàng调货'!E:E,'Điều hàng调货'!A:A,K338,'Điều hàng调货'!G:G,B338)*-1+SUMIFS('Điều hàng调货'!E:E,'Điều hàng调货'!A:A,K338,'Điều hàng调货'!H:H,B338)+SUMIFS('Điều hàng调货'!F:F,'Điều hàng调货'!A:A,K338,'Điều hàng调货'!G:G,B338)*-1+SUMIFS('Điều hàng调货'!F:F,'Điều hàng调货'!A:A,K338,'Điều hàng调货'!H:H,B338)</f>
        <v>0</v>
      </c>
      <c r="J338" s="31">
        <f t="shared" si="18"/>
        <v>0</v>
      </c>
      <c r="K338" s="31" t="e">
        <f>VLOOKUP($D338,SKU!$A:$I,3,FALSE)</f>
        <v>#N/A</v>
      </c>
      <c r="L338" s="31" t="e">
        <f>VLOOKUP($D338,SKU!$A:$I,2,FALSE)</f>
        <v>#N/A</v>
      </c>
    </row>
    <row r="339" spans="1:12">
      <c r="B339" s="63" t="s">
        <v>78</v>
      </c>
      <c r="C339" s="29" t="s">
        <v>428</v>
      </c>
      <c r="D339" s="29"/>
      <c r="E339" s="30">
        <f>SUMIFS(Xuất出库!D:D,Xuất出库!G:G,B339,Xuất出库!C:C,D339)</f>
        <v>0</v>
      </c>
      <c r="F339" s="31">
        <f>SUMIFS(Xuất出库!E:E,Xuất出库!G:G,B339,Xuất出库!C:C,D339)+SUMIFS(Xuất出库!F:F,Xuất出库!G:G,B339,Xuất出库!C:C,D339)</f>
        <v>0</v>
      </c>
      <c r="G339" s="29"/>
      <c r="H339" s="31">
        <f>SUMIFS(Hoàn回库!E:E,Hoàn回库!G:G,B339,Hoàn回库!C:C,D339)+SUMIFS(Hoàn回库!F:F,Hoàn回库!G:G,B339,Hoàn回库!C:C,D339)</f>
        <v>0</v>
      </c>
      <c r="I339" s="31">
        <f>SUMIFS('Điều hàng调货'!E:E,'Điều hàng调货'!A:A,K339,'Điều hàng调货'!G:G,B339)*-1+SUMIFS('Điều hàng调货'!E:E,'Điều hàng调货'!A:A,K339,'Điều hàng调货'!H:H,B339)+SUMIFS('Điều hàng调货'!F:F,'Điều hàng调货'!A:A,K339,'Điều hàng调货'!G:G,B339)*-1+SUMIFS('Điều hàng调货'!F:F,'Điều hàng调货'!A:A,K339,'Điều hàng调货'!H:H,B339)</f>
        <v>0</v>
      </c>
      <c r="J339" s="31">
        <f t="shared" si="18"/>
        <v>0</v>
      </c>
      <c r="K339" s="31" t="e">
        <f>VLOOKUP($D339,SKU!$A:$I,3,FALSE)</f>
        <v>#N/A</v>
      </c>
      <c r="L339" s="31" t="e">
        <f>VLOOKUP($D339,SKU!$A:$I,2,FALSE)</f>
        <v>#N/A</v>
      </c>
    </row>
    <row r="340" spans="1:12">
      <c r="B340" s="63" t="s">
        <v>78</v>
      </c>
      <c r="C340" s="29" t="s">
        <v>428</v>
      </c>
      <c r="D340" s="29"/>
      <c r="E340" s="30">
        <f>SUMIFS(Xuất出库!D:D,Xuất出库!G:G,B340,Xuất出库!C:C,D340)</f>
        <v>0</v>
      </c>
      <c r="F340" s="31">
        <f>SUMIFS(Xuất出库!E:E,Xuất出库!G:G,B340,Xuất出库!C:C,D340)+SUMIFS(Xuất出库!F:F,Xuất出库!G:G,B340,Xuất出库!C:C,D340)</f>
        <v>0</v>
      </c>
      <c r="G340" s="29"/>
      <c r="H340" s="31">
        <f>SUMIFS(Hoàn回库!E:E,Hoàn回库!G:G,B340,Hoàn回库!C:C,D340)+SUMIFS(Hoàn回库!F:F,Hoàn回库!G:G,B340,Hoàn回库!C:C,D340)</f>
        <v>0</v>
      </c>
      <c r="I340" s="31">
        <f>SUMIFS('Điều hàng调货'!E:E,'Điều hàng调货'!A:A,K340,'Điều hàng调货'!G:G,B340)*-1+SUMIFS('Điều hàng调货'!E:E,'Điều hàng调货'!A:A,K340,'Điều hàng调货'!H:H,B340)+SUMIFS('Điều hàng调货'!F:F,'Điều hàng调货'!A:A,K340,'Điều hàng调货'!G:G,B340)*-1+SUMIFS('Điều hàng调货'!F:F,'Điều hàng调货'!A:A,K340,'Điều hàng调货'!H:H,B340)</f>
        <v>0</v>
      </c>
      <c r="J340" s="31">
        <f t="shared" si="18"/>
        <v>0</v>
      </c>
      <c r="K340" s="31" t="e">
        <f>VLOOKUP($D340,SKU!$A:$I,3,FALSE)</f>
        <v>#N/A</v>
      </c>
      <c r="L340" s="31" t="e">
        <f>VLOOKUP($D340,SKU!$A:$I,2,FALSE)</f>
        <v>#N/A</v>
      </c>
    </row>
    <row r="341" spans="1:12">
      <c r="B341" s="63" t="s">
        <v>78</v>
      </c>
      <c r="C341" s="29" t="s">
        <v>428</v>
      </c>
      <c r="D341" s="29"/>
      <c r="E341" s="30">
        <f>SUMIFS(Xuất出库!D:D,Xuất出库!G:G,B341,Xuất出库!C:C,D341)</f>
        <v>0</v>
      </c>
      <c r="F341" s="31">
        <f>SUMIFS(Xuất出库!E:E,Xuất出库!G:G,B341,Xuất出库!C:C,D341)+SUMIFS(Xuất出库!F:F,Xuất出库!G:G,B341,Xuất出库!C:C,D341)</f>
        <v>0</v>
      </c>
      <c r="G341" s="29"/>
      <c r="H341" s="31">
        <f>SUMIFS(Hoàn回库!E:E,Hoàn回库!G:G,B341,Hoàn回库!C:C,D341)+SUMIFS(Hoàn回库!F:F,Hoàn回库!G:G,B341,Hoàn回库!C:C,D341)</f>
        <v>0</v>
      </c>
      <c r="I341" s="31">
        <f>SUMIFS('Điều hàng调货'!E:E,'Điều hàng调货'!A:A,K341,'Điều hàng调货'!G:G,B341)*-1+SUMIFS('Điều hàng调货'!E:E,'Điều hàng调货'!A:A,K341,'Điều hàng调货'!H:H,B341)+SUMIFS('Điều hàng调货'!F:F,'Điều hàng调货'!A:A,K341,'Điều hàng调货'!G:G,B341)*-1+SUMIFS('Điều hàng调货'!F:F,'Điều hàng调货'!A:A,K341,'Điều hàng调货'!H:H,B341)</f>
        <v>0</v>
      </c>
      <c r="J341" s="31">
        <f t="shared" si="18"/>
        <v>0</v>
      </c>
      <c r="K341" s="31" t="e">
        <f>VLOOKUP($D341,SKU!$A:$I,3,FALSE)</f>
        <v>#N/A</v>
      </c>
      <c r="L341" s="31" t="e">
        <f>VLOOKUP($D341,SKU!$A:$I,2,FALSE)</f>
        <v>#N/A</v>
      </c>
    </row>
    <row r="342" spans="1:12">
      <c r="B342" s="63" t="s">
        <v>78</v>
      </c>
      <c r="C342" s="29" t="s">
        <v>428</v>
      </c>
      <c r="D342" s="29"/>
      <c r="E342" s="30">
        <f>SUMIFS(Xuất出库!D:D,Xuất出库!G:G,B342,Xuất出库!C:C,D342)</f>
        <v>0</v>
      </c>
      <c r="F342" s="31">
        <f>SUMIFS(Xuất出库!E:E,Xuất出库!G:G,B342,Xuất出库!C:C,D342)+SUMIFS(Xuất出库!F:F,Xuất出库!G:G,B342,Xuất出库!C:C,D342)</f>
        <v>0</v>
      </c>
      <c r="G342" s="29"/>
      <c r="H342" s="31">
        <f>SUMIFS(Hoàn回库!E:E,Hoàn回库!G:G,B342,Hoàn回库!C:C,D342)+SUMIFS(Hoàn回库!F:F,Hoàn回库!G:G,B342,Hoàn回库!C:C,D342)</f>
        <v>0</v>
      </c>
      <c r="I342" s="31">
        <f>SUMIFS('Điều hàng调货'!E:E,'Điều hàng调货'!A:A,K342,'Điều hàng调货'!G:G,B342)*-1+SUMIFS('Điều hàng调货'!E:E,'Điều hàng调货'!A:A,K342,'Điều hàng调货'!H:H,B342)+SUMIFS('Điều hàng调货'!F:F,'Điều hàng调货'!A:A,K342,'Điều hàng调货'!G:G,B342)*-1+SUMIFS('Điều hàng调货'!F:F,'Điều hàng调货'!A:A,K342,'Điều hàng调货'!H:H,B342)</f>
        <v>0</v>
      </c>
      <c r="J342" s="31">
        <f t="shared" si="18"/>
        <v>0</v>
      </c>
      <c r="K342" s="31" t="e">
        <f>VLOOKUP($D342,SKU!$A:$I,3,FALSE)</f>
        <v>#N/A</v>
      </c>
      <c r="L342" s="31" t="e">
        <f>VLOOKUP($D342,SKU!$A:$I,2,FALSE)</f>
        <v>#N/A</v>
      </c>
    </row>
    <row r="343" ht="15.75" spans="1:12">
      <c r="B343" s="85" t="s">
        <v>78</v>
      </c>
      <c r="C343" s="56" t="s">
        <v>428</v>
      </c>
      <c r="D343" s="37"/>
      <c r="E343" s="38">
        <f>SUMIFS(Xuất出库!D:D,Xuất出库!G:G,B343,Xuất出库!C:C,D343)</f>
        <v>0</v>
      </c>
      <c r="F343" s="39">
        <f>SUMIFS(Xuất出库!E:E,Xuất出库!G:G,B343,Xuất出库!C:C,D343)+SUMIFS(Xuất出库!F:F,Xuất出库!G:G,B343,Xuất出库!C:C,D343)</f>
        <v>0</v>
      </c>
      <c r="G343" s="37"/>
      <c r="H343" s="39">
        <f>SUMIFS(Hoàn回库!E:E,Hoàn回库!G:G,B343,Hoàn回库!C:C,D343)+SUMIFS(Hoàn回库!F:F,Hoàn回库!G:G,B343,Hoàn回库!C:C,D343)</f>
        <v>0</v>
      </c>
      <c r="I343" s="39">
        <f>SUMIFS('Điều hàng调货'!E:E,'Điều hàng调货'!A:A,K343,'Điều hàng调货'!G:G,B343)*-1+SUMIFS('Điều hàng调货'!E:E,'Điều hàng调货'!A:A,K343,'Điều hàng调货'!H:H,B343)+SUMIFS('Điều hàng调货'!F:F,'Điều hàng调货'!A:A,K343,'Điều hàng调货'!G:G,B343)*-1+SUMIFS('Điều hàng调货'!F:F,'Điều hàng调货'!A:A,K343,'Điều hàng调货'!H:H,B343)</f>
        <v>0</v>
      </c>
      <c r="J343" s="39">
        <f t="shared" si="18"/>
        <v>0</v>
      </c>
      <c r="K343" s="39" t="e">
        <f>VLOOKUP($D343,SKU!$A:$I,3,FALSE)</f>
        <v>#N/A</v>
      </c>
      <c r="L343" s="39" t="e">
        <f>VLOOKUP($D343,SKU!$A:$I,2,FALSE)</f>
        <v>#N/A</v>
      </c>
    </row>
    <row r="344" ht="16.5" spans="1:12">
      <c r="A344" s="6"/>
      <c r="B344" s="80" t="s">
        <v>106</v>
      </c>
      <c r="C344" s="53" t="s">
        <v>428</v>
      </c>
      <c r="D344" s="23" t="s">
        <v>111</v>
      </c>
      <c r="E344" s="24">
        <f>SUMIFS(Xuất出库!D:D,Xuất出库!G:G,B344,Xuất出库!C:C,D344)</f>
        <v>0</v>
      </c>
      <c r="F344" s="25">
        <f>SUMIFS(Xuất出库!E:E,Xuất出库!G:G,B344,Xuất出库!C:C,D344)+SUMIFS(Xuất出库!F:F,Xuất出库!G:G,B344,Xuất出库!C:C,D344)</f>
        <v>12</v>
      </c>
      <c r="G344" s="23">
        <f>1</f>
        <v>1</v>
      </c>
      <c r="H344" s="25">
        <f>SUMIFS(Hoàn回库!E:E,Hoàn回库!G:G,B344,Hoàn回库!C:C,D344)+SUMIFS(Hoàn回库!F:F,Hoàn回库!G:G,B344,Hoàn回库!C:C,D344)</f>
        <v>0</v>
      </c>
      <c r="I344" s="25">
        <f>SUMIFS('Điều hàng调货'!E:E,'Điều hàng调货'!A:A,K344,'Điều hàng调货'!G:G,B344)*-1+SUMIFS('Điều hàng调货'!E:E,'Điều hàng调货'!A:A,K344,'Điều hàng调货'!H:H,B344)+SUMIFS('Điều hàng调货'!F:F,'Điều hàng调货'!A:A,K344,'Điều hàng调货'!G:G,B344)*-1+SUMIFS('Điều hàng调货'!F:F,'Điều hàng调货'!A:A,K344,'Điều hàng调货'!H:H,B344)</f>
        <v>0</v>
      </c>
      <c r="J344" s="25">
        <f t="shared" si="18"/>
        <v>11</v>
      </c>
      <c r="K344" s="25">
        <f>VLOOKUP($D344,SKU!$A:$I,3,FALSE)</f>
        <v>10021</v>
      </c>
      <c r="L344" s="25" t="str">
        <f>VLOOKUP($D344,SKU!$A:$I,2,FALSE)</f>
        <v>新谷动漫名侦探柯南·仲夏夜之恋邮票集</v>
      </c>
    </row>
    <row r="345" ht="15.75" spans="1:12">
      <c r="A345" s="15"/>
      <c r="B345" s="86" t="s">
        <v>146</v>
      </c>
      <c r="C345" s="87" t="s">
        <v>428</v>
      </c>
      <c r="D345" s="87" t="s">
        <v>241</v>
      </c>
      <c r="E345" s="88">
        <f>SUMIFS(Xuất出库!D:D,Xuất出库!G:G,B345,Xuất出库!C:C,D345)</f>
        <v>0</v>
      </c>
      <c r="F345" s="89">
        <f>SUMIFS(Xuất出库!E:E,Xuất出库!G:G,B345,Xuất出库!C:C,D345)+SUMIFS(Xuất出库!F:F,Xuất出库!G:G,B345,Xuất出库!C:C,D345)</f>
        <v>0</v>
      </c>
      <c r="G345" s="87">
        <f>2</f>
        <v>2</v>
      </c>
      <c r="H345" s="90">
        <f>SUMIFS(Hoàn回库!E:E,Hoàn回库!G:G,B345,Hoàn回库!C:C,D345)+SUMIFS(Hoàn回库!F:F,Hoàn回库!G:G,B345,Hoàn回库!C:C,D345)</f>
        <v>0</v>
      </c>
      <c r="I345" s="25">
        <f>SUMIFS('Điều hàng调货'!E:E,'Điều hàng调货'!A:A,K345,'Điều hàng调货'!G:G,B345)*-1+SUMIFS('Điều hàng调货'!E:E,'Điều hàng调货'!A:A,K345,'Điều hàng调货'!H:H,B345)+SUMIFS('Điều hàng调货'!F:F,'Điều hàng调货'!A:A,K345,'Điều hàng调货'!G:G,B345)*-1+SUMIFS('Điều hàng调货'!F:F,'Điều hàng调货'!A:A,K345,'Điều hàng调货'!H:H,B345)</f>
        <v>2</v>
      </c>
      <c r="J345" s="25">
        <f t="shared" ref="J345:J360" si="19">F345-G345-H345+I345</f>
        <v>0</v>
      </c>
      <c r="K345" s="90">
        <f>VLOOKUP($D345,SKU!$A:$I,3,FALSE)</f>
        <v>10057</v>
      </c>
      <c r="L345" s="90" t="str">
        <f>VLOOKUP($D345,SKU!$A:$I,2,FALSE)</f>
        <v>三丽鸥家族暖冬</v>
      </c>
    </row>
    <row r="346" spans="1:12">
      <c r="A346" s="15"/>
      <c r="B346" s="83" t="s">
        <v>146</v>
      </c>
      <c r="C346" s="29" t="s">
        <v>428</v>
      </c>
      <c r="D346" s="29" t="s">
        <v>280</v>
      </c>
      <c r="E346" s="8">
        <f>SUMIFS(Xuất出库!D:D,Xuất出库!G:G,B346,Xuất出库!C:C,D346)</f>
        <v>9</v>
      </c>
      <c r="F346" s="9">
        <f>SUMIFS(Xuất出库!E:E,Xuất出库!G:G,B346,Xuất出库!C:C,D346)+SUMIFS(Xuất出库!F:F,Xuất出库!G:G,B346,Xuất出库!C:C,D346)</f>
        <v>162</v>
      </c>
      <c r="G346" s="29">
        <f>54+3+7+3</f>
        <v>67</v>
      </c>
      <c r="H346" s="14">
        <f>SUMIFS(Hoàn回库!E:E,Hoàn回库!G:G,B346,Hoàn回库!C:C,D346)+SUMIFS(Hoàn回库!F:F,Hoàn回库!G:G,B346,Hoàn回库!C:C,D346)</f>
        <v>0</v>
      </c>
      <c r="I346" s="9">
        <f>SUMIFS('Điều hàng调货'!E:E,'Điều hàng调货'!A:A,K346,'Điều hàng调货'!G:G,B346)*-1+SUMIFS('Điều hàng调货'!E:E,'Điều hàng调货'!A:A,K346,'Điều hàng调货'!H:H,B346)+SUMIFS('Điều hàng调货'!F:F,'Điều hàng调货'!A:A,K346,'Điều hàng调货'!G:G,B346)*-1+SUMIFS('Điều hàng调货'!F:F,'Điều hàng调货'!A:A,K346,'Điều hàng调货'!H:H,B346)</f>
        <v>-41</v>
      </c>
      <c r="J346" s="9">
        <f t="shared" si="19"/>
        <v>54</v>
      </c>
      <c r="K346" s="14">
        <f>VLOOKUP($D346,SKU!$A:$I,3,FALSE)</f>
        <v>10071</v>
      </c>
      <c r="L346" s="14" t="str">
        <f>VLOOKUP($D346,SKU!$A:$I,2,FALSE)</f>
        <v>咒术回战-术士收藏卡-高专篇</v>
      </c>
    </row>
    <row r="347" spans="1:12">
      <c r="A347" s="15"/>
      <c r="B347" s="83" t="s">
        <v>146</v>
      </c>
      <c r="C347" s="29" t="s">
        <v>428</v>
      </c>
      <c r="D347" s="29" t="s">
        <v>257</v>
      </c>
      <c r="E347" s="8">
        <f>SUMIFS(Xuất出库!D:D,Xuất出库!G:G,B347,Xuất出库!C:C,D347)</f>
        <v>5</v>
      </c>
      <c r="F347" s="9">
        <f>SUMIFS(Xuất出库!E:E,Xuất出库!G:G,B347,Xuất出库!C:C,D347)+SUMIFS(Xuất出库!F:F,Xuất出库!G:G,B347,Xuất出库!C:C,D347)</f>
        <v>65</v>
      </c>
      <c r="G347" s="29">
        <f>13+2</f>
        <v>15</v>
      </c>
      <c r="H347" s="14">
        <f>SUMIFS(Hoàn回库!E:E,Hoàn回库!G:G,B347,Hoàn回库!C:C,D347)+SUMIFS(Hoàn回库!F:F,Hoàn回库!G:G,B347,Hoàn回库!C:C,D347)</f>
        <v>0</v>
      </c>
      <c r="I347" s="9">
        <f>SUMIFS('Điều hàng调货'!E:E,'Điều hàng调货'!A:A,K347,'Điều hàng调货'!G:G,B347)*-1+SUMIFS('Điều hàng调货'!E:E,'Điều hàng调货'!A:A,K347,'Điều hàng调货'!H:H,B347)+SUMIFS('Điều hàng调货'!F:F,'Điều hàng调货'!A:A,K347,'Điều hàng调货'!G:G,B347)*-1+SUMIFS('Điều hàng调货'!F:F,'Điều hàng调货'!A:A,K347,'Điều hàng调货'!H:H,B347)</f>
        <v>-50</v>
      </c>
      <c r="J347" s="9">
        <f t="shared" si="19"/>
        <v>0</v>
      </c>
      <c r="K347" s="14">
        <f>VLOOKUP($D347,SKU!$A:$I,3,FALSE)</f>
        <v>10063</v>
      </c>
      <c r="L347" s="14" t="str">
        <f>VLOOKUP($D347,SKU!$A:$I,2,FALSE)</f>
        <v>浮梦集 「童境绮梦」艺术家联名收藏卡牌</v>
      </c>
    </row>
    <row r="348" spans="1:12">
      <c r="A348" s="15"/>
      <c r="B348" s="83" t="s">
        <v>146</v>
      </c>
      <c r="C348" s="29" t="s">
        <v>428</v>
      </c>
      <c r="D348" s="29" t="s">
        <v>299</v>
      </c>
      <c r="E348" s="8">
        <f>SUMIFS(Xuất出库!D:D,Xuất出库!G:G,B348,Xuất出库!C:C,D348)</f>
        <v>10</v>
      </c>
      <c r="F348" s="9">
        <f>SUMIFS(Xuất出库!E:E,Xuất出库!G:G,B348,Xuất出库!C:C,D348)+SUMIFS(Xuất出库!F:F,Xuất出库!G:G,B348,Xuất出库!C:C,D348)</f>
        <v>10</v>
      </c>
      <c r="G348" s="29"/>
      <c r="H348" s="14">
        <f>SUMIFS(Hoàn回库!E:E,Hoàn回库!G:G,B348,Hoàn回库!C:C,D348)+SUMIFS(Hoàn回库!F:F,Hoàn回库!G:G,B348,Hoàn回库!C:C,D348)</f>
        <v>0</v>
      </c>
      <c r="I348" s="9">
        <f>SUMIFS('Điều hàng调货'!E:E,'Điều hàng调货'!A:A,K348,'Điều hàng调货'!G:G,B348)*-1+SUMIFS('Điều hàng调货'!E:E,'Điều hàng调货'!A:A,K348,'Điều hàng调货'!H:H,B348)+SUMIFS('Điều hàng调货'!F:F,'Điều hàng调货'!A:A,K348,'Điều hàng调货'!G:G,B348)*-1+SUMIFS('Điều hàng调货'!F:F,'Điều hàng调货'!A:A,K348,'Điều hàng调货'!H:H,B348)</f>
        <v>-5</v>
      </c>
      <c r="J348" s="9">
        <f t="shared" si="19"/>
        <v>5</v>
      </c>
      <c r="K348" s="14">
        <f>VLOOKUP($D348,SKU!$A:$I,3,FALSE)</f>
        <v>10078</v>
      </c>
      <c r="L348" s="14" t="str">
        <f>VLOOKUP($D348,SKU!$A:$I,2,FALSE)</f>
        <v>摩斯社×名侦探柯南-摩斯密码系列评级邮票</v>
      </c>
    </row>
    <row r="349" spans="1:12">
      <c r="A349" s="15"/>
      <c r="B349" s="83" t="s">
        <v>146</v>
      </c>
      <c r="C349" s="29" t="s">
        <v>428</v>
      </c>
      <c r="D349" s="29" t="s">
        <v>293</v>
      </c>
      <c r="E349" s="8">
        <f>SUMIFS(Xuất出库!D:D,Xuất出库!G:G,B349,Xuất出库!C:C,D349)</f>
        <v>11</v>
      </c>
      <c r="F349" s="9">
        <f>SUMIFS(Xuất出库!E:E,Xuất出库!G:G,B349,Xuất出库!C:C,D349)+SUMIFS(Xuất出库!F:F,Xuất出库!G:G,B349,Xuất出库!C:C,D349)</f>
        <v>110</v>
      </c>
      <c r="G349" s="29">
        <f>27+18</f>
        <v>45</v>
      </c>
      <c r="H349" s="14">
        <f>SUMIFS(Hoàn回库!E:E,Hoàn回库!G:G,B349,Hoàn回库!C:C,D349)+SUMIFS(Hoàn回库!F:F,Hoàn回库!G:G,B349,Hoàn回库!C:C,D349)</f>
        <v>0</v>
      </c>
      <c r="I349" s="9">
        <f>SUMIFS('Điều hàng调货'!E:E,'Điều hàng调货'!A:A,K349,'Điều hàng调货'!G:G,B349)*-1+SUMIFS('Điều hàng调货'!E:E,'Điều hàng调货'!A:A,K349,'Điều hàng调货'!H:H,B349)+SUMIFS('Điều hàng调货'!F:F,'Điều hàng调货'!A:A,K349,'Điều hàng调货'!G:G,B349)*-1+SUMIFS('Điều hàng调货'!F:F,'Điều hàng调货'!A:A,K349,'Điều hàng调货'!H:H,B349)</f>
        <v>-65</v>
      </c>
      <c r="J349" s="9">
        <f t="shared" si="19"/>
        <v>0</v>
      </c>
      <c r="K349" s="14">
        <f>VLOOKUP($D349,SKU!$A:$I,3,FALSE)</f>
        <v>10076</v>
      </c>
      <c r="L349" s="14" t="str">
        <f>VLOOKUP($D349,SKU!$A:$I,2,FALSE)</f>
        <v>【Aikaho】鬼灭之刃第四弹 集结 【DS-04 Muster】</v>
      </c>
    </row>
    <row r="350" spans="1:12">
      <c r="A350" s="15"/>
      <c r="B350" s="83" t="s">
        <v>146</v>
      </c>
      <c r="C350" s="29" t="s">
        <v>428</v>
      </c>
      <c r="D350" s="29" t="s">
        <v>12</v>
      </c>
      <c r="E350" s="8">
        <f>SUMIFS(Xuất出库!D:D,Xuất出库!G:G,B350,Xuất出库!C:C,D350)</f>
        <v>5</v>
      </c>
      <c r="F350" s="9">
        <f>SUMIFS(Xuất出库!E:E,Xuất出库!G:G,B350,Xuất出库!C:C,D350)+SUMIFS(Xuất出库!F:F,Xuất出库!G:G,B350,Xuất出库!C:C,D350)</f>
        <v>5</v>
      </c>
      <c r="G350" s="29">
        <f>1</f>
        <v>1</v>
      </c>
      <c r="H350" s="14">
        <f>SUMIFS(Hoàn回库!E:E,Hoàn回库!G:G,B350,Hoàn回库!C:C,D350)+SUMIFS(Hoàn回库!F:F,Hoàn回库!G:G,B350,Hoàn回库!C:C,D350)</f>
        <v>0</v>
      </c>
      <c r="I350" s="9">
        <f>SUMIFS('Điều hàng调货'!E:E,'Điều hàng调货'!A:A,K350,'Điều hàng调货'!G:G,B350)*-1+SUMIFS('Điều hàng调货'!E:E,'Điều hàng调货'!A:A,K350,'Điều hàng调货'!H:H,B350)+SUMIFS('Điều hàng调货'!F:F,'Điều hàng调货'!A:A,K350,'Điều hàng调货'!G:G,B350)*-1+SUMIFS('Điều hàng调货'!F:F,'Điều hàng调货'!A:A,K350,'Điều hàng调货'!H:H,B350)</f>
        <v>-4</v>
      </c>
      <c r="J350" s="9">
        <f t="shared" si="19"/>
        <v>0</v>
      </c>
      <c r="K350" s="14">
        <f>VLOOKUP($D350,SKU!$A:$I,3,FALSE)</f>
        <v>10001</v>
      </c>
      <c r="L350" s="14" t="str">
        <f>VLOOKUP($D350,SKU!$A:$I,2,FALSE)</f>
        <v>《东株社》宝可梦水晶砖</v>
      </c>
    </row>
    <row r="351" spans="1:12">
      <c r="A351" s="15"/>
      <c r="B351" s="83" t="s">
        <v>146</v>
      </c>
      <c r="C351" s="29" t="s">
        <v>428</v>
      </c>
      <c r="D351" s="29" t="s">
        <v>55</v>
      </c>
      <c r="E351" s="8">
        <f>SUMIFS(Xuất出库!D:D,Xuất出库!G:G,B351,Xuất出库!C:C,D351)</f>
        <v>5</v>
      </c>
      <c r="F351" s="9">
        <f>SUMIFS(Xuất出库!E:E,Xuất出库!G:G,B351,Xuất出库!C:C,D351)+SUMIFS(Xuất出库!F:F,Xuất出库!G:G,B351,Xuất出库!C:C,D351)</f>
        <v>50</v>
      </c>
      <c r="G351" s="29">
        <f>10+7</f>
        <v>17</v>
      </c>
      <c r="H351" s="14">
        <f>SUMIFS(Hoàn回库!E:E,Hoàn回库!G:G,B351,Hoàn回库!C:C,D351)+SUMIFS(Hoàn回库!F:F,Hoàn回库!G:G,B351,Hoàn回库!C:C,D351)</f>
        <v>0</v>
      </c>
      <c r="I351" s="9">
        <f>SUMIFS('Điều hàng调货'!E:E,'Điều hàng调货'!A:A,K351,'Điều hàng调货'!G:G,B351)*-1+SUMIFS('Điều hàng调货'!E:E,'Điều hàng调货'!A:A,K351,'Điều hàng调货'!H:H,B351)+SUMIFS('Điều hàng调货'!F:F,'Điều hàng调货'!A:A,K351,'Điều hàng调货'!G:G,B351)*-1+SUMIFS('Điều hàng调货'!F:F,'Điều hàng调货'!A:A,K351,'Điều hàng调货'!H:H,B351)</f>
        <v>-24</v>
      </c>
      <c r="J351" s="9">
        <f t="shared" si="19"/>
        <v>9</v>
      </c>
      <c r="K351" s="14">
        <f>VLOOKUP($D351,SKU!$A:$I,3,FALSE)</f>
        <v>10008</v>
      </c>
      <c r="L351" s="14" t="str">
        <f>VLOOKUP($D351,SKU!$A:$I,2,FALSE)</f>
        <v>XWork美少女战士-璀璨之梦</v>
      </c>
    </row>
    <row r="352" spans="1:12">
      <c r="A352" s="15"/>
      <c r="B352" s="83" t="s">
        <v>146</v>
      </c>
      <c r="C352" s="29" t="s">
        <v>428</v>
      </c>
      <c r="D352" s="29" t="s">
        <v>327</v>
      </c>
      <c r="E352" s="8">
        <f>SUMIFS(Xuất出库!D:D,Xuất出库!G:G,B352,Xuất出库!C:C,D352)</f>
        <v>15</v>
      </c>
      <c r="F352" s="9">
        <f>SUMIFS(Xuất出库!E:E,Xuất出库!G:G,B352,Xuất出库!C:C,D352)+SUMIFS(Xuất出库!F:F,Xuất出库!G:G,B352,Xuất出库!C:C,D352)</f>
        <v>210</v>
      </c>
      <c r="G352" s="29">
        <f>46+139</f>
        <v>185</v>
      </c>
      <c r="H352" s="14">
        <f>SUMIFS(Hoàn回库!E:E,Hoàn回库!G:G,B352,Hoàn回库!C:C,D352)+SUMIFS(Hoàn回库!F:F,Hoàn回库!G:G,B352,Hoàn回库!C:C,D352)</f>
        <v>0</v>
      </c>
      <c r="I352" s="9">
        <f>SUMIFS('Điều hàng调货'!E:E,'Điều hàng调货'!A:A,K352,'Điều hàng调货'!G:G,B352)*-1+SUMIFS('Điều hàng调货'!E:E,'Điều hàng调货'!A:A,K352,'Điều hàng调货'!H:H,B352)+SUMIFS('Điều hàng调货'!F:F,'Điều hàng调货'!A:A,K352,'Điều hàng调货'!G:G,B352)*-1+SUMIFS('Điều hàng调货'!F:F,'Điều hàng调货'!A:A,K352,'Điều hàng调货'!H:H,B352)</f>
        <v>-25</v>
      </c>
      <c r="J352" s="9">
        <f t="shared" si="19"/>
        <v>0</v>
      </c>
      <c r="K352" s="14">
        <f>VLOOKUP($D352,SKU!$A:$I,3,FALSE)</f>
        <v>10089</v>
      </c>
      <c r="L352" s="14" t="str">
        <f>VLOOKUP($D352,SKU!$A:$I,2,FALSE)</f>
        <v>星火线条小狗</v>
      </c>
    </row>
    <row r="353" spans="1:12">
      <c r="A353" s="15"/>
      <c r="B353" s="83" t="s">
        <v>146</v>
      </c>
      <c r="C353" s="29" t="s">
        <v>428</v>
      </c>
      <c r="D353" s="29" t="s">
        <v>266</v>
      </c>
      <c r="E353" s="8">
        <f>SUMIFS(Xuất出库!D:D,Xuất出库!G:G,B353,Xuất出库!C:C,D353)</f>
        <v>3</v>
      </c>
      <c r="F353" s="9">
        <f>SUMIFS(Xuất出库!E:E,Xuất出库!G:G,B353,Xuất出库!C:C,D353)+SUMIFS(Xuất出库!F:F,Xuất出库!G:G,B353,Xuất出库!C:C,D353)</f>
        <v>108</v>
      </c>
      <c r="G353" s="29">
        <f>227+68+40+66+20+18</f>
        <v>439</v>
      </c>
      <c r="H353" s="14">
        <f>SUMIFS(Hoàn回库!E:E,Hoàn回库!G:G,B353,Hoàn回库!C:C,D353)+SUMIFS(Hoàn回库!F:F,Hoàn回库!G:G,B353,Hoàn回库!C:C,D353)</f>
        <v>0</v>
      </c>
      <c r="I353" s="9">
        <f>SUMIFS('Điều hàng调货'!E:E,'Điều hàng调货'!A:A,K353,'Điều hàng调货'!G:G,B353)*-1+SUMIFS('Điều hàng调货'!E:E,'Điều hàng调货'!A:A,K353,'Điều hàng调货'!H:H,B353)+SUMIFS('Điều hàng调货'!F:F,'Điều hàng调货'!A:A,K353,'Điều hàng调货'!G:G,B353)*-1+SUMIFS('Điều hàng调货'!F:F,'Điều hàng调货'!A:A,K353,'Điều hàng调货'!H:H,B353)</f>
        <v>331</v>
      </c>
      <c r="J353" s="9">
        <f t="shared" si="19"/>
        <v>0</v>
      </c>
      <c r="K353" s="14">
        <f>VLOOKUP($D353,SKU!$A:$I,3,FALSE)</f>
        <v>10066</v>
      </c>
      <c r="L353" s="14" t="str">
        <f>VLOOKUP($D353,SKU!$A:$I,2,FALSE)</f>
        <v>卡游柯南揭秘包第2弹</v>
      </c>
    </row>
    <row r="354" spans="1:12">
      <c r="A354" s="15"/>
      <c r="B354" s="84" t="s">
        <v>146</v>
      </c>
      <c r="C354" s="91" t="s">
        <v>428</v>
      </c>
      <c r="D354" s="91" t="s">
        <v>167</v>
      </c>
      <c r="E354" s="13">
        <f>SUMIFS(Xuất出库!D:D,Xuất出库!G:G,B354,Xuất出库!C:C,D354)</f>
        <v>5</v>
      </c>
      <c r="F354" s="14">
        <f>SUMIFS(Xuất出库!E:E,Xuất出库!G:G,B354,Xuất出库!C:C,D354)+SUMIFS(Xuất出库!F:F,Xuất出库!G:G,B354,Xuất出库!C:C,D354)</f>
        <v>70</v>
      </c>
      <c r="G354" s="91">
        <f>19</f>
        <v>19</v>
      </c>
      <c r="H354" s="14">
        <f>SUMIFS(Hoàn回库!E:E,Hoàn回库!G:G,B354,Hoàn回库!C:C,D354)+SUMIFS(Hoàn回库!F:F,Hoàn回库!G:G,B354,Hoàn回库!C:C,D354)</f>
        <v>0</v>
      </c>
      <c r="I354" s="14">
        <f>SUMIFS('Điều hàng调货'!E:E,'Điều hàng调货'!A:A,K354,'Điều hàng调货'!G:G,B354)*-1+SUMIFS('Điều hàng调货'!E:E,'Điều hàng调货'!A:A,K354,'Điều hàng调货'!H:H,B354)+SUMIFS('Điều hàng调货'!F:F,'Điều hàng调货'!A:A,K354,'Điều hàng调货'!G:G,B354)*-1+SUMIFS('Điều hàng调货'!F:F,'Điều hàng调货'!A:A,K354,'Điều hàng调货'!H:H,B354)</f>
        <v>0</v>
      </c>
      <c r="J354" s="14">
        <f t="shared" si="19"/>
        <v>51</v>
      </c>
      <c r="K354" s="14">
        <f>VLOOKUP($D354,SKU!$A:$I,3,FALSE)</f>
        <v>10035</v>
      </c>
      <c r="L354" s="14" t="str">
        <f>VLOOKUP($D354,SKU!$A:$I,2,FALSE)</f>
        <v>KK CARD × 新海诚系列第一弹</v>
      </c>
    </row>
    <row r="355" spans="1:12">
      <c r="A355" s="15"/>
      <c r="B355" s="63" t="s">
        <v>146</v>
      </c>
      <c r="C355" s="29" t="s">
        <v>428</v>
      </c>
      <c r="D355" s="29" t="s">
        <v>91</v>
      </c>
      <c r="E355" s="30">
        <f>SUMIFS(Xuất出库!D:D,Xuất出库!G:G,B355,Xuất出库!C:C,D355)</f>
        <v>0</v>
      </c>
      <c r="F355" s="31">
        <f>SUMIFS(Xuất出库!E:E,Xuất出库!G:G,B355,Xuất出库!C:C,D355)+SUMIFS(Xuất出库!F:F,Xuất出库!G:G,B355,Xuất出库!C:C,D355)</f>
        <v>0</v>
      </c>
      <c r="G355" s="29">
        <f>77+22+32+33</f>
        <v>164</v>
      </c>
      <c r="H355" s="31">
        <f>SUMIFS(Hoàn回库!E:E,Hoàn回库!G:G,B355,Hoàn回库!C:C,D355)+SUMIFS(Hoàn回库!F:F,Hoàn回库!G:G,B355,Hoàn回库!C:C,D355)</f>
        <v>0</v>
      </c>
      <c r="I355" s="31">
        <f>SUMIFS('Điều hàng调货'!E:E,'Điều hàng调货'!A:A,K355,'Điều hàng调货'!G:G,B355)*-1+SUMIFS('Điều hàng调货'!E:E,'Điều hàng调货'!A:A,K355,'Điều hàng调货'!H:H,B355)+SUMIFS('Điều hàng调货'!F:F,'Điều hàng调货'!A:A,K355,'Điều hàng调货'!G:G,B355)*-1+SUMIFS('Điều hàng调货'!F:F,'Điều hàng调货'!A:A,K355,'Điều hàng调货'!H:H,B355)</f>
        <v>207</v>
      </c>
      <c r="J355" s="31">
        <f t="shared" si="19"/>
        <v>43</v>
      </c>
      <c r="K355" s="31">
        <f>VLOOKUP($D355,SKU!$A:$I,3,FALSE)</f>
        <v>10016</v>
      </c>
      <c r="L355" s="31" t="str">
        <f>VLOOKUP($D355,SKU!$A:$I,2,FALSE)</f>
        <v>思梨普文创《hey!国王陛下》集换式艺术家典藏卡</v>
      </c>
    </row>
    <row r="356" spans="1:12">
      <c r="A356" s="15"/>
      <c r="B356" s="63" t="s">
        <v>146</v>
      </c>
      <c r="C356" s="29" t="s">
        <v>428</v>
      </c>
      <c r="D356" s="29" t="s">
        <v>380</v>
      </c>
      <c r="E356" s="30">
        <f>SUMIFS(Xuất出库!D:D,Xuất出库!G:G,B356,Xuất出库!C:C,D356)</f>
        <v>5</v>
      </c>
      <c r="F356" s="31">
        <f>SUMIFS(Xuất出库!E:E,Xuất出库!G:G,B356,Xuất出库!C:C,D356)+SUMIFS(Xuất出库!F:F,Xuất出库!G:G,B356,Xuất出库!C:C,D356)</f>
        <v>50</v>
      </c>
      <c r="G356" s="29"/>
      <c r="H356" s="31">
        <f>SUMIFS(Hoàn回库!E:E,Hoàn回库!G:G,B356,Hoàn回库!C:C,D356)+SUMIFS(Hoàn回库!F:F,Hoàn回库!G:G,B356,Hoàn回库!C:C,D356)</f>
        <v>0</v>
      </c>
      <c r="I356" s="31">
        <f>SUMIFS('Điều hàng调货'!E:E,'Điều hàng调货'!A:A,K356,'Điều hàng调货'!G:G,B356)*-1+SUMIFS('Điều hàng调货'!E:E,'Điều hàng调货'!A:A,K356,'Điều hàng调货'!H:H,B356)+SUMIFS('Điều hàng调货'!F:F,'Điều hàng调货'!A:A,K356,'Điều hàng调货'!G:G,B356)*-1+SUMIFS('Điều hàng调货'!F:F,'Điều hàng调货'!A:A,K356,'Điều hàng调货'!H:H,B356)</f>
        <v>0</v>
      </c>
      <c r="J356" s="31">
        <f t="shared" si="19"/>
        <v>50</v>
      </c>
      <c r="K356" s="31">
        <f>VLOOKUP($D356,SKU!$A:$I,3,FALSE)</f>
        <v>10108</v>
      </c>
      <c r="L356" s="31">
        <f>VLOOKUP($D356,SKU!$A:$I,2,FALSE)</f>
        <v>0</v>
      </c>
    </row>
    <row r="357" spans="1:12">
      <c r="A357" s="15"/>
      <c r="B357" s="63" t="s">
        <v>146</v>
      </c>
      <c r="C357" s="29" t="s">
        <v>428</v>
      </c>
      <c r="D357" s="29" t="s">
        <v>382</v>
      </c>
      <c r="E357" s="30">
        <f>SUMIFS(Xuất出库!D:D,Xuất出库!G:G,B357,Xuất出库!C:C,D357)</f>
        <v>18</v>
      </c>
      <c r="F357" s="31">
        <f>SUMIFS(Xuất出库!E:E,Xuất出库!G:G,B357,Xuất出库!C:C,D357)+SUMIFS(Xuất出库!F:F,Xuất出库!G:G,B357,Xuất出库!C:C,D357)</f>
        <v>180</v>
      </c>
      <c r="G357" s="29">
        <f>10</f>
        <v>10</v>
      </c>
      <c r="H357" s="31">
        <f>SUMIFS(Hoàn回库!E:E,Hoàn回库!G:G,B357,Hoàn回库!C:C,D357)+SUMIFS(Hoàn回库!F:F,Hoàn回库!G:G,B357,Hoàn回库!C:C,D357)</f>
        <v>0</v>
      </c>
      <c r="I357" s="31">
        <f>SUMIFS('Điều hàng调货'!E:E,'Điều hàng调货'!A:A,K357,'Điều hàng调货'!G:G,B357)*-1+SUMIFS('Điều hàng调货'!E:E,'Điều hàng调货'!A:A,K357,'Điều hàng调货'!H:H,B357)+SUMIFS('Điều hàng调货'!F:F,'Điều hàng调货'!A:A,K357,'Điều hàng调货'!G:G,B357)*-1+SUMIFS('Điều hàng调货'!F:F,'Điều hàng调货'!A:A,K357,'Điều hàng调货'!H:H,B357)</f>
        <v>0</v>
      </c>
      <c r="J357" s="31">
        <f t="shared" si="19"/>
        <v>170</v>
      </c>
      <c r="K357" s="31">
        <f>VLOOKUP($D357,SKU!$A:$I,3,FALSE)</f>
        <v>10109</v>
      </c>
      <c r="L357" s="31">
        <f>VLOOKUP($D357,SKU!$A:$I,2,FALSE)</f>
        <v>0</v>
      </c>
    </row>
    <row r="358" spans="1:12">
      <c r="A358" s="15"/>
      <c r="B358" s="63" t="s">
        <v>146</v>
      </c>
      <c r="C358" s="29" t="s">
        <v>428</v>
      </c>
      <c r="D358" s="29" t="s">
        <v>377</v>
      </c>
      <c r="E358" s="30">
        <f>SUMIFS(Xuất出库!D:D,Xuất出库!G:G,B358,Xuất出库!C:C,D358)</f>
        <v>10</v>
      </c>
      <c r="F358" s="31">
        <f>SUMIFS(Xuất出库!E:E,Xuất出库!G:G,B358,Xuất出库!C:C,D358)+SUMIFS(Xuất出库!F:F,Xuất出库!G:G,B358,Xuất出库!C:C,D358)</f>
        <v>150</v>
      </c>
      <c r="G358" s="29">
        <f>53</f>
        <v>53</v>
      </c>
      <c r="H358" s="31">
        <f>SUMIFS(Hoàn回库!E:E,Hoàn回库!G:G,B358,Hoàn回库!C:C,D358)+SUMIFS(Hoàn回库!F:F,Hoàn回库!G:G,B358,Hoàn回库!C:C,D358)</f>
        <v>0</v>
      </c>
      <c r="I358" s="31">
        <f>SUMIFS('Điều hàng调货'!E:E,'Điều hàng调货'!A:A,K358,'Điều hàng调货'!G:G,B358)*-1+SUMIFS('Điều hàng调货'!E:E,'Điều hàng调货'!A:A,K358,'Điều hàng调货'!H:H,B358)+SUMIFS('Điều hàng调货'!F:F,'Điều hàng调货'!A:A,K358,'Điều hàng调货'!G:G,B358)*-1+SUMIFS('Điều hàng调货'!F:F,'Điều hàng调货'!A:A,K358,'Điều hàng调货'!H:H,B358)</f>
        <v>-97</v>
      </c>
      <c r="J358" s="31">
        <f t="shared" si="19"/>
        <v>0</v>
      </c>
      <c r="K358" s="31">
        <f>VLOOKUP($D358,SKU!$A:$I,3,FALSE)</f>
        <v>10107</v>
      </c>
      <c r="L358" s="31" t="str">
        <f>VLOOKUP($D358,SKU!$A:$I,2,FALSE)</f>
        <v>Hi卡柯南第四弹《一切都会大白于天下》</v>
      </c>
    </row>
    <row r="359" ht="15.75" spans="1:12">
      <c r="A359" s="15"/>
      <c r="B359" s="67" t="s">
        <v>146</v>
      </c>
      <c r="C359" s="18" t="s">
        <v>428</v>
      </c>
      <c r="D359" s="18" t="s">
        <v>367</v>
      </c>
      <c r="E359" s="50">
        <f>SUMIFS(Xuất出库!D:D,Xuất出库!G:G,B359,Xuất出库!C:C,D359)</f>
        <v>15</v>
      </c>
      <c r="F359" s="51">
        <f>SUMIFS(Xuất出库!E:E,Xuất出库!G:G,B359,Xuất出库!C:C,D359)+SUMIFS(Xuất出库!F:F,Xuất出库!G:G,B359,Xuất出库!C:C,D359)</f>
        <v>300</v>
      </c>
      <c r="G359" s="18">
        <f>135+20</f>
        <v>155</v>
      </c>
      <c r="H359" s="51">
        <f>SUMIFS(Hoàn回库!E:E,Hoàn回库!G:G,B359,Hoàn回库!C:C,D359)+SUMIFS(Hoàn回库!F:F,Hoàn回库!G:G,B359,Hoàn回库!C:C,D359)</f>
        <v>0</v>
      </c>
      <c r="I359" s="51">
        <f>SUMIFS('Điều hàng调货'!E:E,'Điều hàng调货'!A:A,K359,'Điều hàng调货'!G:G,B359)*-1+SUMIFS('Điều hàng调货'!E:E,'Điều hàng调货'!A:A,K359,'Điều hàng调货'!H:H,B359)+SUMIFS('Điều hàng调货'!F:F,'Điều hàng调货'!A:A,K359,'Điều hàng调货'!G:G,B359)*-1+SUMIFS('Điều hàng调货'!F:F,'Điều hàng调货'!A:A,K359,'Điều hàng调货'!H:H,B359)</f>
        <v>-125</v>
      </c>
      <c r="J359" s="51">
        <f t="shared" si="19"/>
        <v>20</v>
      </c>
      <c r="K359" s="51">
        <f>VLOOKUP($D359,SKU!$A:$I,3,FALSE)</f>
        <v>10103</v>
      </c>
      <c r="L359" s="51" t="str">
        <f>VLOOKUP($D359,SKU!$A:$I,2,FALSE)</f>
        <v>疯狂动物城白金收藏卡狐兔神探</v>
      </c>
    </row>
    <row r="360" ht="15.75" spans="1:12">
      <c r="A360" s="15"/>
      <c r="B360" s="68" t="s">
        <v>150</v>
      </c>
      <c r="C360" s="45" t="s">
        <v>428</v>
      </c>
      <c r="D360" s="45" t="s">
        <v>184</v>
      </c>
      <c r="E360" s="24">
        <f>SUMIFS(Xuất出库!D:D,Xuất出库!G:G,B360,Xuất出库!C:C,D360)</f>
        <v>0</v>
      </c>
      <c r="F360" s="25">
        <f>SUMIFS(Xuất出库!E:E,Xuất出库!G:G,B360,Xuất出库!C:C,D360)+SUMIFS(Xuất出库!F:F,Xuất出库!G:G,B360,Xuất出库!C:C,D360)</f>
        <v>0</v>
      </c>
      <c r="G360" s="45">
        <f>13+20</f>
        <v>33</v>
      </c>
      <c r="H360" s="47">
        <f>SUMIFS(Hoàn回库!E:E,Hoàn回库!G:G,B360,Hoàn回库!C:C,D360)+SUMIFS(Hoàn回库!F:F,Hoàn回库!G:G,B360,Hoàn回库!C:C,D360)</f>
        <v>0</v>
      </c>
      <c r="I360" s="47">
        <f>SUMIFS('Điều hàng调货'!E:E,'Điều hàng调货'!A:A,K360,'Điều hàng调货'!G:G,B360)*-1+SUMIFS('Điều hàng调货'!E:E,'Điều hàng调货'!A:A,K360,'Điều hàng调货'!H:H,B360)+SUMIFS('Điều hàng调货'!F:F,'Điều hàng调货'!A:A,K360,'Điều hàng调货'!G:G,B360)*-1+SUMIFS('Điều hàng调货'!F:F,'Điều hàng调货'!A:A,K360,'Điều hàng调货'!H:H,B360)</f>
        <v>33</v>
      </c>
      <c r="J360" s="47">
        <f t="shared" si="19"/>
        <v>0</v>
      </c>
      <c r="K360" s="47">
        <f>VLOOKUP($D360,SKU!$A:$I,3,FALSE)</f>
        <v>10039</v>
      </c>
      <c r="L360" s="47" t="str">
        <f>VLOOKUP($D360,SKU!$A:$I,2,FALSE)</f>
        <v>非凡航海王第五弹</v>
      </c>
    </row>
    <row r="361" spans="1:12">
      <c r="A361" s="15"/>
      <c r="B361" s="92" t="s">
        <v>178</v>
      </c>
      <c r="C361" s="45" t="s">
        <v>428</v>
      </c>
      <c r="D361" s="45" t="s">
        <v>327</v>
      </c>
      <c r="E361" s="46">
        <f>SUMIFS(Xuất出库!D:D,Xuất出库!G:G,B361,Xuất出库!C:C,D361)</f>
        <v>5</v>
      </c>
      <c r="F361" s="47">
        <f>SUMIFS(Xuất出库!E:E,Xuất出库!G:G,B361,Xuất出库!C:C,D361)+SUMIFS(Xuất出库!F:F,Xuất出库!G:G,B361,Xuất出库!C:C,D361)</f>
        <v>70</v>
      </c>
      <c r="G361" s="45">
        <f>14+14</f>
        <v>28</v>
      </c>
      <c r="H361" s="31">
        <f>SUMIFS(Hoàn回库!E:E,Hoàn回库!G:G,B361,Hoàn回库!C:C,D361)+SUMIFS(Hoàn回库!F:F,Hoàn回库!G:G,B361,Hoàn回库!C:C,D361)</f>
        <v>0</v>
      </c>
      <c r="I361" s="31">
        <f>SUMIFS('Điều hàng调货'!E:E,'Điều hàng调货'!A:A,K361,'Điều hàng调货'!G:G,B361)*-1+SUMIFS('Điều hàng调货'!E:E,'Điều hàng调货'!A:A,K361,'Điều hàng调货'!H:H,B361)+SUMIFS('Điều hàng调货'!F:F,'Điều hàng调货'!A:A,K361,'Điều hàng调货'!G:G,B361)*-1+SUMIFS('Điều hàng调货'!F:F,'Điều hàng调货'!A:A,K361,'Điều hàng调货'!H:H,B361)</f>
        <v>-42</v>
      </c>
      <c r="J361" s="31">
        <f t="shared" ref="J361:J371" si="20">F361-G361-H361+I361</f>
        <v>0</v>
      </c>
      <c r="K361" s="31">
        <f>VLOOKUP($D361,SKU!$A:$I,3,FALSE)</f>
        <v>10089</v>
      </c>
      <c r="L361" s="31" t="str">
        <f>VLOOKUP($D361,SKU!$A:$I,2,FALSE)</f>
        <v>星火线条小狗</v>
      </c>
    </row>
    <row r="362" ht="15.75" spans="1:12">
      <c r="A362" s="15"/>
      <c r="B362" s="93" t="s">
        <v>178</v>
      </c>
      <c r="C362" s="18" t="s">
        <v>428</v>
      </c>
      <c r="D362" s="18" t="s">
        <v>299</v>
      </c>
      <c r="E362" s="50">
        <f>SUMIFS(Xuất出库!D:D,Xuất出库!G:G,B362,Xuất出库!C:C,D362)</f>
        <v>10</v>
      </c>
      <c r="F362" s="51">
        <f>SUMIFS(Xuất出库!E:E,Xuất出库!G:G,B362,Xuất出库!C:C,D362)+SUMIFS(Xuất出库!F:F,Xuất出库!G:G,B362,Xuất出库!C:C,D362)</f>
        <v>10</v>
      </c>
      <c r="G362" s="18">
        <f>1</f>
        <v>1</v>
      </c>
      <c r="H362" s="51">
        <f>SUMIFS(Hoàn回库!E:E,Hoàn回库!G:G,B362,Hoàn回库!C:C,D362)+SUMIFS(Hoàn回库!F:F,Hoàn回库!G:G,B362,Hoàn回库!C:C,D362)</f>
        <v>0</v>
      </c>
      <c r="I362" s="51">
        <f>SUMIFS('Điều hàng调货'!E:E,'Điều hàng调货'!A:A,K362,'Điều hàng调货'!G:G,B362)*-1+SUMIFS('Điều hàng调货'!E:E,'Điều hàng调货'!A:A,K362,'Điều hàng调货'!H:H,B362)+SUMIFS('Điều hàng调货'!F:F,'Điều hàng调货'!A:A,K362,'Điều hàng调货'!G:G,B362)*-1+SUMIFS('Điều hàng调货'!F:F,'Điều hàng调货'!A:A,K362,'Điều hàng调货'!H:H,B362)</f>
        <v>0</v>
      </c>
      <c r="J362" s="51">
        <f t="shared" si="20"/>
        <v>9</v>
      </c>
      <c r="K362" s="51">
        <f>VLOOKUP($D362,SKU!$A:$I,3,FALSE)</f>
        <v>10078</v>
      </c>
      <c r="L362" s="51" t="str">
        <f>VLOOKUP($D362,SKU!$A:$I,2,FALSE)</f>
        <v>摩斯社×名侦探柯南-摩斯密码系列评级邮票</v>
      </c>
    </row>
    <row r="363" ht="15.75" spans="1:12">
      <c r="A363" s="15"/>
      <c r="B363" s="92" t="s">
        <v>178</v>
      </c>
      <c r="C363" s="45" t="s">
        <v>428</v>
      </c>
      <c r="D363" s="45"/>
      <c r="E363" s="46">
        <f>SUMIFS(Xuất出库!D:D,Xuất出库!G:G,B363,Xuất出库!C:C,D363)</f>
        <v>0</v>
      </c>
      <c r="F363" s="47">
        <f>SUMIFS(Xuất出库!E:E,Xuất出库!G:G,B363,Xuất出库!C:C,D363)+SUMIFS(Xuất出库!F:F,Xuất出库!G:G,B363,Xuất出库!C:C,D363)</f>
        <v>0</v>
      </c>
      <c r="G363" s="45"/>
      <c r="H363" s="47">
        <f>SUMIFS(Hoàn回库!E:E,Hoàn回库!G:G,B363,Hoàn回库!C:C,D363)+SUMIFS(Hoàn回库!F:F,Hoàn回库!G:G,B363,Hoàn回库!C:C,D363)</f>
        <v>0</v>
      </c>
      <c r="I363" s="47">
        <f>SUMIFS('Điều hàng调货'!E:E,'Điều hàng调货'!A:A,K363,'Điều hàng调货'!G:G,B363)*-1+SUMIFS('Điều hàng调货'!E:E,'Điều hàng调货'!A:A,K363,'Điều hàng调货'!H:H,B363)+SUMIFS('Điều hàng调货'!F:F,'Điều hàng调货'!A:A,K363,'Điều hàng调货'!G:G,B363)*-1+SUMIFS('Điều hàng调货'!F:F,'Điều hàng调货'!A:A,K363,'Điều hàng调货'!H:H,B363)</f>
        <v>0</v>
      </c>
      <c r="J363" s="47">
        <f t="shared" si="20"/>
        <v>0</v>
      </c>
      <c r="K363" s="47" t="e">
        <f>VLOOKUP($D363,SKU!$A:$I,3,FALSE)</f>
        <v>#N/A</v>
      </c>
      <c r="L363" s="47" t="e">
        <f>VLOOKUP($D363,SKU!$A:$I,2,FALSE)</f>
        <v>#N/A</v>
      </c>
    </row>
    <row r="364" spans="1:12">
      <c r="A364" s="15"/>
      <c r="B364" s="94" t="s">
        <v>178</v>
      </c>
      <c r="C364" s="29" t="s">
        <v>428</v>
      </c>
      <c r="D364" s="29"/>
      <c r="E364" s="30">
        <f>SUMIFS(Xuất出库!D:D,Xuất出库!G:G,B364,Xuất出库!C:C,D364)</f>
        <v>0</v>
      </c>
      <c r="F364" s="31">
        <f>SUMIFS(Xuất出库!E:E,Xuất出库!G:G,B364,Xuất出库!C:C,D364)+SUMIFS(Xuất出库!F:F,Xuất出库!G:G,B364,Xuất出库!C:C,D364)</f>
        <v>0</v>
      </c>
      <c r="G364" s="29"/>
      <c r="H364" s="31">
        <f>SUMIFS(Hoàn回库!E:E,Hoàn回库!G:G,B364,Hoàn回库!C:C,D364)+SUMIFS(Hoàn回库!F:F,Hoàn回库!G:G,B364,Hoàn回库!C:C,D364)</f>
        <v>0</v>
      </c>
      <c r="I364" s="31">
        <f>SUMIFS('Điều hàng调货'!E:E,'Điều hàng调货'!A:A,K364,'Điều hàng调货'!G:G,B364)*-1+SUMIFS('Điều hàng调货'!E:E,'Điều hàng调货'!A:A,K364,'Điều hàng调货'!H:H,B364)+SUMIFS('Điều hàng调货'!F:F,'Điều hàng调货'!A:A,K364,'Điều hàng调货'!G:G,B364)*-1+SUMIFS('Điều hàng调货'!F:F,'Điều hàng调货'!A:A,K364,'Điều hàng调货'!H:H,B364)</f>
        <v>0</v>
      </c>
      <c r="J364" s="31">
        <f t="shared" si="20"/>
        <v>0</v>
      </c>
      <c r="K364" s="31" t="e">
        <f>VLOOKUP($D364,SKU!$A:$I,3,FALSE)</f>
        <v>#N/A</v>
      </c>
      <c r="L364" s="31" t="e">
        <f>VLOOKUP($D364,SKU!$A:$I,2,FALSE)</f>
        <v>#N/A</v>
      </c>
    </row>
    <row r="365" spans="1:12">
      <c r="A365" s="15"/>
      <c r="B365" s="94" t="s">
        <v>178</v>
      </c>
      <c r="C365" s="29" t="s">
        <v>428</v>
      </c>
      <c r="D365" s="29"/>
      <c r="E365" s="30">
        <f>SUMIFS(Xuất出库!D:D,Xuất出库!G:G,B365,Xuất出库!C:C,D365)</f>
        <v>0</v>
      </c>
      <c r="F365" s="31">
        <f>SUMIFS(Xuất出库!E:E,Xuất出库!G:G,B365,Xuất出库!C:C,D365)+SUMIFS(Xuất出库!F:F,Xuất出库!G:G,B365,Xuất出库!C:C,D365)</f>
        <v>0</v>
      </c>
      <c r="G365" s="29"/>
      <c r="H365" s="31">
        <f>SUMIFS(Hoàn回库!E:E,Hoàn回库!G:G,B365,Hoàn回库!C:C,D365)+SUMIFS(Hoàn回库!F:F,Hoàn回库!G:G,B365,Hoàn回库!C:C,D365)</f>
        <v>0</v>
      </c>
      <c r="I365" s="31">
        <f>SUMIFS('Điều hàng调货'!E:E,'Điều hàng调货'!A:A,K365,'Điều hàng调货'!G:G,B365)*-1+SUMIFS('Điều hàng调货'!E:E,'Điều hàng调货'!A:A,K365,'Điều hàng调货'!H:H,B365)+SUMIFS('Điều hàng调货'!F:F,'Điều hàng调货'!A:A,K365,'Điều hàng调货'!G:G,B365)*-1+SUMIFS('Điều hàng调货'!F:F,'Điều hàng调货'!A:A,K365,'Điều hàng调货'!H:H,B365)</f>
        <v>0</v>
      </c>
      <c r="J365" s="31">
        <f t="shared" si="20"/>
        <v>0</v>
      </c>
      <c r="K365" s="31" t="e">
        <f>VLOOKUP($D365,SKU!$A:$I,3,FALSE)</f>
        <v>#N/A</v>
      </c>
      <c r="L365" s="31" t="e">
        <f>VLOOKUP($D365,SKU!$A:$I,2,FALSE)</f>
        <v>#N/A</v>
      </c>
    </row>
    <row r="366" spans="1:12">
      <c r="A366" s="15"/>
      <c r="B366" s="94" t="s">
        <v>178</v>
      </c>
      <c r="C366" s="29" t="s">
        <v>428</v>
      </c>
      <c r="D366" s="29"/>
      <c r="E366" s="30">
        <f>SUMIFS(Xuất出库!D:D,Xuất出库!G:G,B366,Xuất出库!C:C,D366)</f>
        <v>0</v>
      </c>
      <c r="F366" s="31">
        <f>SUMIFS(Xuất出库!E:E,Xuất出库!G:G,B366,Xuất出库!C:C,D366)+SUMIFS(Xuất出库!F:F,Xuất出库!G:G,B366,Xuất出库!C:C,D366)</f>
        <v>0</v>
      </c>
      <c r="G366" s="29"/>
      <c r="H366" s="31">
        <f>SUMIFS(Hoàn回库!E:E,Hoàn回库!G:G,B366,Hoàn回库!C:C,D366)+SUMIFS(Hoàn回库!F:F,Hoàn回库!G:G,B366,Hoàn回库!C:C,D366)</f>
        <v>0</v>
      </c>
      <c r="I366" s="31">
        <f>SUMIFS('Điều hàng调货'!E:E,'Điều hàng调货'!A:A,K366,'Điều hàng调货'!G:G,B366)*-1+SUMIFS('Điều hàng调货'!E:E,'Điều hàng调货'!A:A,K366,'Điều hàng调货'!H:H,B366)+SUMIFS('Điều hàng调货'!F:F,'Điều hàng调货'!A:A,K366,'Điều hàng调货'!G:G,B366)*-1+SUMIFS('Điều hàng调货'!F:F,'Điều hàng调货'!A:A,K366,'Điều hàng调货'!H:H,B366)</f>
        <v>0</v>
      </c>
      <c r="J366" s="31">
        <f t="shared" si="20"/>
        <v>0</v>
      </c>
      <c r="K366" s="31" t="e">
        <f>VLOOKUP($D366,SKU!$A:$I,3,FALSE)</f>
        <v>#N/A</v>
      </c>
      <c r="L366" s="31" t="e">
        <f>VLOOKUP($D366,SKU!$A:$I,2,FALSE)</f>
        <v>#N/A</v>
      </c>
    </row>
    <row r="367" spans="1:12">
      <c r="A367" s="15"/>
      <c r="B367" s="94" t="s">
        <v>178</v>
      </c>
      <c r="C367" s="29" t="s">
        <v>428</v>
      </c>
      <c r="D367" s="29"/>
      <c r="E367" s="30">
        <f>SUMIFS(Xuất出库!D:D,Xuất出库!G:G,B367,Xuất出库!C:C,D367)</f>
        <v>0</v>
      </c>
      <c r="F367" s="31">
        <f>SUMIFS(Xuất出库!E:E,Xuất出库!G:G,B367,Xuất出库!C:C,D367)+SUMIFS(Xuất出库!F:F,Xuất出库!G:G,B367,Xuất出库!C:C,D367)</f>
        <v>0</v>
      </c>
      <c r="G367" s="29"/>
      <c r="H367" s="31">
        <f>SUMIFS(Hoàn回库!E:E,Hoàn回库!G:G,B367,Hoàn回库!C:C,D367)+SUMIFS(Hoàn回库!F:F,Hoàn回库!G:G,B367,Hoàn回库!C:C,D367)</f>
        <v>0</v>
      </c>
      <c r="I367" s="31">
        <f>SUMIFS('Điều hàng调货'!E:E,'Điều hàng调货'!A:A,K367,'Điều hàng调货'!G:G,B367)*-1+SUMIFS('Điều hàng调货'!E:E,'Điều hàng调货'!A:A,K367,'Điều hàng调货'!H:H,B367)+SUMIFS('Điều hàng调货'!F:F,'Điều hàng调货'!A:A,K367,'Điều hàng调货'!G:G,B367)*-1+SUMIFS('Điều hàng调货'!F:F,'Điều hàng调货'!A:A,K367,'Điều hàng调货'!H:H,B367)</f>
        <v>0</v>
      </c>
      <c r="J367" s="31">
        <f t="shared" si="20"/>
        <v>0</v>
      </c>
      <c r="K367" s="31" t="e">
        <f>VLOOKUP($D367,SKU!$A:$I,3,FALSE)</f>
        <v>#N/A</v>
      </c>
      <c r="L367" s="31" t="e">
        <f>VLOOKUP($D367,SKU!$A:$I,2,FALSE)</f>
        <v>#N/A</v>
      </c>
    </row>
    <row r="368" spans="1:12">
      <c r="A368" s="15"/>
      <c r="B368" s="94" t="s">
        <v>178</v>
      </c>
      <c r="C368" s="29" t="s">
        <v>428</v>
      </c>
      <c r="D368" s="29"/>
      <c r="E368" s="30">
        <f>SUMIFS(Xuất出库!D:D,Xuất出库!G:G,B368,Xuất出库!C:C,D368)</f>
        <v>0</v>
      </c>
      <c r="F368" s="31">
        <f>SUMIFS(Xuất出库!E:E,Xuất出库!G:G,B368,Xuất出库!C:C,D368)+SUMIFS(Xuất出库!F:F,Xuất出库!G:G,B368,Xuất出库!C:C,D368)</f>
        <v>0</v>
      </c>
      <c r="G368" s="29"/>
      <c r="H368" s="31">
        <f>SUMIFS(Hoàn回库!E:E,Hoàn回库!G:G,B368,Hoàn回库!C:C,D368)+SUMIFS(Hoàn回库!F:F,Hoàn回库!G:G,B368,Hoàn回库!C:C,D368)</f>
        <v>0</v>
      </c>
      <c r="I368" s="31">
        <f>SUMIFS('Điều hàng调货'!E:E,'Điều hàng调货'!A:A,K368,'Điều hàng调货'!G:G,B368)*-1+SUMIFS('Điều hàng调货'!E:E,'Điều hàng调货'!A:A,K368,'Điều hàng调货'!H:H,B368)+SUMIFS('Điều hàng调货'!F:F,'Điều hàng调货'!A:A,K368,'Điều hàng调货'!G:G,B368)*-1+SUMIFS('Điều hàng调货'!F:F,'Điều hàng调货'!A:A,K368,'Điều hàng调货'!H:H,B368)</f>
        <v>0</v>
      </c>
      <c r="J368" s="31">
        <f t="shared" si="20"/>
        <v>0</v>
      </c>
      <c r="K368" s="31" t="e">
        <f>VLOOKUP($D368,SKU!$A:$I,3,FALSE)</f>
        <v>#N/A</v>
      </c>
      <c r="L368" s="31" t="e">
        <f>VLOOKUP($D368,SKU!$A:$I,2,FALSE)</f>
        <v>#N/A</v>
      </c>
    </row>
    <row r="369" spans="1:12">
      <c r="A369" s="15"/>
      <c r="B369" s="94" t="s">
        <v>178</v>
      </c>
      <c r="C369" s="29" t="s">
        <v>428</v>
      </c>
      <c r="D369" s="29"/>
      <c r="E369" s="30">
        <f>SUMIFS(Xuất出库!D:D,Xuất出库!G:G,B369,Xuất出库!C:C,D369)</f>
        <v>0</v>
      </c>
      <c r="F369" s="31">
        <f>SUMIFS(Xuất出库!E:E,Xuất出库!G:G,B369,Xuất出库!C:C,D369)+SUMIFS(Xuất出库!F:F,Xuất出库!G:G,B369,Xuất出库!C:C,D369)</f>
        <v>0</v>
      </c>
      <c r="G369" s="29"/>
      <c r="H369" s="31">
        <f>SUMIFS(Hoàn回库!E:E,Hoàn回库!G:G,B369,Hoàn回库!C:C,D369)+SUMIFS(Hoàn回库!F:F,Hoàn回库!G:G,B369,Hoàn回库!C:C,D369)</f>
        <v>0</v>
      </c>
      <c r="I369" s="31">
        <f>SUMIFS('Điều hàng调货'!E:E,'Điều hàng调货'!A:A,K369,'Điều hàng调货'!G:G,B369)*-1+SUMIFS('Điều hàng调货'!E:E,'Điều hàng调货'!A:A,K369,'Điều hàng调货'!H:H,B369)+SUMIFS('Điều hàng调货'!F:F,'Điều hàng调货'!A:A,K369,'Điều hàng调货'!G:G,B369)*-1+SUMIFS('Điều hàng调货'!F:F,'Điều hàng调货'!A:A,K369,'Điều hàng调货'!H:H,B369)</f>
        <v>0</v>
      </c>
      <c r="J369" s="31">
        <f t="shared" si="20"/>
        <v>0</v>
      </c>
      <c r="K369" s="31" t="e">
        <f>VLOOKUP($D369,SKU!$A:$I,3,FALSE)</f>
        <v>#N/A</v>
      </c>
      <c r="L369" s="31" t="e">
        <f>VLOOKUP($D369,SKU!$A:$I,2,FALSE)</f>
        <v>#N/A</v>
      </c>
    </row>
    <row r="370" spans="1:12">
      <c r="A370" s="15"/>
      <c r="B370" s="94" t="s">
        <v>178</v>
      </c>
      <c r="C370" s="29" t="s">
        <v>428</v>
      </c>
      <c r="D370" s="29"/>
      <c r="E370" s="30">
        <f>SUMIFS(Xuất出库!D:D,Xuất出库!G:G,B370,Xuất出库!C:C,D370)</f>
        <v>0</v>
      </c>
      <c r="F370" s="31">
        <f>SUMIFS(Xuất出库!E:E,Xuất出库!G:G,B370,Xuất出库!C:C,D370)+SUMIFS(Xuất出库!F:F,Xuất出库!G:G,B370,Xuất出库!C:C,D370)</f>
        <v>0</v>
      </c>
      <c r="G370" s="29"/>
      <c r="H370" s="31">
        <f>SUMIFS(Hoàn回库!E:E,Hoàn回库!G:G,B370,Hoàn回库!C:C,D370)+SUMIFS(Hoàn回库!F:F,Hoàn回库!G:G,B370,Hoàn回库!C:C,D370)</f>
        <v>0</v>
      </c>
      <c r="I370" s="31">
        <f>SUMIFS('Điều hàng调货'!E:E,'Điều hàng调货'!A:A,K370,'Điều hàng调货'!G:G,B370)*-1+SUMIFS('Điều hàng调货'!E:E,'Điều hàng调货'!A:A,K370,'Điều hàng调货'!H:H,B370)+SUMIFS('Điều hàng调货'!F:F,'Điều hàng调货'!A:A,K370,'Điều hàng调货'!G:G,B370)*-1+SUMIFS('Điều hàng调货'!F:F,'Điều hàng调货'!A:A,K370,'Điều hàng调货'!H:H,B370)</f>
        <v>0</v>
      </c>
      <c r="J370" s="31">
        <f t="shared" si="20"/>
        <v>0</v>
      </c>
      <c r="K370" s="31" t="e">
        <f>VLOOKUP($D370,SKU!$A:$I,3,FALSE)</f>
        <v>#N/A</v>
      </c>
      <c r="L370" s="31" t="e">
        <f>VLOOKUP($D370,SKU!$A:$I,2,FALSE)</f>
        <v>#N/A</v>
      </c>
    </row>
    <row r="371" ht="15.75" spans="1:12">
      <c r="A371" s="15"/>
      <c r="B371" s="93" t="s">
        <v>178</v>
      </c>
      <c r="C371" s="18" t="s">
        <v>428</v>
      </c>
      <c r="D371" s="18"/>
      <c r="E371" s="50">
        <f>SUMIFS(Xuất出库!D:D,Xuất出库!G:G,B371,Xuất出库!C:C,D371)</f>
        <v>0</v>
      </c>
      <c r="F371" s="51">
        <f>SUMIFS(Xuất出库!E:E,Xuất出库!G:G,B371,Xuất出库!C:C,D371)+SUMIFS(Xuất出库!F:F,Xuất出库!G:G,B371,Xuất出库!C:C,D371)</f>
        <v>0</v>
      </c>
      <c r="G371" s="18"/>
      <c r="H371" s="51">
        <f>SUMIFS(Hoàn回库!E:E,Hoàn回库!G:G,B371,Hoàn回库!C:C,D371)+SUMIFS(Hoàn回库!F:F,Hoàn回库!G:G,B371,Hoàn回库!C:C,D371)</f>
        <v>0</v>
      </c>
      <c r="I371" s="51">
        <f>SUMIFS('Điều hàng调货'!E:E,'Điều hàng调货'!A:A,K371,'Điều hàng调货'!G:G,B371)*-1+SUMIFS('Điều hàng调货'!E:E,'Điều hàng调货'!A:A,K371,'Điều hàng调货'!H:H,B371)+SUMIFS('Điều hàng调货'!F:F,'Điều hàng调货'!A:A,K371,'Điều hàng调货'!G:G,B371)*-1+SUMIFS('Điều hàng调货'!F:F,'Điều hàng调货'!A:A,K371,'Điều hàng调货'!H:H,B371)</f>
        <v>0</v>
      </c>
      <c r="J371" s="51">
        <f t="shared" si="20"/>
        <v>0</v>
      </c>
      <c r="K371" s="51" t="e">
        <f>VLOOKUP($D371,SKU!$A:$I,3,FALSE)</f>
        <v>#N/A</v>
      </c>
      <c r="L371" s="51" t="e">
        <f>VLOOKUP($D371,SKU!$A:$I,2,FALSE)</f>
        <v>#N/A</v>
      </c>
    </row>
    <row r="372" ht="15.75" spans="1:12">
      <c r="A372" s="6"/>
      <c r="B372" s="57" t="s">
        <v>430</v>
      </c>
      <c r="C372" s="23" t="s">
        <v>431</v>
      </c>
      <c r="D372" s="6" t="s">
        <v>111</v>
      </c>
      <c r="E372" s="24">
        <f>SUMIFS(Xuất出库!D:D,Xuất出库!G:G,B372,Xuất出库!C:C,D372)</f>
        <v>6</v>
      </c>
      <c r="F372" s="25">
        <f>SUMIFS(Xuất出库!E:E,Xuất出库!G:G,B372,Xuất出库!C:C,D372)+SUMIFS(Xuất出库!F:F,Xuất出库!G:G,B372,Xuất出库!C:C,D372)</f>
        <v>31</v>
      </c>
      <c r="G372" s="23">
        <v>3</v>
      </c>
      <c r="H372" s="25">
        <f>SUMIFS(Hoàn回库!E:E,Hoàn回库!G:G,B372,Hoàn回库!C:C,D372)+SUMIFS(Hoàn回库!F:F,Hoàn回库!G:G,B372,Hoàn回库!C:C,D372)</f>
        <v>22</v>
      </c>
      <c r="I372" s="25">
        <f>SUMIFS('Điều hàng调货'!E:E,'Điều hàng调货'!A:A,K372,'Điều hàng调货'!G:G,B372)*-1+SUMIFS('Điều hàng调货'!E:E,'Điều hàng调货'!A:A,K372,'Điều hàng调货'!H:H,B372)+SUMIFS('Điều hàng调货'!F:F,'Điều hàng调货'!A:A,K372,'Điều hàng调货'!G:G,B372)*-1+SUMIFS('Điều hàng调货'!F:F,'Điều hàng调货'!A:A,K372,'Điều hàng调货'!H:H,B372)</f>
        <v>0</v>
      </c>
      <c r="J372" s="25">
        <f t="shared" ref="J372:J425" si="21">F372-G372-H372+I372</f>
        <v>6</v>
      </c>
      <c r="K372" s="25">
        <f>VLOOKUP($D372,SKU!$A:$I,3,FALSE)</f>
        <v>10021</v>
      </c>
      <c r="L372" s="25" t="str">
        <f>VLOOKUP($D372,SKU!$A:$I,2,FALSE)</f>
        <v>新谷动漫名侦探柯南·仲夏夜之恋邮票集</v>
      </c>
    </row>
    <row r="373" spans="1:12">
      <c r="A373" s="6"/>
      <c r="B373" s="7" t="s">
        <v>430</v>
      </c>
      <c r="C373" s="6" t="s">
        <v>431</v>
      </c>
      <c r="D373" s="6" t="s">
        <v>79</v>
      </c>
      <c r="E373" s="8">
        <f>SUMIFS(Xuất出库!D:D,Xuất出库!G:G,B373,Xuất出库!C:C,D373)</f>
        <v>5</v>
      </c>
      <c r="F373" s="9">
        <f>SUMIFS(Xuất出库!E:E,Xuất出库!G:G,B373,Xuất出库!C:C,D373)+SUMIFS(Xuất出库!F:F,Xuất出库!G:G,B373,Xuất出库!C:C,D373)</f>
        <v>188</v>
      </c>
      <c r="G373" s="6">
        <f>20+2+50</f>
        <v>72</v>
      </c>
      <c r="H373" s="9">
        <f>SUMIFS(Hoàn回库!E:E,Hoàn回库!G:G,B373,Hoàn回库!C:C,D373)+SUMIFS(Hoàn回库!F:F,Hoàn回库!G:G,B373,Hoàn回库!C:C,D373)</f>
        <v>116</v>
      </c>
      <c r="I373" s="9">
        <f>SUMIFS('Điều hàng调货'!E:E,'Điều hàng调货'!A:A,K373,'Điều hàng调货'!G:G,B373)*-1+SUMIFS('Điều hàng调货'!E:E,'Điều hàng调货'!A:A,K373,'Điều hàng调货'!H:H,B373)+SUMIFS('Điều hàng调货'!F:F,'Điều hàng调货'!A:A,K373,'Điều hàng调货'!G:G,B373)*-1+SUMIFS('Điều hàng调货'!F:F,'Điều hàng调货'!A:A,K373,'Điều hàng调货'!H:H,B373)</f>
        <v>0</v>
      </c>
      <c r="J373" s="9">
        <f t="shared" si="21"/>
        <v>0</v>
      </c>
      <c r="K373" s="9">
        <f>VLOOKUP($D373,SKU!$A:$I,3,FALSE)</f>
        <v>10013</v>
      </c>
      <c r="L373" s="9" t="str">
        <f>VLOOKUP($D373,SKU!$A:$I,2,FALSE)</f>
        <v>皇卡 × 鬼灭《血月之契》篇决战无限城收藏卡</v>
      </c>
    </row>
    <row r="374" spans="1:12">
      <c r="A374" s="6"/>
      <c r="B374" s="7" t="s">
        <v>430</v>
      </c>
      <c r="C374" s="6" t="s">
        <v>431</v>
      </c>
      <c r="D374" s="6" t="s">
        <v>12</v>
      </c>
      <c r="E374" s="8">
        <f>SUMIFS(Xuất出库!D:D,Xuất出库!G:G,B374,Xuất出库!C:C,D374)</f>
        <v>5</v>
      </c>
      <c r="F374" s="9">
        <f>SUMIFS(Xuất出库!E:E,Xuất出库!G:G,B374,Xuất出库!C:C,D374)+SUMIFS(Xuất出库!F:F,Xuất出库!G:G,B374,Xuất出库!C:C,D374)</f>
        <v>5</v>
      </c>
      <c r="G374" s="6">
        <f>3</f>
        <v>3</v>
      </c>
      <c r="H374" s="9">
        <f>SUMIFS(Hoàn回库!E:E,Hoàn回库!G:G,B374,Hoàn回库!C:C,D374)+SUMIFS(Hoàn回库!F:F,Hoàn回库!G:G,B374,Hoàn回库!C:C,D374)</f>
        <v>0</v>
      </c>
      <c r="I374" s="9">
        <f>SUMIFS('Điều hàng调货'!E:E,'Điều hàng调货'!A:A,K374,'Điều hàng调货'!G:G,B374)*-1+SUMIFS('Điều hàng调货'!E:E,'Điều hàng调货'!A:A,K374,'Điều hàng调货'!H:H,B374)+SUMIFS('Điều hàng调货'!F:F,'Điều hàng调货'!A:A,K374,'Điều hàng调货'!G:G,B374)*-1+SUMIFS('Điều hàng调货'!F:F,'Điều hàng调货'!A:A,K374,'Điều hàng调货'!H:H,B374)</f>
        <v>-2</v>
      </c>
      <c r="J374" s="9">
        <f t="shared" si="21"/>
        <v>0</v>
      </c>
      <c r="K374" s="9">
        <f>VLOOKUP($D374,SKU!$A:$I,3,FALSE)</f>
        <v>10001</v>
      </c>
      <c r="L374" s="9" t="str">
        <f>VLOOKUP($D374,SKU!$A:$I,2,FALSE)</f>
        <v>《东株社》宝可梦水晶砖</v>
      </c>
    </row>
    <row r="375" spans="1:12">
      <c r="A375" s="6"/>
      <c r="B375" s="7" t="s">
        <v>430</v>
      </c>
      <c r="C375" s="6" t="s">
        <v>431</v>
      </c>
      <c r="D375" s="6" t="s">
        <v>95</v>
      </c>
      <c r="E375" s="8">
        <f>SUMIFS(Xuất出库!D:D,Xuất出库!G:G,B375,Xuất出库!C:C,D375)</f>
        <v>5</v>
      </c>
      <c r="F375" s="9">
        <f>SUMIFS(Xuất出库!E:E,Xuất出库!G:G,B375,Xuất出库!C:C,D375)+SUMIFS(Xuất出库!F:F,Xuất出库!G:G,B375,Xuất出库!C:C,D375)</f>
        <v>143</v>
      </c>
      <c r="G375" s="10">
        <f>2+16+11+3</f>
        <v>32</v>
      </c>
      <c r="H375" s="9">
        <f>SUMIFS(Hoàn回库!E:E,Hoàn回库!G:G,B375,Hoàn回库!C:C,D375)+SUMIFS(Hoàn回库!F:F,Hoàn回库!G:G,B375,Hoàn回库!C:C,D375)</f>
        <v>44</v>
      </c>
      <c r="I375" s="9">
        <f>SUMIFS('Điều hàng调货'!E:E,'Điều hàng调货'!A:A,K375,'Điều hàng调货'!G:G,B375)*-1+SUMIFS('Điều hàng调货'!E:E,'Điều hàng调货'!A:A,K375,'Điều hàng调货'!H:H,B375)+SUMIFS('Điều hàng调货'!F:F,'Điều hàng调货'!A:A,K375,'Điều hàng调货'!G:G,B375)*-1+SUMIFS('Điều hàng调货'!F:F,'Điều hàng调货'!A:A,K375,'Điều hàng调货'!H:H,B375)</f>
        <v>0</v>
      </c>
      <c r="J375" s="9">
        <f t="shared" si="21"/>
        <v>67</v>
      </c>
      <c r="K375" s="9">
        <f>VLOOKUP($D375,SKU!$A:$I,3,FALSE)</f>
        <v>10017</v>
      </c>
      <c r="L375" s="9" t="str">
        <f>VLOOKUP($D375,SKU!$A:$I,2,FALSE)</f>
        <v>梦境-美少女战士第一弹</v>
      </c>
    </row>
    <row r="376" spans="1:12">
      <c r="A376" s="6"/>
      <c r="B376" s="7" t="s">
        <v>430</v>
      </c>
      <c r="C376" s="6" t="s">
        <v>431</v>
      </c>
      <c r="D376" s="6" t="s">
        <v>49</v>
      </c>
      <c r="E376" s="8">
        <f>SUMIFS(Xuất出库!D:D,Xuất出库!G:G,B376,Xuất出库!C:C,D376)</f>
        <v>6</v>
      </c>
      <c r="F376" s="9">
        <f>SUMIFS(Xuất出库!E:E,Xuất出库!G:G,B376,Xuất出库!C:C,D376)+SUMIFS(Xuất出库!F:F,Xuất出库!G:G,B376,Xuất出库!C:C,D376)</f>
        <v>78</v>
      </c>
      <c r="G376" s="6">
        <f>11+3+3</f>
        <v>17</v>
      </c>
      <c r="H376" s="9">
        <f>SUMIFS(Hoàn回库!E:E,Hoàn回库!G:G,B376,Hoàn回库!C:C,D376)+SUMIFS(Hoàn回库!F:F,Hoàn回库!G:G,B376,Hoàn回库!C:C,D376)</f>
        <v>69</v>
      </c>
      <c r="I376" s="9">
        <f>SUMIFS('Điều hàng调货'!E:E,'Điều hàng调货'!A:A,K376,'Điều hàng调货'!G:G,B376)*-1+SUMIFS('Điều hàng调货'!E:E,'Điều hàng调货'!A:A,K376,'Điều hàng调货'!H:H,B376)+SUMIFS('Điều hàng调货'!F:F,'Điều hàng调货'!A:A,K376,'Điều hàng调货'!G:G,B376)*-1+SUMIFS('Điều hàng调货'!F:F,'Điều hàng调货'!A:A,K376,'Điều hàng调货'!H:H,B376)</f>
        <v>8</v>
      </c>
      <c r="J376" s="9">
        <f t="shared" si="21"/>
        <v>0</v>
      </c>
      <c r="K376" s="9">
        <f>VLOOKUP($D376,SKU!$A:$I,3,FALSE)</f>
        <v>10007</v>
      </c>
      <c r="L376" s="9" t="str">
        <f>VLOOKUP($D376,SKU!$A:$I,2,FALSE)</f>
        <v>kawaii宫崎骏梦幻之国</v>
      </c>
    </row>
    <row r="377" spans="1:12">
      <c r="A377" s="6"/>
      <c r="B377" s="7" t="s">
        <v>430</v>
      </c>
      <c r="C377" s="6" t="s">
        <v>431</v>
      </c>
      <c r="D377" s="6" t="s">
        <v>43</v>
      </c>
      <c r="E377" s="8">
        <f>SUMIFS(Xuất出库!D:D,Xuất出库!G:G,B377,Xuất出库!C:C,D377)</f>
        <v>7</v>
      </c>
      <c r="F377" s="9">
        <f>SUMIFS(Xuất出库!E:E,Xuất出库!G:G,B377,Xuất出库!C:C,D377)+SUMIFS(Xuất出库!F:F,Xuất出库!G:G,B377,Xuất出库!C:C,D377)</f>
        <v>91</v>
      </c>
      <c r="G377" s="6">
        <f>5+17+11+3+3+3+4</f>
        <v>46</v>
      </c>
      <c r="H377" s="9">
        <f>SUMIFS(Hoàn回库!E:E,Hoàn回库!G:G,B377,Hoàn回库!C:C,D377)+SUMIFS(Hoàn回库!F:F,Hoàn回库!G:G,B377,Hoàn回库!C:C,D377)</f>
        <v>0</v>
      </c>
      <c r="I377" s="9">
        <f>SUMIFS('Điều hàng调货'!E:E,'Điều hàng调货'!A:A,K377,'Điều hàng调货'!G:G,B377)*-1+SUMIFS('Điều hàng调货'!E:E,'Điều hàng调货'!A:A,K377,'Điều hàng调货'!H:H,B377)+SUMIFS('Điều hàng调货'!F:F,'Điều hàng调货'!A:A,K377,'Điều hàng调货'!G:G,B377)*-1+SUMIFS('Điều hàng调货'!F:F,'Điều hàng调货'!A:A,K377,'Điều hàng调货'!H:H,B377)</f>
        <v>0</v>
      </c>
      <c r="J377" s="9">
        <f t="shared" si="21"/>
        <v>45</v>
      </c>
      <c r="K377" s="9">
        <f>VLOOKUP($D377,SKU!$A:$I,3,FALSE)</f>
        <v>10006</v>
      </c>
      <c r="L377" s="9" t="str">
        <f>VLOOKUP($D377,SKU!$A:$I,2,FALSE)</f>
        <v>云映文化「云之境の夏」第二弹·宫崎骏珍藏卡牌</v>
      </c>
    </row>
    <row r="378" spans="1:12">
      <c r="A378" s="6"/>
      <c r="B378" s="7" t="s">
        <v>430</v>
      </c>
      <c r="C378" s="6" t="s">
        <v>431</v>
      </c>
      <c r="D378" s="6" t="s">
        <v>24</v>
      </c>
      <c r="E378" s="8">
        <f>SUMIFS(Xuất出库!D:D,Xuất出库!G:G,B378,Xuất出库!C:C,D378)</f>
        <v>19</v>
      </c>
      <c r="F378" s="9">
        <f>SUMIFS(Xuất出库!E:E,Xuất出库!G:G,B378,Xuất出库!C:C,D378)+SUMIFS(Xuất出库!F:F,Xuất出库!G:G,B378,Xuất出库!C:C,D378)</f>
        <v>456</v>
      </c>
      <c r="G378" s="6">
        <f>23+14+50+20+2+6+158+66</f>
        <v>339</v>
      </c>
      <c r="H378" s="9">
        <f>SUMIFS(Hoàn回库!E:E,Hoàn回库!G:G,B378,Hoàn回库!C:C,D378)+SUMIFS(Hoàn回库!F:F,Hoàn回库!G:G,B378,Hoàn回库!C:C,D378)</f>
        <v>140</v>
      </c>
      <c r="I378" s="9">
        <f>SUMIFS('Điều hàng调货'!E:E,'Điều hàng调货'!A:A,K378,'Điều hàng调货'!G:G,B378)*-1+SUMIFS('Điều hàng调货'!E:E,'Điều hàng调货'!A:A,K378,'Điều hàng调货'!H:H,B378)+SUMIFS('Điều hàng调货'!F:F,'Điều hàng调货'!A:A,K378,'Điều hàng调货'!G:G,B378)*-1+SUMIFS('Điều hàng调货'!F:F,'Điều hàng调货'!A:A,K378,'Điều hàng调货'!H:H,B378)</f>
        <v>0</v>
      </c>
      <c r="J378" s="9">
        <f t="shared" si="21"/>
        <v>-23</v>
      </c>
      <c r="K378" s="9">
        <f>VLOOKUP($D378,SKU!$A:$I,3,FALSE)</f>
        <v>10003</v>
      </c>
      <c r="L378" s="9" t="str">
        <f>VLOOKUP($D378,SKU!$A:$I,2,FALSE)</f>
        <v>DUO米全新出品鬼灭之刃-柱合会议篇第二弹</v>
      </c>
    </row>
    <row r="379" spans="1:12">
      <c r="A379" s="6"/>
      <c r="B379" s="7" t="s">
        <v>430</v>
      </c>
      <c r="C379" s="6" t="s">
        <v>431</v>
      </c>
      <c r="D379" s="6" t="s">
        <v>184</v>
      </c>
      <c r="E379" s="8">
        <f>SUMIFS(Xuất出库!D:D,Xuất出库!G:G,B379,Xuất出库!C:C,D379)</f>
        <v>10</v>
      </c>
      <c r="F379" s="9">
        <f>SUMIFS(Xuất出库!E:E,Xuất出库!G:G,B379,Xuất出库!C:C,D379)+SUMIFS(Xuất出库!F:F,Xuất出库!G:G,B379,Xuất出库!C:C,D379)</f>
        <v>200</v>
      </c>
      <c r="G379" s="6">
        <f>8+20+1+20+3+18+19+20</f>
        <v>109</v>
      </c>
      <c r="H379" s="9">
        <f>SUMIFS(Hoàn回库!E:E,Hoàn回库!G:G,B379,Hoàn回库!C:C,D379)+SUMIFS(Hoàn回库!F:F,Hoàn回库!G:G,B379,Hoàn回库!C:C,D379)</f>
        <v>35</v>
      </c>
      <c r="I379" s="9">
        <f>SUMIFS('Điều hàng调货'!E:E,'Điều hàng调货'!A:A,K379,'Điều hàng调货'!G:G,B379)*-1+SUMIFS('Điều hàng调货'!E:E,'Điều hàng调货'!A:A,K379,'Điều hàng调货'!H:H,B379)+SUMIFS('Điều hàng调货'!F:F,'Điều hàng调货'!A:A,K379,'Điều hàng调货'!G:G,B379)*-1+SUMIFS('Điều hàng调货'!F:F,'Điều hàng调货'!A:A,K379,'Điều hàng调货'!H:H,B379)</f>
        <v>-60</v>
      </c>
      <c r="J379" s="9">
        <f t="shared" si="21"/>
        <v>-4</v>
      </c>
      <c r="K379" s="9">
        <f>VLOOKUP($D379,SKU!$A:$I,3,FALSE)</f>
        <v>10039</v>
      </c>
      <c r="L379" s="9" t="str">
        <f>VLOOKUP($D379,SKU!$A:$I,2,FALSE)</f>
        <v>非凡航海王第五弹</v>
      </c>
    </row>
    <row r="380" spans="1:12">
      <c r="A380" s="6"/>
      <c r="B380" s="7" t="s">
        <v>430</v>
      </c>
      <c r="C380" s="6" t="s">
        <v>431</v>
      </c>
      <c r="D380" s="6" t="s">
        <v>30</v>
      </c>
      <c r="E380" s="8">
        <f>SUMIFS(Xuất出库!D:D,Xuất出库!G:G,B380,Xuất出库!C:C,D380)</f>
        <v>24</v>
      </c>
      <c r="F380" s="9">
        <f>SUMIFS(Xuất出库!E:E,Xuất出库!G:G,B380,Xuất出库!C:C,D380)+SUMIFS(Xuất出库!F:F,Xuất出库!G:G,B380,Xuất出库!C:C,D380)</f>
        <v>76</v>
      </c>
      <c r="G380" s="6">
        <f>2+10+1+1+11+33</f>
        <v>58</v>
      </c>
      <c r="H380" s="9">
        <f>SUMIFS(Hoàn回库!E:E,Hoàn回库!G:G,B380,Hoàn回库!C:C,D380)+SUMIFS(Hoàn回库!F:F,Hoàn回库!G:G,B380,Hoàn回库!C:C,D380)</f>
        <v>18</v>
      </c>
      <c r="I380" s="9">
        <f>SUMIFS('Điều hàng调货'!E:E,'Điều hàng调货'!A:A,K380,'Điều hàng调货'!G:G,B380)*-1+SUMIFS('Điều hàng调货'!E:E,'Điều hàng调货'!A:A,K380,'Điều hàng调货'!H:H,B380)+SUMIFS('Điều hàng调货'!F:F,'Điều hàng调货'!A:A,K380,'Điều hàng调货'!G:G,B380)*-1+SUMIFS('Điều hàng调货'!F:F,'Điều hàng调货'!A:A,K380,'Điều hàng调货'!H:H,B380)</f>
        <v>0</v>
      </c>
      <c r="J380" s="9">
        <f t="shared" si="21"/>
        <v>0</v>
      </c>
      <c r="K380" s="9">
        <f>VLOOKUP($D380,SKU!$A:$I,3,FALSE)</f>
        <v>10004</v>
      </c>
      <c r="L380" s="9" t="str">
        <f>VLOOKUP($D380,SKU!$A:$I,2,FALSE)</f>
        <v>初见花海咒术回战第一弹</v>
      </c>
    </row>
    <row r="381" spans="1:12">
      <c r="A381" s="6"/>
      <c r="B381" s="7" t="s">
        <v>430</v>
      </c>
      <c r="C381" s="6" t="s">
        <v>431</v>
      </c>
      <c r="D381" s="6" t="s">
        <v>225</v>
      </c>
      <c r="E381" s="8">
        <f>SUMIFS(Xuất出库!D:D,Xuất出库!G:G,B381,Xuất出库!C:C,D381)</f>
        <v>18</v>
      </c>
      <c r="F381" s="9">
        <f>SUMIFS(Xuất出库!E:E,Xuất出库!G:G,B381,Xuất出库!C:C,D381)+SUMIFS(Xuất出库!F:F,Xuất出库!G:G,B381,Xuất出库!C:C,D381)</f>
        <v>404</v>
      </c>
      <c r="G381" s="6">
        <f>161+1+134+2+3</f>
        <v>301</v>
      </c>
      <c r="H381" s="9">
        <f>SUMIFS(Hoàn回库!E:E,Hoàn回库!G:G,B381,Hoàn回库!C:C,D381)+SUMIFS(Hoàn回库!F:F,Hoàn回库!G:G,B381,Hoàn回库!C:C,D381)</f>
        <v>103</v>
      </c>
      <c r="I381" s="9">
        <f>SUMIFS('Điều hàng调货'!E:E,'Điều hàng调货'!A:A,K381,'Điều hàng调货'!G:G,B381)*-1+SUMIFS('Điều hàng调货'!E:E,'Điều hàng调货'!A:A,K381,'Điều hàng调货'!H:H,B381)+SUMIFS('Điều hàng调货'!F:F,'Điều hàng调货'!A:A,K381,'Điều hàng调货'!G:G,B381)*-1+SUMIFS('Điều hàng调货'!F:F,'Điều hàng调货'!A:A,K381,'Điều hàng调货'!H:H,B381)</f>
        <v>0</v>
      </c>
      <c r="J381" s="9">
        <f t="shared" si="21"/>
        <v>0</v>
      </c>
      <c r="K381" s="9">
        <f>VLOOKUP($D381,SKU!$A:$I,3,FALSE)</f>
        <v>10052</v>
      </c>
      <c r="L381" s="9" t="str">
        <f>VLOOKUP($D381,SKU!$A:$I,2,FALSE)</f>
        <v>柯南洞悉包第五弹</v>
      </c>
    </row>
    <row r="382" spans="1:12">
      <c r="A382" s="6"/>
      <c r="B382" s="7" t="s">
        <v>430</v>
      </c>
      <c r="C382" s="6" t="s">
        <v>431</v>
      </c>
      <c r="D382" s="6" t="s">
        <v>212</v>
      </c>
      <c r="E382" s="8">
        <f>SUMIFS(Xuất出库!D:D,Xuất出库!G:G,B382,Xuất出库!C:C,D382)</f>
        <v>0</v>
      </c>
      <c r="F382" s="9">
        <f>SUMIFS(Xuất出库!E:E,Xuất出库!G:G,B382,Xuất出库!C:C,D382)+SUMIFS(Xuất出库!F:F,Xuất出库!G:G,B382,Xuất出库!C:C,D382)</f>
        <v>189</v>
      </c>
      <c r="G382" s="6">
        <f>2+79+6</f>
        <v>87</v>
      </c>
      <c r="H382" s="9">
        <f>SUMIFS(Hoàn回库!E:E,Hoàn回库!G:G,B382,Hoàn回库!C:C,D382)+SUMIFS(Hoàn回库!F:F,Hoàn回库!G:G,B382,Hoàn回库!C:C,D382)</f>
        <v>42</v>
      </c>
      <c r="I382" s="9">
        <f>SUMIFS('Điều hàng调货'!E:E,'Điều hàng调货'!A:A,K382,'Điều hàng调货'!G:G,B382)*-1+SUMIFS('Điều hàng调货'!E:E,'Điều hàng调货'!A:A,K382,'Điều hàng调货'!H:H,B382)+SUMIFS('Điều hàng调货'!F:F,'Điều hàng调货'!A:A,K382,'Điều hàng调货'!G:G,B382)*-1+SUMIFS('Điều hàng调货'!F:F,'Điều hàng调货'!A:A,K382,'Điều hàng调货'!H:H,B382)</f>
        <v>-20</v>
      </c>
      <c r="J382" s="9">
        <f t="shared" si="21"/>
        <v>40</v>
      </c>
      <c r="K382" s="9">
        <f>VLOOKUP($D382,SKU!$A:$I,3,FALSE)</f>
        <v>10048</v>
      </c>
      <c r="L382" s="9" t="str">
        <f>VLOOKUP($D382,SKU!$A:$I,2,FALSE)</f>
        <v>奈良社《极昼漫游》美少女战士撕撕乐+异形小卡</v>
      </c>
    </row>
    <row r="383" spans="1:12">
      <c r="A383" s="6"/>
      <c r="B383" s="7" t="s">
        <v>430</v>
      </c>
      <c r="C383" s="6" t="s">
        <v>431</v>
      </c>
      <c r="D383" s="6" t="s">
        <v>167</v>
      </c>
      <c r="E383" s="8">
        <f>SUMIFS(Xuất出库!D:D,Xuất出库!G:G,B383,Xuất出库!C:C,D383)</f>
        <v>10</v>
      </c>
      <c r="F383" s="9">
        <f>SUMIFS(Xuất出库!E:E,Xuất出库!G:G,B383,Xuất出库!C:C,D383)+SUMIFS(Xuất出库!F:F,Xuất出库!G:G,B383,Xuất出库!C:C,D383)</f>
        <v>140</v>
      </c>
      <c r="G383" s="6">
        <f>27+8+6+1+3+21+6+3+3+4+3</f>
        <v>85</v>
      </c>
      <c r="H383" s="9">
        <f>SUMIFS(Hoàn回库!E:E,Hoàn回库!G:G,B383,Hoàn回库!C:C,D383)+SUMIFS(Hoàn回库!F:F,Hoàn回库!G:G,B383,Hoàn回库!C:C,D383)</f>
        <v>0</v>
      </c>
      <c r="I383" s="9">
        <f>SUMIFS('Điều hàng调货'!E:E,'Điều hàng调货'!A:A,K383,'Điều hàng调货'!G:G,B383)*-1+SUMIFS('Điều hàng调货'!E:E,'Điều hàng调货'!A:A,K383,'Điều hàng调货'!H:H,B383)+SUMIFS('Điều hàng调货'!F:F,'Điều hàng调货'!A:A,K383,'Điều hàng调货'!G:G,B383)*-1+SUMIFS('Điều hàng调货'!F:F,'Điều hàng调货'!A:A,K383,'Điều hàng调货'!H:H,B383)</f>
        <v>0</v>
      </c>
      <c r="J383" s="9">
        <f t="shared" si="21"/>
        <v>55</v>
      </c>
      <c r="K383" s="9">
        <f>VLOOKUP($D383,SKU!$A:$I,3,FALSE)</f>
        <v>10035</v>
      </c>
      <c r="L383" s="9" t="str">
        <f>VLOOKUP($D383,SKU!$A:$I,2,FALSE)</f>
        <v>KK CARD × 新海诚系列第一弹</v>
      </c>
    </row>
    <row r="384" spans="1:12">
      <c r="A384" s="6"/>
      <c r="B384" s="7" t="s">
        <v>430</v>
      </c>
      <c r="C384" s="6" t="s">
        <v>431</v>
      </c>
      <c r="D384" s="6" t="s">
        <v>71</v>
      </c>
      <c r="E384" s="8">
        <f>SUMIFS(Xuất出库!D:D,Xuất出库!G:G,B384,Xuất出库!C:C,D384)</f>
        <v>0</v>
      </c>
      <c r="F384" s="9">
        <f>SUMIFS(Xuất出库!E:E,Xuất出库!G:G,B384,Xuất出库!C:C,D384)+SUMIFS(Xuất出库!F:F,Xuất出库!G:G,B384,Xuất出库!C:C,D384)</f>
        <v>21</v>
      </c>
      <c r="G384" s="6">
        <f>2+3+4</f>
        <v>9</v>
      </c>
      <c r="H384" s="9">
        <f>SUMIFS(Hoàn回库!E:E,Hoàn回库!G:G,B384,Hoàn回库!C:C,D384)+SUMIFS(Hoàn回库!F:F,Hoàn回库!G:G,B384,Hoàn回库!C:C,D384)</f>
        <v>12</v>
      </c>
      <c r="I384" s="9">
        <f>SUMIFS('Điều hàng调货'!E:E,'Điều hàng调货'!A:A,K384,'Điều hàng调货'!G:G,B384)*-1+SUMIFS('Điều hàng调货'!E:E,'Điều hàng调货'!A:A,K384,'Điều hàng调货'!H:H,B384)+SUMIFS('Điều hàng调货'!F:F,'Điều hàng调货'!A:A,K384,'Điều hàng调货'!G:G,B384)*-1+SUMIFS('Điều hàng调货'!F:F,'Điều hàng调货'!A:A,K384,'Điều hàng调货'!H:H,B384)</f>
        <v>0</v>
      </c>
      <c r="J384" s="9">
        <f t="shared" si="21"/>
        <v>0</v>
      </c>
      <c r="K384" s="9">
        <f>VLOOKUP($D384,SKU!$A:$I,3,FALSE)</f>
        <v>10011</v>
      </c>
      <c r="L384" s="9" t="str">
        <f>VLOOKUP($D384,SKU!$A:$I,2,FALSE)</f>
        <v>灿卡文创宫崎骏第二弹《花涧物语》</v>
      </c>
    </row>
    <row r="385" spans="1:12">
      <c r="A385" s="6"/>
      <c r="B385" s="7" t="s">
        <v>430</v>
      </c>
      <c r="C385" s="6" t="s">
        <v>431</v>
      </c>
      <c r="D385" s="6" t="s">
        <v>222</v>
      </c>
      <c r="E385" s="8">
        <f>SUMIFS(Xuất出库!D:D,Xuất出库!G:G,B385,Xuất出库!C:C,D385)</f>
        <v>11</v>
      </c>
      <c r="F385" s="9">
        <f>SUMIFS(Xuất出库!E:E,Xuất出库!G:G,B385,Xuất出库!C:C,D385)+SUMIFS(Xuất出库!F:F,Xuất出库!G:G,B385,Xuất出库!C:C,D385)</f>
        <v>245</v>
      </c>
      <c r="G385" s="6">
        <f>26+52+167</f>
        <v>245</v>
      </c>
      <c r="H385" s="9">
        <f>SUMIFS(Hoàn回库!E:E,Hoàn回库!G:G,B385,Hoàn回库!C:C,D385)+SUMIFS(Hoàn回库!F:F,Hoàn回库!G:G,B385,Hoàn回库!C:C,D385)</f>
        <v>0</v>
      </c>
      <c r="I385" s="9">
        <f>SUMIFS('Điều hàng调货'!E:E,'Điều hàng调货'!A:A,K385,'Điều hàng调货'!G:G,B385)*-1+SUMIFS('Điều hàng调货'!E:E,'Điều hàng调货'!A:A,K385,'Điều hàng调货'!H:H,B385)+SUMIFS('Điều hàng调货'!F:F,'Điều hàng调货'!A:A,K385,'Điều hàng调货'!G:G,B385)*-1+SUMIFS('Điều hàng调货'!F:F,'Điều hàng调货'!A:A,K385,'Điều hàng调货'!H:H,B385)</f>
        <v>0</v>
      </c>
      <c r="J385" s="9">
        <f t="shared" si="21"/>
        <v>0</v>
      </c>
      <c r="K385" s="9">
        <f>VLOOKUP($D385,SKU!$A:$I,3,FALSE)</f>
        <v>10051</v>
      </c>
      <c r="L385" s="9" t="str">
        <f>VLOOKUP($D385,SKU!$A:$I,2,FALSE)</f>
        <v>南卡《魔卡少女樱》</v>
      </c>
    </row>
    <row r="386" spans="1:12">
      <c r="A386" s="6"/>
      <c r="B386" s="7" t="s">
        <v>430</v>
      </c>
      <c r="C386" s="6" t="s">
        <v>431</v>
      </c>
      <c r="D386" s="6" t="s">
        <v>188</v>
      </c>
      <c r="E386" s="8">
        <f>SUMIFS(Xuất出库!D:D,Xuất出库!G:G,B386,Xuất出库!C:C,D386)</f>
        <v>5</v>
      </c>
      <c r="F386" s="9">
        <f>SUMIFS(Xuất出库!E:E,Xuất出库!G:G,B386,Xuất出库!C:C,D386)+SUMIFS(Xuất出库!F:F,Xuất出库!G:G,B386,Xuất出库!C:C,D386)</f>
        <v>71</v>
      </c>
      <c r="G386" s="6">
        <v>16</v>
      </c>
      <c r="H386" s="9">
        <f>SUMIFS(Hoàn回库!E:E,Hoàn回库!G:G,B386,Hoàn回库!C:C,D386)+SUMIFS(Hoàn回库!F:F,Hoàn回库!G:G,B386,Hoàn回库!C:C,D386)</f>
        <v>55</v>
      </c>
      <c r="I386" s="9">
        <f>SUMIFS('Điều hàng调货'!E:E,'Điều hàng调货'!A:A,K386,'Điều hàng调货'!G:G,B386)*-1+SUMIFS('Điều hàng调货'!E:E,'Điều hàng调货'!A:A,K386,'Điều hàng调货'!H:H,B386)+SUMIFS('Điều hàng调货'!F:F,'Điều hàng调货'!A:A,K386,'Điều hàng调货'!G:G,B386)*-1+SUMIFS('Điều hàng调货'!F:F,'Điều hàng调货'!A:A,K386,'Điều hàng调货'!H:H,B386)</f>
        <v>0</v>
      </c>
      <c r="J386" s="9">
        <f t="shared" si="21"/>
        <v>0</v>
      </c>
      <c r="K386" s="9">
        <f>VLOOKUP($D386,SKU!$A:$I,3,FALSE)</f>
        <v>10040</v>
      </c>
      <c r="L386" s="9" t="str">
        <f>VLOOKUP($D386,SKU!$A:$I,2,FALSE)</f>
        <v>酷卡文化-线条小狗3弹</v>
      </c>
    </row>
    <row r="387" spans="1:12">
      <c r="A387" s="6"/>
      <c r="B387" s="7" t="s">
        <v>430</v>
      </c>
      <c r="C387" s="6" t="s">
        <v>431</v>
      </c>
      <c r="D387" s="6" t="s">
        <v>196</v>
      </c>
      <c r="E387" s="8">
        <f>SUMIFS(Xuất出库!D:D,Xuất出库!G:G,B387,Xuất出库!C:C,D387)</f>
        <v>4</v>
      </c>
      <c r="F387" s="9">
        <f>SUMIFS(Xuất出库!E:E,Xuất出库!G:G,B387,Xuất出库!C:C,D387)+SUMIFS(Xuất出库!F:F,Xuất出库!G:G,B387,Xuất出库!C:C,D387)</f>
        <v>64</v>
      </c>
      <c r="G387" s="6">
        <f>3+3</f>
        <v>6</v>
      </c>
      <c r="H387" s="9">
        <f>SUMIFS(Hoàn回库!E:E,Hoàn回库!G:G,B387,Hoàn回库!C:C,D387)+SUMIFS(Hoàn回库!F:F,Hoàn回库!G:G,B387,Hoàn回库!C:C,D387)</f>
        <v>0</v>
      </c>
      <c r="I387" s="9">
        <f>SUMIFS('Điều hàng调货'!E:E,'Điều hàng调货'!A:A,K387,'Điều hàng调货'!G:G,B387)*-1+SUMIFS('Điều hàng调货'!E:E,'Điều hàng调货'!A:A,K387,'Điều hàng调货'!H:H,B387)+SUMIFS('Điều hàng调货'!F:F,'Điều hàng调货'!A:A,K387,'Điều hàng调货'!G:G,B387)*-1+SUMIFS('Điều hàng调货'!F:F,'Điều hàng调货'!A:A,K387,'Điều hàng调货'!H:H,B387)</f>
        <v>0</v>
      </c>
      <c r="J387" s="9">
        <f t="shared" si="21"/>
        <v>58</v>
      </c>
      <c r="K387" s="9">
        <f>VLOOKUP($D387,SKU!$A:$I,3,FALSE)</f>
        <v>10042</v>
      </c>
      <c r="L387" s="9" t="str">
        <f>VLOOKUP($D387,SKU!$A:$I,2,FALSE)</f>
        <v>黄油小熊系列收藏卡第二弹 小熊的观察日记</v>
      </c>
    </row>
    <row r="388" spans="1:12">
      <c r="A388" s="6"/>
      <c r="B388" s="7" t="s">
        <v>430</v>
      </c>
      <c r="C388" s="6" t="s">
        <v>431</v>
      </c>
      <c r="D388" s="6" t="s">
        <v>234</v>
      </c>
      <c r="E388" s="8">
        <f>SUMIFS(Xuất出库!D:D,Xuất出库!G:G,B388,Xuất出库!C:C,D388)</f>
        <v>17</v>
      </c>
      <c r="F388" s="9">
        <f>SUMIFS(Xuất出库!E:E,Xuất出库!G:G,B388,Xuất出库!C:C,D388)+SUMIFS(Xuất出库!F:F,Xuất出库!G:G,B388,Xuất出库!C:C,D388)</f>
        <v>88</v>
      </c>
      <c r="G388" s="6">
        <f>8+6+12+11+23</f>
        <v>60</v>
      </c>
      <c r="H388" s="9">
        <f>SUMIFS(Hoàn回库!E:E,Hoàn回库!G:G,B388,Hoàn回库!C:C,D388)+SUMIFS(Hoàn回库!F:F,Hoàn回库!G:G,B388,Hoàn回库!C:C,D388)</f>
        <v>28</v>
      </c>
      <c r="I388" s="9">
        <f>SUMIFS('Điều hàng调货'!E:E,'Điều hàng调货'!A:A,K388,'Điều hàng调货'!G:G,B388)*-1+SUMIFS('Điều hàng调货'!E:E,'Điều hàng调货'!A:A,K388,'Điều hàng调货'!H:H,B388)+SUMIFS('Điều hàng调货'!F:F,'Điều hàng调货'!A:A,K388,'Điều hàng调货'!G:G,B388)*-1+SUMIFS('Điều hàng调货'!F:F,'Điều hàng调货'!A:A,K388,'Điều hàng调货'!H:H,B388)</f>
        <v>0</v>
      </c>
      <c r="J388" s="9">
        <f t="shared" si="21"/>
        <v>0</v>
      </c>
      <c r="K388" s="9">
        <f>VLOOKUP($D388,SKU!$A:$I,3,FALSE)</f>
        <v>10055</v>
      </c>
      <c r="L388" s="9" t="str">
        <f>VLOOKUP($D388,SKU!$A:$I,2,FALSE)</f>
        <v>绘卷文创 - 梦境入画【鬼灭之刃系列收藏卡砖】</v>
      </c>
    </row>
    <row r="389" spans="1:12">
      <c r="A389" s="6"/>
      <c r="B389" s="7" t="s">
        <v>430</v>
      </c>
      <c r="C389" s="6" t="s">
        <v>431</v>
      </c>
      <c r="D389" s="6" t="s">
        <v>91</v>
      </c>
      <c r="E389" s="8">
        <f>SUMIFS(Xuất出库!D:D,Xuất出库!G:G,B389,Xuất出库!C:C,D389)</f>
        <v>12</v>
      </c>
      <c r="F389" s="9">
        <f>SUMIFS(Xuất出库!E:E,Xuất出库!G:G,B389,Xuất出库!C:C,D389)+SUMIFS(Xuất出库!F:F,Xuất出库!G:G,B389,Xuất出库!C:C,D389)</f>
        <v>120</v>
      </c>
      <c r="G389" s="6">
        <f>3+33+19+41+4</f>
        <v>100</v>
      </c>
      <c r="H389" s="9">
        <f>SUMIFS(Hoàn回库!E:E,Hoàn回库!G:G,B389,Hoàn回库!C:C,D389)+SUMIFS(Hoàn回库!F:F,Hoàn回库!G:G,B389,Hoàn回库!C:C,D389)</f>
        <v>0</v>
      </c>
      <c r="I389" s="9">
        <f>SUMIFS('Điều hàng调货'!E:E,'Điều hàng调货'!A:A,K389,'Điều hàng调货'!G:G,B389)*-1+SUMIFS('Điều hàng调货'!E:E,'Điều hàng调货'!A:A,K389,'Điều hàng调货'!H:H,B389)+SUMIFS('Điều hàng调货'!F:F,'Điều hàng调货'!A:A,K389,'Điều hàng调货'!G:G,B389)*-1+SUMIFS('Điều hàng调货'!F:F,'Điều hàng调货'!A:A,K389,'Điều hàng调货'!H:H,B389)</f>
        <v>8</v>
      </c>
      <c r="J389" s="9">
        <f t="shared" si="21"/>
        <v>28</v>
      </c>
      <c r="K389" s="9">
        <f>VLOOKUP($D389,SKU!$A:$I,3,FALSE)</f>
        <v>10016</v>
      </c>
      <c r="L389" s="9" t="str">
        <f>VLOOKUP($D389,SKU!$A:$I,2,FALSE)</f>
        <v>思梨普文创《hey!国王陛下》集换式艺术家典藏卡</v>
      </c>
    </row>
    <row r="390" spans="1:12">
      <c r="A390" s="6"/>
      <c r="B390" s="7" t="s">
        <v>430</v>
      </c>
      <c r="C390" s="6" t="s">
        <v>431</v>
      </c>
      <c r="D390" s="6" t="s">
        <v>280</v>
      </c>
      <c r="E390" s="8">
        <f>SUMIFS(Xuất出库!D:D,Xuất出库!G:G,B390,Xuất出库!C:C,D390)</f>
        <v>10</v>
      </c>
      <c r="F390" s="9">
        <f>SUMIFS(Xuất出库!E:E,Xuất出库!G:G,B390,Xuất出库!C:C,D390)+SUMIFS(Xuất出库!F:F,Xuất出库!G:G,B390,Xuất出库!C:C,D390)</f>
        <v>180</v>
      </c>
      <c r="G390" s="6">
        <f>27+5+3</f>
        <v>35</v>
      </c>
      <c r="H390" s="9">
        <f>SUMIFS(Hoàn回库!E:E,Hoàn回库!G:G,B390,Hoàn回库!C:C,D390)+SUMIFS(Hoàn回库!F:F,Hoàn回库!G:G,B390,Hoàn回库!C:C,D390)</f>
        <v>0</v>
      </c>
      <c r="I390" s="9">
        <f>SUMIFS('Điều hàng调货'!E:E,'Điều hàng调货'!A:A,K390,'Điều hàng调货'!G:G,B390)*-1+SUMIFS('Điều hàng调货'!E:E,'Điều hàng调货'!A:A,K390,'Điều hàng调货'!H:H,B390)+SUMIFS('Điều hàng调货'!F:F,'Điều hàng调货'!A:A,K390,'Điều hàng调货'!G:G,B390)*-1+SUMIFS('Điều hàng调货'!F:F,'Điều hàng调货'!A:A,K390,'Điều hàng调货'!H:H,B390)</f>
        <v>0</v>
      </c>
      <c r="J390" s="9">
        <f t="shared" si="21"/>
        <v>145</v>
      </c>
      <c r="K390" s="9">
        <f>VLOOKUP($D390,SKU!$A:$I,3,FALSE)</f>
        <v>10071</v>
      </c>
      <c r="L390" s="9" t="str">
        <f>VLOOKUP($D390,SKU!$A:$I,2,FALSE)</f>
        <v>咒术回战-术士收藏卡-高专篇</v>
      </c>
    </row>
    <row r="391" spans="1:12">
      <c r="A391" s="6"/>
      <c r="B391" s="7" t="s">
        <v>430</v>
      </c>
      <c r="C391" s="6" t="s">
        <v>431</v>
      </c>
      <c r="D391" s="6" t="s">
        <v>266</v>
      </c>
      <c r="E391" s="8">
        <f>SUMIFS(Xuất出库!D:D,Xuất出库!G:G,B391,Xuất出库!C:C,D391)</f>
        <v>10</v>
      </c>
      <c r="F391" s="9">
        <f>SUMIFS(Xuất出库!E:E,Xuất出库!G:G,B391,Xuất出库!C:C,D391)+SUMIFS(Xuất出库!F:F,Xuất出库!G:G,B391,Xuất出库!C:C,D391)</f>
        <v>360</v>
      </c>
      <c r="G391" s="6">
        <f>45+27+56+26+11+10</f>
        <v>175</v>
      </c>
      <c r="H391" s="9">
        <f>SUMIFS(Hoàn回库!E:E,Hoàn回库!G:G,B391,Hoàn回库!C:C,D391)+SUMIFS(Hoàn回库!F:F,Hoàn回库!G:G,B391,Hoàn回库!C:C,D391)</f>
        <v>0</v>
      </c>
      <c r="I391" s="9">
        <f>SUMIFS('Điều hàng调货'!E:E,'Điều hàng调货'!A:A,K391,'Điều hàng调货'!G:G,B391)*-1+SUMIFS('Điều hàng调货'!E:E,'Điều hàng调货'!A:A,K391,'Điều hàng调货'!H:H,B391)+SUMIFS('Điều hàng调货'!F:F,'Điều hàng调货'!A:A,K391,'Điều hàng调货'!G:G,B391)*-1+SUMIFS('Điều hàng调货'!F:F,'Điều hàng调货'!A:A,K391,'Điều hàng调货'!H:H,B391)</f>
        <v>0</v>
      </c>
      <c r="J391" s="9">
        <f t="shared" si="21"/>
        <v>185</v>
      </c>
      <c r="K391" s="9">
        <f>VLOOKUP($D391,SKU!$A:$I,3,FALSE)</f>
        <v>10066</v>
      </c>
      <c r="L391" s="9" t="str">
        <f>VLOOKUP($D391,SKU!$A:$I,2,FALSE)</f>
        <v>卡游柯南揭秘包第2弹</v>
      </c>
    </row>
    <row r="392" spans="1:12">
      <c r="A392" s="6"/>
      <c r="B392" s="7" t="s">
        <v>430</v>
      </c>
      <c r="C392" s="6" t="s">
        <v>431</v>
      </c>
      <c r="D392" s="6" t="s">
        <v>299</v>
      </c>
      <c r="E392" s="8">
        <f>SUMIFS(Xuất出库!D:D,Xuất出库!G:G,B392,Xuất出库!C:C,D392)</f>
        <v>20</v>
      </c>
      <c r="F392" s="9">
        <f>SUMIFS(Xuất出库!E:E,Xuất出库!G:G,B392,Xuất出库!C:C,D392)+SUMIFS(Xuất出库!F:F,Xuất出库!G:G,B392,Xuất出库!C:C,D392)</f>
        <v>20</v>
      </c>
      <c r="G392" s="6">
        <v>3</v>
      </c>
      <c r="H392" s="9">
        <f>SUMIFS(Hoàn回库!E:E,Hoàn回库!G:G,B392,Hoàn回库!C:C,D392)+SUMIFS(Hoàn回库!F:F,Hoàn回库!G:G,B392,Hoàn回库!C:C,D392)</f>
        <v>0</v>
      </c>
      <c r="I392" s="9">
        <f>SUMIFS('Điều hàng调货'!E:E,'Điều hàng调货'!A:A,K392,'Điều hàng调货'!G:G,B392)*-1+SUMIFS('Điều hàng调货'!E:E,'Điều hàng调货'!A:A,K392,'Điều hàng调货'!H:H,B392)+SUMIFS('Điều hàng调货'!F:F,'Điều hàng调货'!A:A,K392,'Điều hàng调货'!G:G,B392)*-1+SUMIFS('Điều hàng调货'!F:F,'Điều hàng调货'!A:A,K392,'Điều hàng调货'!H:H,B392)</f>
        <v>0</v>
      </c>
      <c r="J392" s="9">
        <f t="shared" si="21"/>
        <v>17</v>
      </c>
      <c r="K392" s="9">
        <f>VLOOKUP($D392,SKU!$A:$I,3,FALSE)</f>
        <v>10078</v>
      </c>
      <c r="L392" s="9" t="str">
        <f>VLOOKUP($D392,SKU!$A:$I,2,FALSE)</f>
        <v>摩斯社×名侦探柯南-摩斯密码系列评级邮票</v>
      </c>
    </row>
    <row r="393" spans="1:12">
      <c r="A393" s="6"/>
      <c r="B393" s="7" t="s">
        <v>430</v>
      </c>
      <c r="C393" s="6" t="s">
        <v>431</v>
      </c>
      <c r="D393" s="6" t="s">
        <v>290</v>
      </c>
      <c r="E393" s="8">
        <f>SUMIFS(Xuất出库!D:D,Xuất出库!G:G,B393,Xuất出库!C:C,D393)</f>
        <v>0</v>
      </c>
      <c r="F393" s="9">
        <f>SUMIFS(Xuất出库!E:E,Xuất出库!G:G,B393,Xuất出库!C:C,D393)+SUMIFS(Xuất出库!F:F,Xuất出库!G:G,B393,Xuất出库!C:C,D393)</f>
        <v>0</v>
      </c>
      <c r="G393" s="6">
        <f>16+7+22+6+1+7+2+23+6+15+1+5+1+9+6+12</f>
        <v>139</v>
      </c>
      <c r="H393" s="9">
        <f>SUMIFS(Hoàn回库!E:E,Hoàn回库!G:G,B393,Hoàn回库!C:C,D393)+SUMIFS(Hoàn回库!F:F,Hoàn回库!G:G,B393,Hoàn回库!C:C,D393)</f>
        <v>0</v>
      </c>
      <c r="I393" s="9">
        <f>SUMIFS('Điều hàng调货'!E:E,'Điều hàng调货'!A:A,K393,'Điều hàng调货'!G:G,B393)*-1+SUMIFS('Điều hàng调货'!E:E,'Điều hàng调货'!A:A,K393,'Điều hàng调货'!H:H,B393)+SUMIFS('Điều hàng调货'!F:F,'Điều hàng调货'!A:A,K393,'Điều hàng调货'!G:G,B393)*-1+SUMIFS('Điều hàng调货'!F:F,'Điều hàng调货'!A:A,K393,'Điều hàng调货'!H:H,B393)</f>
        <v>139</v>
      </c>
      <c r="J393" s="9">
        <f t="shared" si="21"/>
        <v>0</v>
      </c>
      <c r="K393" s="9">
        <f>VLOOKUP($D393,SKU!$A:$I,3,FALSE)</f>
        <v>10075</v>
      </c>
      <c r="L393" s="9" t="str">
        <f>VLOOKUP($D393,SKU!$A:$I,2,FALSE)</f>
        <v>《万卡卡文创》鬼灭之刃日轮破晓第一弹</v>
      </c>
    </row>
    <row r="394" spans="1:12">
      <c r="A394" s="6"/>
      <c r="B394" s="7" t="s">
        <v>430</v>
      </c>
      <c r="C394" s="6" t="s">
        <v>431</v>
      </c>
      <c r="D394" s="6" t="s">
        <v>293</v>
      </c>
      <c r="E394" s="8">
        <f>SUMIFS(Xuất出库!D:D,Xuất出库!G:G,B394,Xuất出库!C:C,D394)</f>
        <v>5</v>
      </c>
      <c r="F394" s="9">
        <f>SUMIFS(Xuất出库!E:E,Xuất出库!G:G,B394,Xuất出库!C:C,D394)+SUMIFS(Xuất出库!F:F,Xuất出库!G:G,B394,Xuất出库!C:C,D394)</f>
        <v>50</v>
      </c>
      <c r="G394" s="6">
        <f>5+8+35+45+24+5+10+12</f>
        <v>144</v>
      </c>
      <c r="H394" s="9">
        <f>SUMIFS(Hoàn回库!E:E,Hoàn回库!G:G,B394,Hoàn回库!C:C,D394)+SUMIFS(Hoàn回库!F:F,Hoàn回库!G:G,B394,Hoàn回库!C:C,D394)</f>
        <v>0</v>
      </c>
      <c r="I394" s="9">
        <f>SUMIFS('Điều hàng调货'!E:E,'Điều hàng调货'!A:A,K394,'Điều hàng调货'!G:G,B394)*-1+SUMIFS('Điều hàng调货'!E:E,'Điều hàng调货'!A:A,K394,'Điều hàng调货'!H:H,B394)+SUMIFS('Điều hàng调货'!F:F,'Điều hàng调货'!A:A,K394,'Điều hàng调货'!G:G,B394)*-1+SUMIFS('Điều hàng调货'!F:F,'Điều hàng调货'!A:A,K394,'Điều hàng调货'!H:H,B394)</f>
        <v>94</v>
      </c>
      <c r="J394" s="9">
        <f t="shared" si="21"/>
        <v>0</v>
      </c>
      <c r="K394" s="9">
        <f>VLOOKUP($D394,SKU!$A:$I,3,FALSE)</f>
        <v>10076</v>
      </c>
      <c r="L394" s="9" t="str">
        <f>VLOOKUP($D394,SKU!$A:$I,2,FALSE)</f>
        <v>【Aikaho】鬼灭之刃第四弹 集结 【DS-04 Muster】</v>
      </c>
    </row>
    <row r="395" spans="1:12">
      <c r="A395" s="6"/>
      <c r="B395" s="7" t="s">
        <v>430</v>
      </c>
      <c r="C395" s="6" t="s">
        <v>431</v>
      </c>
      <c r="D395" s="6" t="s">
        <v>319</v>
      </c>
      <c r="E395" s="8">
        <f>SUMIFS(Xuất出库!D:D,Xuất出库!G:G,B395,Xuất出库!C:C,D395)</f>
        <v>20</v>
      </c>
      <c r="F395" s="9">
        <f>SUMIFS(Xuất出库!E:E,Xuất出库!G:G,B395,Xuất出库!C:C,D395)+SUMIFS(Xuất出库!F:F,Xuất出库!G:G,B395,Xuất出库!C:C,D395)</f>
        <v>20</v>
      </c>
      <c r="G395" s="6">
        <v>2</v>
      </c>
      <c r="H395" s="9">
        <f>SUMIFS(Hoàn回库!E:E,Hoàn回库!G:G,B395,Hoàn回库!C:C,D395)+SUMIFS(Hoàn回库!F:F,Hoàn回库!G:G,B395,Hoàn回库!C:C,D395)</f>
        <v>0</v>
      </c>
      <c r="I395" s="9">
        <f>SUMIFS('Điều hàng调货'!E:E,'Điều hàng调货'!A:A,K395,'Điều hàng调货'!G:G,B395)*-1+SUMIFS('Điều hàng调货'!E:E,'Điều hàng调货'!A:A,K395,'Điều hàng调货'!H:H,B395)+SUMIFS('Điều hàng调货'!F:F,'Điều hàng调货'!A:A,K395,'Điều hàng调货'!G:G,B395)*-1+SUMIFS('Điều hàng调货'!F:F,'Điều hàng调货'!A:A,K395,'Điều hàng调货'!H:H,B395)</f>
        <v>0</v>
      </c>
      <c r="J395" s="9">
        <f t="shared" si="21"/>
        <v>18</v>
      </c>
      <c r="K395" s="9">
        <f>VLOOKUP($D395,SKU!$A:$I,3,FALSE)</f>
        <v>10086</v>
      </c>
      <c r="L395" s="9" t="str">
        <f>VLOOKUP($D395,SKU!$A:$I,2,FALSE)</f>
        <v>【潮迷文创】名侦探柯南-危险排队-周边创意艺术色纸</v>
      </c>
    </row>
    <row r="396" spans="1:12">
      <c r="A396" s="6"/>
      <c r="B396" s="7" t="s">
        <v>430</v>
      </c>
      <c r="C396" s="6" t="s">
        <v>431</v>
      </c>
      <c r="D396" s="6" t="s">
        <v>358</v>
      </c>
      <c r="E396" s="8">
        <f>SUMIFS(Xuất出库!D:D,Xuất出库!G:G,B396,Xuất出库!C:C,D396)</f>
        <v>5</v>
      </c>
      <c r="F396" s="9">
        <f>SUMIFS(Xuất出库!E:E,Xuất出库!G:G,B396,Xuất出库!C:C,D396)+SUMIFS(Xuất出库!F:F,Xuất出库!G:G,B396,Xuất出库!C:C,D396)</f>
        <v>65</v>
      </c>
      <c r="G396" s="6">
        <v>3</v>
      </c>
      <c r="H396" s="9">
        <f>SUMIFS(Hoàn回库!E:E,Hoàn回库!G:G,B396,Hoàn回库!C:C,D396)+SUMIFS(Hoàn回库!F:F,Hoàn回库!G:G,B396,Hoàn回库!C:C,D396)</f>
        <v>0</v>
      </c>
      <c r="I396" s="9">
        <f>SUMIFS('Điều hàng调货'!E:E,'Điều hàng调货'!A:A,K396,'Điều hàng调货'!G:G,B396)*-1+SUMIFS('Điều hàng调货'!E:E,'Điều hàng调货'!A:A,K396,'Điều hàng调货'!H:H,B396)+SUMIFS('Điều hàng调货'!F:F,'Điều hàng调货'!A:A,K396,'Điều hàng调货'!G:G,B396)*-1+SUMIFS('Điều hàng调货'!F:F,'Điều hàng调货'!A:A,K396,'Điều hàng调货'!H:H,B396)</f>
        <v>0</v>
      </c>
      <c r="J396" s="9">
        <f t="shared" si="21"/>
        <v>62</v>
      </c>
      <c r="K396" s="9">
        <f>VLOOKUP($D396,SKU!$A:$I,3,FALSE)</f>
        <v>10100</v>
      </c>
      <c r="L396" s="9" t="str">
        <f>VLOOKUP($D396,SKU!$A:$I,2,FALSE)</f>
        <v>《意卡文创海贼王》第二弹</v>
      </c>
    </row>
    <row r="397" spans="1:12">
      <c r="A397" s="6"/>
      <c r="B397" s="7" t="s">
        <v>430</v>
      </c>
      <c r="C397" s="6" t="s">
        <v>431</v>
      </c>
      <c r="D397" s="6" t="s">
        <v>364</v>
      </c>
      <c r="E397" s="8">
        <f>SUMIFS(Xuất出库!D:D,Xuất出库!G:G,B397,Xuất出库!C:C,D397)</f>
        <v>5</v>
      </c>
      <c r="F397" s="9">
        <f>SUMIFS(Xuất出库!E:E,Xuất出库!G:G,B397,Xuất出库!C:C,D397)+SUMIFS(Xuất出库!F:F,Xuất出库!G:G,B397,Xuất出库!C:C,D397)</f>
        <v>65</v>
      </c>
      <c r="G397" s="6">
        <v>13</v>
      </c>
      <c r="H397" s="9">
        <f>SUMIFS(Hoàn回库!E:E,Hoàn回库!G:G,B397,Hoàn回库!C:C,D397)+SUMIFS(Hoàn回库!F:F,Hoàn回库!G:G,B397,Hoàn回库!C:C,D397)</f>
        <v>0</v>
      </c>
      <c r="I397" s="9">
        <f>SUMIFS('Điều hàng调货'!E:E,'Điều hàng调货'!A:A,K397,'Điều hàng调货'!G:G,B397)*-1+SUMIFS('Điều hàng调货'!E:E,'Điều hàng调货'!A:A,K397,'Điều hàng调货'!H:H,B397)+SUMIFS('Điều hàng调货'!F:F,'Điều hàng调货'!A:A,K397,'Điều hàng调货'!G:G,B397)*-1+SUMIFS('Điều hàng调货'!F:F,'Điều hàng调货'!A:A,K397,'Điều hàng调货'!H:H,B397)</f>
        <v>0</v>
      </c>
      <c r="J397" s="9">
        <f t="shared" si="21"/>
        <v>52</v>
      </c>
      <c r="K397" s="9">
        <f>VLOOKUP($D397,SKU!$A:$I,3,FALSE)</f>
        <v>10102</v>
      </c>
      <c r="L397" s="9" t="str">
        <f>VLOOKUP($D397,SKU!$A:$I,2,FALSE)</f>
        <v>麒麟文创航海王第一弹-仙道天下</v>
      </c>
    </row>
    <row r="398" spans="1:12">
      <c r="A398" s="6"/>
      <c r="B398" s="7" t="s">
        <v>430</v>
      </c>
      <c r="C398" s="6" t="s">
        <v>431</v>
      </c>
      <c r="D398" s="6" t="s">
        <v>367</v>
      </c>
      <c r="E398" s="8">
        <f>SUMIFS(Xuất出库!D:D,Xuất出库!G:G,B398,Xuất出库!C:C,D398)</f>
        <v>5</v>
      </c>
      <c r="F398" s="9">
        <f>SUMIFS(Xuất出库!E:E,Xuất出库!G:G,B398,Xuất出库!C:C,D398)+SUMIFS(Xuất出库!F:F,Xuất出库!G:G,B398,Xuất出库!C:C,D398)</f>
        <v>100</v>
      </c>
      <c r="G398" s="6">
        <f>73+6+12</f>
        <v>91</v>
      </c>
      <c r="H398" s="9">
        <f>SUMIFS(Hoàn回库!E:E,Hoàn回库!G:G,B398,Hoàn回库!C:C,D398)+SUMIFS(Hoàn回库!F:F,Hoàn回库!G:G,B398,Hoàn回库!C:C,D398)</f>
        <v>0</v>
      </c>
      <c r="I398" s="9">
        <f>SUMIFS('Điều hàng调货'!E:E,'Điều hàng调货'!A:A,K398,'Điều hàng调货'!G:G,B398)*-1+SUMIFS('Điều hàng调货'!E:E,'Điều hàng调货'!A:A,K398,'Điều hàng调货'!H:H,B398)+SUMIFS('Điều hàng调货'!F:F,'Điều hàng调货'!A:A,K398,'Điều hàng调货'!G:G,B398)*-1+SUMIFS('Điều hàng调货'!F:F,'Điều hàng调货'!A:A,K398,'Điều hàng调货'!H:H,B398)</f>
        <v>40</v>
      </c>
      <c r="J398" s="9">
        <f t="shared" si="21"/>
        <v>49</v>
      </c>
      <c r="K398" s="9">
        <f>VLOOKUP($D398,SKU!$A:$I,3,FALSE)</f>
        <v>10103</v>
      </c>
      <c r="L398" s="9" t="str">
        <f>VLOOKUP($D398,SKU!$A:$I,2,FALSE)</f>
        <v>疯狂动物城白金收藏卡狐兔神探</v>
      </c>
    </row>
    <row r="399" spans="1:12">
      <c r="A399" s="6"/>
      <c r="B399" s="7" t="s">
        <v>430</v>
      </c>
      <c r="C399" s="6" t="s">
        <v>431</v>
      </c>
      <c r="D399" s="6" t="s">
        <v>371</v>
      </c>
      <c r="E399" s="8">
        <f>SUMIFS(Xuất出库!D:D,Xuất出库!G:G,B399,Xuất出库!C:C,D399)</f>
        <v>10</v>
      </c>
      <c r="F399" s="9">
        <f>SUMIFS(Xuất出库!E:E,Xuất出库!G:G,B399,Xuất出库!C:C,D399)+SUMIFS(Xuất出库!F:F,Xuất出库!G:G,B399,Xuất出库!C:C,D399)</f>
        <v>50</v>
      </c>
      <c r="G399" s="6">
        <f>2+4+10+1</f>
        <v>17</v>
      </c>
      <c r="H399" s="9">
        <f>SUMIFS(Hoàn回库!E:E,Hoàn回库!G:G,B399,Hoàn回库!C:C,D399)+SUMIFS(Hoàn回库!F:F,Hoàn回库!G:G,B399,Hoàn回库!C:C,D399)</f>
        <v>0</v>
      </c>
      <c r="I399" s="9">
        <f>SUMIFS('Điều hàng调货'!E:E,'Điều hàng调货'!A:A,K399,'Điều hàng调货'!G:G,B399)*-1+SUMIFS('Điều hàng调货'!E:E,'Điều hàng调货'!A:A,K399,'Điều hàng调货'!H:H,B399)+SUMIFS('Điều hàng调货'!F:F,'Điều hàng调货'!A:A,K399,'Điều hàng调货'!G:G,B399)*-1+SUMIFS('Điều hàng调货'!F:F,'Điều hàng调货'!A:A,K399,'Điều hàng调货'!H:H,B399)</f>
        <v>-33</v>
      </c>
      <c r="J399" s="9">
        <f t="shared" si="21"/>
        <v>0</v>
      </c>
      <c r="K399" s="9">
        <f>VLOOKUP($D399,SKU!$A:$I,3,FALSE)</f>
        <v>10105</v>
      </c>
      <c r="L399" s="9" t="str">
        <f>VLOOKUP($D399,SKU!$A:$I,2,FALSE)</f>
        <v>木木卡舍·鬼灭之刃无限城篇</v>
      </c>
    </row>
    <row r="400" spans="1:12">
      <c r="A400" s="6"/>
      <c r="B400" s="7" t="s">
        <v>430</v>
      </c>
      <c r="C400" s="6" t="s">
        <v>431</v>
      </c>
      <c r="D400" s="6" t="s">
        <v>255</v>
      </c>
      <c r="E400" s="8">
        <f>SUMIFS(Xuất出库!D:D,Xuất出库!G:G,B400,Xuất出库!C:C,D400)</f>
        <v>5</v>
      </c>
      <c r="F400" s="9">
        <f>SUMIFS(Xuất出库!E:E,Xuất出库!G:G,B400,Xuất出库!C:C,D400)+SUMIFS(Xuất出库!F:F,Xuất出库!G:G,B400,Xuất出库!C:C,D400)</f>
        <v>100</v>
      </c>
      <c r="G400" s="6">
        <v>5</v>
      </c>
      <c r="H400" s="9">
        <f>SUMIFS(Hoàn回库!E:E,Hoàn回库!G:G,B400,Hoàn回库!C:C,D400)+SUMIFS(Hoàn回库!F:F,Hoàn回库!G:G,B400,Hoàn回库!C:C,D400)</f>
        <v>0</v>
      </c>
      <c r="I400" s="9">
        <f>SUMIFS('Điều hàng调货'!E:E,'Điều hàng调货'!A:A,K400,'Điều hàng调货'!G:G,B400)*-1+SUMIFS('Điều hàng调货'!E:E,'Điều hàng调货'!A:A,K400,'Điều hàng调货'!H:H,B400)+SUMIFS('Điều hàng调货'!F:F,'Điều hàng调货'!A:A,K400,'Điều hàng调货'!G:G,B400)*-1+SUMIFS('Điều hàng调货'!F:F,'Điều hàng调货'!A:A,K400,'Điều hàng调货'!H:H,B400)</f>
        <v>0</v>
      </c>
      <c r="J400" s="9">
        <f t="shared" si="21"/>
        <v>95</v>
      </c>
      <c r="K400" s="9">
        <f>VLOOKUP($D400,SKU!$A:$I,3,FALSE)</f>
        <v>10062</v>
      </c>
      <c r="L400" s="9" t="str">
        <f>VLOOKUP($D400,SKU!$A:$I,2,FALSE)</f>
        <v>Mobile Legends: Bang Bang-Collectible Cards-Hand of Destiny-001A-SEA</v>
      </c>
    </row>
    <row r="401" spans="1:12">
      <c r="A401" s="6"/>
      <c r="B401" s="7" t="s">
        <v>430</v>
      </c>
      <c r="C401" s="6" t="s">
        <v>431</v>
      </c>
      <c r="D401" s="6" t="s">
        <v>338</v>
      </c>
      <c r="E401" s="8">
        <f>SUMIFS(Xuất出库!D:D,Xuất出库!G:G,B401,Xuất出库!C:C,D401)</f>
        <v>9</v>
      </c>
      <c r="F401" s="9">
        <f>SUMIFS(Xuất出库!E:E,Xuất出库!G:G,B401,Xuất出库!C:C,D401)+SUMIFS(Xuất出库!F:F,Xuất出库!G:G,B401,Xuất出库!C:C,D401)</f>
        <v>117</v>
      </c>
      <c r="G401" s="6"/>
      <c r="H401" s="9">
        <f>SUMIFS(Hoàn回库!E:E,Hoàn回库!G:G,B401,Hoàn回库!C:C,D401)+SUMIFS(Hoàn回库!F:F,Hoàn回库!G:G,B401,Hoàn回库!C:C,D401)</f>
        <v>0</v>
      </c>
      <c r="I401" s="9">
        <f>SUMIFS('Điều hàng调货'!E:E,'Điều hàng调货'!A:A,K401,'Điều hàng调货'!G:G,B401)*-1+SUMIFS('Điều hàng调货'!E:E,'Điều hàng调货'!A:A,K401,'Điều hàng调货'!H:H,B401)+SUMIFS('Điều hàng调货'!F:F,'Điều hàng调货'!A:A,K401,'Điều hàng调货'!G:G,B401)*-1+SUMIFS('Điều hàng调货'!F:F,'Điều hàng调货'!A:A,K401,'Điều hàng调货'!H:H,B401)</f>
        <v>0</v>
      </c>
      <c r="J401" s="9">
        <f t="shared" si="21"/>
        <v>117</v>
      </c>
      <c r="K401" s="9">
        <f>VLOOKUP($D401,SKU!$A:$I,3,FALSE)</f>
        <v>10093</v>
      </c>
      <c r="L401" s="9" t="str">
        <f>VLOOKUP($D401,SKU!$A:$I,2,FALSE)</f>
        <v>星绘社新海诚系列卡牌</v>
      </c>
    </row>
    <row r="402" ht="15.75" spans="1:12">
      <c r="A402" s="6"/>
      <c r="B402" s="58" t="s">
        <v>430</v>
      </c>
      <c r="C402" s="43" t="s">
        <v>431</v>
      </c>
      <c r="D402" s="43"/>
      <c r="E402" s="20">
        <f>SUMIFS(Xuất出库!D:D,Xuất出库!G:G,B402,Xuất出库!C:C,D402)</f>
        <v>0</v>
      </c>
      <c r="F402" s="21">
        <f>SUMIFS(Xuất出库!E:E,Xuất出库!G:G,B402,Xuất出库!C:C,D402)+SUMIFS(Xuất出库!F:F,Xuất出库!G:G,B402,Xuất出库!C:C,D402)</f>
        <v>0</v>
      </c>
      <c r="G402" s="43"/>
      <c r="H402" s="21">
        <f>SUMIFS(Hoàn回库!E:E,Hoàn回库!G:G,B402,Hoàn回库!C:C,D402)+SUMIFS(Hoàn回库!F:F,Hoàn回库!G:G,B402,Hoàn回库!C:C,D402)</f>
        <v>0</v>
      </c>
      <c r="I402" s="21">
        <f>SUMIFS('Điều hàng调货'!E:E,'Điều hàng调货'!A:A,K402,'Điều hàng调货'!G:G,B402)*-1+SUMIFS('Điều hàng调货'!E:E,'Điều hàng调货'!A:A,K402,'Điều hàng调货'!H:H,B402)+SUMIFS('Điều hàng调货'!F:F,'Điều hàng调货'!A:A,K402,'Điều hàng调货'!G:G,B402)*-1+SUMIFS('Điều hàng调货'!F:F,'Điều hàng调货'!A:A,K402,'Điều hàng调货'!H:H,B402)</f>
        <v>0</v>
      </c>
      <c r="J402" s="21">
        <f t="shared" si="21"/>
        <v>0</v>
      </c>
      <c r="K402" s="21" t="e">
        <f>VLOOKUP($D402,SKU!$A:$I,3,FALSE)</f>
        <v>#N/A</v>
      </c>
      <c r="L402" s="21" t="e">
        <f>VLOOKUP($D402,SKU!$A:$I,2,FALSE)</f>
        <v>#N/A</v>
      </c>
    </row>
    <row r="403" ht="15.75" spans="1:12">
      <c r="A403" s="6"/>
      <c r="B403" s="83" t="s">
        <v>433</v>
      </c>
      <c r="C403" s="23" t="s">
        <v>431</v>
      </c>
      <c r="D403" s="23" t="s">
        <v>103</v>
      </c>
      <c r="E403" s="24">
        <f>SUMIFS(Xuất出库!D:D,Xuất出库!G:G,B403,Xuất出库!C:C,D403)</f>
        <v>150</v>
      </c>
      <c r="F403" s="25">
        <f>SUMIFS(Xuất出库!E:E,Xuất出库!G:G,B403,Xuất出库!C:C,D403)+SUMIFS(Xuất出库!F:F,Xuất出库!G:G,B403,Xuất出库!C:C,D403)</f>
        <v>150</v>
      </c>
      <c r="G403" s="23">
        <f>75+75</f>
        <v>150</v>
      </c>
      <c r="H403" s="25">
        <f>SUMIFS(Hoàn回库!E:E,Hoàn回库!G:G,B403,Hoàn回库!C:C,D403)+SUMIFS(Hoàn回库!F:F,Hoàn回库!G:G,B403,Hoàn回库!C:C,D403)</f>
        <v>0</v>
      </c>
      <c r="I403" s="25">
        <f>SUMIFS('Điều hàng调货'!E:E,'Điều hàng调货'!A:A,K403,'Điều hàng调货'!G:G,B403)*-1+SUMIFS('Điều hàng调货'!E:E,'Điều hàng调货'!A:A,K403,'Điều hàng调货'!H:H,B403)+SUMIFS('Điều hàng调货'!F:F,'Điều hàng调货'!A:A,K403,'Điều hàng调货'!G:G,B403)*-1+SUMIFS('Điều hàng调货'!F:F,'Điều hàng调货'!A:A,K403,'Điều hàng调货'!H:H,B403)</f>
        <v>0</v>
      </c>
      <c r="J403" s="25">
        <f t="shared" si="21"/>
        <v>0</v>
      </c>
      <c r="K403" s="25">
        <f>VLOOKUP($D403,SKU!$A:$I,3,FALSE)</f>
        <v>10019</v>
      </c>
      <c r="L403" s="25" t="str">
        <f>VLOOKUP($D403,SKU!$A:$I,2,FALSE)</f>
        <v>谷子力量 x 竹烟波月亚克力透卡</v>
      </c>
    </row>
    <row r="404" spans="1:12">
      <c r="A404" s="6"/>
      <c r="B404" s="95" t="s">
        <v>433</v>
      </c>
      <c r="C404" s="6" t="s">
        <v>431</v>
      </c>
      <c r="D404" s="6" t="s">
        <v>127</v>
      </c>
      <c r="E404" s="8">
        <f>SUMIFS(Xuất出库!D:D,Xuất出库!G:G,B404,Xuất出库!C:C,D404)</f>
        <v>468</v>
      </c>
      <c r="F404" s="9">
        <f>SUMIFS(Xuất出库!E:E,Xuất出库!G:G,B404,Xuất出库!C:C,D404)+SUMIFS(Xuất出库!F:F,Xuất出库!G:G,B404,Xuất出库!C:C,D404)</f>
        <v>468</v>
      </c>
      <c r="G404" s="6">
        <f>128+13+3+34+32+8+3+1+2+3+13+3+25+1</f>
        <v>269</v>
      </c>
      <c r="H404" s="9">
        <f>SUMIFS(Hoàn回库!E:E,Hoàn回库!G:G,B404,Hoàn回库!C:C,D404)+SUMIFS(Hoàn回库!F:F,Hoàn回库!G:G,B404,Hoàn回库!C:C,D404)</f>
        <v>199</v>
      </c>
      <c r="I404" s="9">
        <f>SUMIFS('Điều hàng调货'!E:E,'Điều hàng调货'!A:A,K404,'Điều hàng调货'!G:G,B404)*-1+SUMIFS('Điều hàng调货'!E:E,'Điều hàng调货'!A:A,K404,'Điều hàng调货'!H:H,B404)+SUMIFS('Điều hàng调货'!F:F,'Điều hàng调货'!A:A,K404,'Điều hàng调货'!G:G,B404)*-1+SUMIFS('Điều hàng调货'!F:F,'Điều hàng调货'!A:A,K404,'Điều hàng调货'!H:H,B404)</f>
        <v>0</v>
      </c>
      <c r="J404" s="9">
        <f t="shared" si="21"/>
        <v>0</v>
      </c>
      <c r="K404" s="9">
        <f>VLOOKUP($D404,SKU!$A:$I,3,FALSE)</f>
        <v>10025</v>
      </c>
      <c r="L404" s="9" t="str">
        <f>VLOOKUP($D404,SKU!$A:$I,2,FALSE)</f>
        <v>君屹文化耽美古风收藏新纪元《言辞忆梦》撕撕乐</v>
      </c>
    </row>
    <row r="405" spans="1:12">
      <c r="A405" s="6"/>
      <c r="B405" s="95" t="s">
        <v>433</v>
      </c>
      <c r="C405" s="6" t="s">
        <v>431</v>
      </c>
      <c r="D405" s="6" t="s">
        <v>155</v>
      </c>
      <c r="E405" s="8">
        <f>SUMIFS(Xuất出库!D:D,Xuất出库!G:G,B405,Xuất出库!C:C,D405)</f>
        <v>80</v>
      </c>
      <c r="F405" s="9">
        <f>SUMIFS(Xuất出库!E:E,Xuất出库!G:G,B405,Xuất出库!C:C,D405)+SUMIFS(Xuất出库!F:F,Xuất出库!G:G,B405,Xuất出库!C:C,D405)</f>
        <v>354</v>
      </c>
      <c r="G405" s="6">
        <f>19+2+22+7+4+13+62+22+30+10+4+11+4+7+41+78+18</f>
        <v>354</v>
      </c>
      <c r="H405" s="9">
        <f>SUMIFS(Hoàn回库!E:E,Hoàn回库!G:G,B405,Hoàn回库!C:C,D405)+SUMIFS(Hoàn回库!F:F,Hoàn回库!G:G,B405,Hoàn回库!C:C,D405)</f>
        <v>0</v>
      </c>
      <c r="I405" s="9">
        <f>SUMIFS('Điều hàng调货'!E:E,'Điều hàng调货'!A:A,K405,'Điều hàng调货'!G:G,B405)*-1+SUMIFS('Điều hàng调货'!E:E,'Điều hàng调货'!A:A,K405,'Điều hàng调货'!H:H,B405)+SUMIFS('Điều hàng调货'!F:F,'Điều hàng调货'!A:A,K405,'Điều hàng调货'!G:G,B405)*-1+SUMIFS('Điều hàng调货'!F:F,'Điều hàng调货'!A:A,K405,'Điều hàng调货'!H:H,B405)</f>
        <v>0</v>
      </c>
      <c r="J405" s="9">
        <f t="shared" si="21"/>
        <v>0</v>
      </c>
      <c r="K405" s="9">
        <f>VLOOKUP($D405,SKU!$A:$I,3,FALSE)</f>
        <v>10032</v>
      </c>
      <c r="L405" s="9" t="str">
        <f>VLOOKUP($D405,SKU!$A:$I,2,FALSE)</f>
        <v>绘心阁《魔道祖师—殊途同归》色纸卡牌</v>
      </c>
    </row>
    <row r="406" spans="1:12">
      <c r="A406" s="6"/>
      <c r="B406" s="95" t="s">
        <v>433</v>
      </c>
      <c r="C406" s="6" t="s">
        <v>431</v>
      </c>
      <c r="D406" s="6" t="s">
        <v>71</v>
      </c>
      <c r="E406" s="8">
        <f>SUMIFS(Xuất出库!D:D,Xuất出库!G:G,B406,Xuất出库!C:C,D406)</f>
        <v>37</v>
      </c>
      <c r="F406" s="9">
        <f>SUMIFS(Xuất出库!E:E,Xuất出库!G:G,B406,Xuất出库!C:C,D406)+SUMIFS(Xuất出库!F:F,Xuất出库!G:G,B406,Xuất出库!C:C,D406)</f>
        <v>509</v>
      </c>
      <c r="G406" s="6">
        <f>70+57+14+28+70+59+14+56+31</f>
        <v>399</v>
      </c>
      <c r="H406" s="9">
        <f>SUMIFS(Hoàn回库!E:E,Hoàn回库!G:G,B406,Hoàn回库!C:C,D406)+SUMIFS(Hoàn回库!F:F,Hoàn回库!G:G,B406,Hoàn回库!C:C,D406)</f>
        <v>138</v>
      </c>
      <c r="I406" s="9">
        <f>SUMIFS('Điều hàng调货'!E:E,'Điều hàng调货'!A:A,K406,'Điều hàng调货'!G:G,B406)*-1+SUMIFS('Điều hàng调货'!E:E,'Điều hàng调货'!A:A,K406,'Điều hàng调货'!H:H,B406)+SUMIFS('Điều hàng调货'!F:F,'Điều hàng调货'!A:A,K406,'Điều hàng调货'!G:G,B406)*-1+SUMIFS('Điều hàng调货'!F:F,'Điều hàng调货'!A:A,K406,'Điều hàng调货'!H:H,B406)</f>
        <v>0</v>
      </c>
      <c r="J406" s="9">
        <f t="shared" si="21"/>
        <v>-28</v>
      </c>
      <c r="K406" s="9">
        <f>VLOOKUP($D406,SKU!$A:$I,3,FALSE)</f>
        <v>10011</v>
      </c>
      <c r="L406" s="9" t="str">
        <f>VLOOKUP($D406,SKU!$A:$I,2,FALSE)</f>
        <v>灿卡文创宫崎骏第二弹《花涧物语》</v>
      </c>
    </row>
    <row r="407" spans="1:12">
      <c r="A407" s="6"/>
      <c r="B407" s="95" t="s">
        <v>433</v>
      </c>
      <c r="C407" s="6" t="s">
        <v>431</v>
      </c>
      <c r="D407" s="6" t="s">
        <v>163</v>
      </c>
      <c r="E407" s="8">
        <f>SUMIFS(Xuất出库!D:D,Xuất出库!G:G,B407,Xuất出库!C:C,D407)</f>
        <v>160</v>
      </c>
      <c r="F407" s="9">
        <f>SUMIFS(Xuất出库!E:E,Xuất出库!G:G,B407,Xuất出库!C:C,D407)+SUMIFS(Xuất出库!F:F,Xuất出库!G:G,B407,Xuất出库!C:C,D407)</f>
        <v>240</v>
      </c>
      <c r="G407" s="6">
        <f>4+4+25+38+38+18+28+53+32</f>
        <v>240</v>
      </c>
      <c r="H407" s="9">
        <f>SUMIFS(Hoàn回库!E:E,Hoàn回库!G:G,B407,Hoàn回库!C:C,D407)+SUMIFS(Hoàn回库!F:F,Hoàn回库!G:G,B407,Hoàn回库!C:C,D407)</f>
        <v>0</v>
      </c>
      <c r="I407" s="9">
        <f>SUMIFS('Điều hàng调货'!E:E,'Điều hàng调货'!A:A,K407,'Điều hàng调货'!G:G,B407)*-1+SUMIFS('Điều hàng调货'!E:E,'Điều hàng调货'!A:A,K407,'Điều hàng调货'!H:H,B407)+SUMIFS('Điều hàng调货'!F:F,'Điều hàng调货'!A:A,K407,'Điều hàng调货'!G:G,B407)*-1+SUMIFS('Điều hàng调货'!F:F,'Điều hàng调货'!A:A,K407,'Điều hàng调货'!H:H,B407)</f>
        <v>0</v>
      </c>
      <c r="J407" s="9">
        <f t="shared" si="21"/>
        <v>0</v>
      </c>
      <c r="K407" s="9">
        <f>VLOOKUP($D407,SKU!$A:$I,3,FALSE)</f>
        <v>10034</v>
      </c>
      <c r="L407" s="9" t="str">
        <f>VLOOKUP($D407,SKU!$A:$I,2,FALSE)</f>
        <v>兰亭文创x墨家三宝典藏色纸砚池春深系列</v>
      </c>
    </row>
    <row r="408" spans="1:12">
      <c r="A408" s="6"/>
      <c r="B408" s="95" t="s">
        <v>433</v>
      </c>
      <c r="C408" s="6" t="s">
        <v>431</v>
      </c>
      <c r="D408" s="6" t="s">
        <v>66</v>
      </c>
      <c r="E408" s="8">
        <f>SUMIFS(Xuất出库!D:D,Xuất出库!G:G,B408,Xuất出库!C:C,D408)</f>
        <v>5</v>
      </c>
      <c r="F408" s="9">
        <f>SUMIFS(Xuất出库!E:E,Xuất出库!G:G,B408,Xuất出库!C:C,D408)+SUMIFS(Xuất出库!F:F,Xuất出库!G:G,B408,Xuất出库!C:C,D408)</f>
        <v>89</v>
      </c>
      <c r="G408" s="6">
        <v>66</v>
      </c>
      <c r="H408" s="9">
        <f>SUMIFS(Hoàn回库!E:E,Hoàn回库!G:G,B408,Hoàn回库!C:C,D408)+SUMIFS(Hoàn回库!F:F,Hoàn回库!G:G,B408,Hoàn回库!C:C,D408)</f>
        <v>23</v>
      </c>
      <c r="I408" s="9">
        <f>SUMIFS('Điều hàng调货'!E:E,'Điều hàng调货'!A:A,K408,'Điều hàng调货'!G:G,B408)*-1+SUMIFS('Điều hàng调货'!E:E,'Điều hàng调货'!A:A,K408,'Điều hàng调货'!H:H,B408)+SUMIFS('Điều hàng调货'!F:F,'Điều hàng调货'!A:A,K408,'Điều hàng调货'!G:G,B408)*-1+SUMIFS('Điều hàng调货'!F:F,'Điều hàng调货'!A:A,K408,'Điều hàng调货'!H:H,B408)</f>
        <v>0</v>
      </c>
      <c r="J408" s="9">
        <f t="shared" si="21"/>
        <v>0</v>
      </c>
      <c r="K408" s="9">
        <f>VLOOKUP($D408,SKU!$A:$I,3,FALSE)</f>
        <v>10010</v>
      </c>
      <c r="L408" s="9" t="str">
        <f>VLOOKUP($D408,SKU!$A:$I,2,FALSE)</f>
        <v>玩的入迷-魔卡少女樱第一弹—樱之绮遇</v>
      </c>
    </row>
    <row r="409" spans="1:12">
      <c r="A409" s="6"/>
      <c r="B409" s="95" t="s">
        <v>433</v>
      </c>
      <c r="C409" s="6" t="s">
        <v>431</v>
      </c>
      <c r="D409" s="6" t="s">
        <v>49</v>
      </c>
      <c r="E409" s="8">
        <f>SUMIFS(Xuất出库!D:D,Xuất出库!G:G,B409,Xuất出库!C:C,D409)</f>
        <v>11</v>
      </c>
      <c r="F409" s="9">
        <f>SUMIFS(Xuất出库!E:E,Xuất出库!G:G,B409,Xuất出库!C:C,D409)+SUMIFS(Xuất出库!F:F,Xuất出库!G:G,B409,Xuất出库!C:C,D409)</f>
        <v>146</v>
      </c>
      <c r="G409" s="6">
        <v>78</v>
      </c>
      <c r="H409" s="9">
        <f>SUMIFS(Hoàn回库!E:E,Hoàn回库!G:G,B409,Hoàn回库!C:C,D409)+SUMIFS(Hoàn回库!F:F,Hoàn回库!G:G,B409,Hoàn回库!C:C,D409)</f>
        <v>65</v>
      </c>
      <c r="I409" s="9">
        <f>SUMIFS('Điều hàng调货'!E:E,'Điều hàng调货'!A:A,K409,'Điều hàng调货'!G:G,B409)*-1+SUMIFS('Điều hàng调货'!E:E,'Điều hàng调货'!A:A,K409,'Điều hàng调货'!H:H,B409)+SUMIFS('Điều hàng调货'!F:F,'Điều hàng调货'!A:A,K409,'Điều hàng调货'!G:G,B409)*-1+SUMIFS('Điều hàng调货'!F:F,'Điều hàng调货'!A:A,K409,'Điều hàng调货'!H:H,B409)</f>
        <v>0</v>
      </c>
      <c r="J409" s="9">
        <f t="shared" si="21"/>
        <v>3</v>
      </c>
      <c r="K409" s="9">
        <f>VLOOKUP($D409,SKU!$A:$I,3,FALSE)</f>
        <v>10007</v>
      </c>
      <c r="L409" s="9" t="str">
        <f>VLOOKUP($D409,SKU!$A:$I,2,FALSE)</f>
        <v>kawaii宫崎骏梦幻之国</v>
      </c>
    </row>
    <row r="410" spans="1:12">
      <c r="A410" s="6"/>
      <c r="B410" s="95" t="s">
        <v>433</v>
      </c>
      <c r="C410" s="6" t="s">
        <v>431</v>
      </c>
      <c r="D410" s="6" t="s">
        <v>184</v>
      </c>
      <c r="E410" s="8">
        <f>SUMIFS(Xuất出库!D:D,Xuất出库!G:G,B410,Xuất出库!C:C,D410)</f>
        <v>10</v>
      </c>
      <c r="F410" s="9">
        <f>SUMIFS(Xuất出库!E:E,Xuất出库!G:G,B410,Xuất出库!C:C,D410)+SUMIFS(Xuất出库!F:F,Xuất出库!G:G,B410,Xuất出库!C:C,D410)</f>
        <v>220</v>
      </c>
      <c r="G410" s="6">
        <f>9+20+20</f>
        <v>49</v>
      </c>
      <c r="H410" s="9">
        <f>SUMIFS(Hoàn回库!E:E,Hoàn回库!G:G,B410,Hoàn回库!C:C,D410)+SUMIFS(Hoàn回库!F:F,Hoàn回库!G:G,B410,Hoàn回库!C:C,D410)</f>
        <v>171</v>
      </c>
      <c r="I410" s="9">
        <f>SUMIFS('Điều hàng调货'!E:E,'Điều hàng调货'!A:A,K410,'Điều hàng调货'!G:G,B410)*-1+SUMIFS('Điều hàng调货'!E:E,'Điều hàng调货'!A:A,K410,'Điều hàng调货'!H:H,B410)+SUMIFS('Điều hàng调货'!F:F,'Điều hàng调货'!A:A,K410,'Điều hàng调货'!G:G,B410)*-1+SUMIFS('Điều hàng调货'!F:F,'Điều hàng调货'!A:A,K410,'Điều hàng调货'!H:H,B410)</f>
        <v>0</v>
      </c>
      <c r="J410" s="9">
        <f t="shared" si="21"/>
        <v>0</v>
      </c>
      <c r="K410" s="9">
        <f>VLOOKUP($D410,SKU!$A:$I,3,FALSE)</f>
        <v>10039</v>
      </c>
      <c r="L410" s="9" t="str">
        <f>VLOOKUP($D410,SKU!$A:$I,2,FALSE)</f>
        <v>非凡航海王第五弹</v>
      </c>
    </row>
    <row r="411" spans="1:12">
      <c r="A411" s="6"/>
      <c r="B411" s="95" t="s">
        <v>433</v>
      </c>
      <c r="C411" s="6" t="s">
        <v>431</v>
      </c>
      <c r="D411" s="6" t="s">
        <v>216</v>
      </c>
      <c r="E411" s="8">
        <f>SUMIFS(Xuất出库!D:D,Xuất出库!G:G,B411,Xuất出库!C:C,D411)</f>
        <v>52</v>
      </c>
      <c r="F411" s="9">
        <f>SUMIFS(Xuất出库!E:E,Xuất出库!G:G,B411,Xuất出库!C:C,D411)+SUMIFS(Xuất出库!F:F,Xuất出库!G:G,B411,Xuất出库!C:C,D411)</f>
        <v>156</v>
      </c>
      <c r="G411" s="6">
        <f>39*3+13*3</f>
        <v>156</v>
      </c>
      <c r="H411" s="9">
        <f>SUMIFS(Hoàn回库!E:E,Hoàn回库!G:G,B411,Hoàn回库!C:C,D411)+SUMIFS(Hoàn回库!F:F,Hoàn回库!G:G,B411,Hoàn回库!C:C,D411)</f>
        <v>0</v>
      </c>
      <c r="I411" s="9">
        <f>SUMIFS('Điều hàng调货'!E:E,'Điều hàng调货'!A:A,K411,'Điều hàng调货'!G:G,B411)*-1+SUMIFS('Điều hàng调货'!E:E,'Điều hàng调货'!A:A,K411,'Điều hàng调货'!H:H,B411)+SUMIFS('Điều hàng调货'!F:F,'Điều hàng调货'!A:A,K411,'Điều hàng调货'!G:G,B411)*-1+SUMIFS('Điều hàng调货'!F:F,'Điều hàng调货'!A:A,K411,'Điều hàng调货'!H:H,B411)</f>
        <v>0</v>
      </c>
      <c r="J411" s="9">
        <f t="shared" si="21"/>
        <v>0</v>
      </c>
      <c r="K411" s="9">
        <f>VLOOKUP($D411,SKU!$A:$I,3,FALSE)</f>
        <v>10049</v>
      </c>
      <c r="L411" s="9" t="str">
        <f>VLOOKUP($D411,SKU!$A:$I,2,FALSE)</f>
        <v>野火文创《月下悸动》 韩漫耽美撕撕乐</v>
      </c>
    </row>
    <row r="412" spans="1:12">
      <c r="A412" s="6"/>
      <c r="B412" s="95" t="s">
        <v>433</v>
      </c>
      <c r="C412" s="6" t="s">
        <v>431</v>
      </c>
      <c r="D412" s="6" t="s">
        <v>228</v>
      </c>
      <c r="E412" s="8">
        <f>SUMIFS(Xuất出库!D:D,Xuất出库!G:G,B412,Xuất出库!C:C,D412)</f>
        <v>30</v>
      </c>
      <c r="F412" s="9">
        <f>SUMIFS(Xuất出库!E:E,Xuất出库!G:G,B412,Xuất出库!C:C,D412)+SUMIFS(Xuất出库!F:F,Xuất出库!G:G,B412,Xuất出库!C:C,D412)</f>
        <v>426</v>
      </c>
      <c r="G412" s="6">
        <f>74+108+53+46+66</f>
        <v>347</v>
      </c>
      <c r="H412" s="9">
        <f>SUMIFS(Hoàn回库!E:E,Hoàn回库!G:G,B412,Hoàn回库!C:C,D412)+SUMIFS(Hoàn回库!F:F,Hoàn回库!G:G,B412,Hoàn回库!C:C,D412)</f>
        <v>79</v>
      </c>
      <c r="I412" s="9">
        <f>SUMIFS('Điều hàng调货'!E:E,'Điều hàng调货'!A:A,K412,'Điều hàng调货'!G:G,B412)*-1+SUMIFS('Điều hàng调货'!E:E,'Điều hàng调货'!A:A,K412,'Điều hàng调货'!H:H,B412)+SUMIFS('Điều hàng调货'!F:F,'Điều hàng调货'!A:A,K412,'Điều hàng调货'!G:G,B412)*-1+SUMIFS('Điều hàng调货'!F:F,'Điều hàng调货'!A:A,K412,'Điều hàng调货'!H:H,B412)</f>
        <v>0</v>
      </c>
      <c r="J412" s="9">
        <f t="shared" si="21"/>
        <v>0</v>
      </c>
      <c r="K412" s="9">
        <f>VLOOKUP($D412,SKU!$A:$I,3,FALSE)</f>
        <v>10053</v>
      </c>
      <c r="L412" s="9" t="str">
        <f>VLOOKUP($D412,SKU!$A:$I,2,FALSE)</f>
        <v>悦灵文创 《落花只为君》第三弹</v>
      </c>
    </row>
    <row r="413" spans="1:12">
      <c r="A413" s="6"/>
      <c r="B413" s="95" t="s">
        <v>433</v>
      </c>
      <c r="C413" s="6" t="s">
        <v>431</v>
      </c>
      <c r="D413" s="6" t="s">
        <v>179</v>
      </c>
      <c r="E413" s="8">
        <f>SUMIFS(Xuất出库!D:D,Xuất出库!G:G,B413,Xuất出库!C:C,D413)</f>
        <v>40</v>
      </c>
      <c r="F413" s="9">
        <f>SUMIFS(Xuất出库!E:E,Xuất出库!G:G,B413,Xuất出库!C:C,D413)+SUMIFS(Xuất出库!F:F,Xuất出库!G:G,B413,Xuất出库!C:C,D413)</f>
        <v>99</v>
      </c>
      <c r="G413" s="6">
        <f>30+23+3+6+1</f>
        <v>63</v>
      </c>
      <c r="H413" s="9">
        <f>SUMIFS(Hoàn回库!E:E,Hoàn回库!G:G,B413,Hoàn回库!C:C,D413)+SUMIFS(Hoàn回库!F:F,Hoàn回库!G:G,B413,Hoàn回库!C:C,D413)</f>
        <v>0</v>
      </c>
      <c r="I413" s="9">
        <f>SUMIFS('Điều hàng调货'!E:E,'Điều hàng调货'!A:A,K413,'Điều hàng调货'!G:G,B413)*-1+SUMIFS('Điều hàng调货'!E:E,'Điều hàng调货'!A:A,K413,'Điều hàng调货'!H:H,B413)+SUMIFS('Điều hàng调货'!F:F,'Điều hàng调货'!A:A,K413,'Điều hàng调货'!G:G,B413)*-1+SUMIFS('Điều hàng调货'!F:F,'Điều hàng调货'!A:A,K413,'Điều hàng调货'!H:H,B413)</f>
        <v>-16</v>
      </c>
      <c r="J413" s="9">
        <f t="shared" si="21"/>
        <v>20</v>
      </c>
      <c r="K413" s="9">
        <f>VLOOKUP($D413,SKU!$A:$I,3,FALSE)</f>
        <v>10038</v>
      </c>
      <c r="L413" s="9" t="str">
        <f>VLOOKUP($D413,SKU!$A:$I,2,FALSE)</f>
        <v>浮光工作室❤第三弹【夏风吻过你的睫毛】</v>
      </c>
    </row>
    <row r="414" spans="1:12">
      <c r="A414" s="6"/>
      <c r="B414" s="95" t="s">
        <v>433</v>
      </c>
      <c r="C414" s="6" t="s">
        <v>431</v>
      </c>
      <c r="D414" s="6" t="s">
        <v>147</v>
      </c>
      <c r="E414" s="8">
        <f>SUMIFS(Xuất出库!D:D,Xuất出库!G:G,B414,Xuất出库!C:C,D414)</f>
        <v>10</v>
      </c>
      <c r="F414" s="9">
        <f>SUMIFS(Xuất出库!E:E,Xuất出库!G:G,B414,Xuất出库!C:C,D414)+SUMIFS(Xuất出库!F:F,Xuất出库!G:G,B414,Xuất出库!C:C,D414)</f>
        <v>131</v>
      </c>
      <c r="G414" s="6">
        <f>8+6+8+12+65</f>
        <v>99</v>
      </c>
      <c r="H414" s="9">
        <f>SUMIFS(Hoàn回库!E:E,Hoàn回库!G:G,B414,Hoàn回库!C:C,D414)+SUMIFS(Hoàn回库!F:F,Hoàn回库!G:G,B414,Hoàn回库!C:C,D414)</f>
        <v>32</v>
      </c>
      <c r="I414" s="9">
        <f>SUMIFS('Điều hàng调货'!E:E,'Điều hàng调货'!A:A,K414,'Điều hàng调货'!G:G,B414)*-1+SUMIFS('Điều hàng调货'!E:E,'Điều hàng调货'!A:A,K414,'Điều hàng调货'!H:H,B414)+SUMIFS('Điều hàng调货'!F:F,'Điều hàng调货'!A:A,K414,'Điều hàng调货'!G:G,B414)*-1+SUMIFS('Điều hàng调货'!F:F,'Điều hàng调货'!A:A,K414,'Điều hàng调货'!H:H,B414)</f>
        <v>0</v>
      </c>
      <c r="J414" s="9">
        <f t="shared" si="21"/>
        <v>0</v>
      </c>
      <c r="K414" s="9">
        <f>VLOOKUP($D414,SKU!$A:$I,3,FALSE)</f>
        <v>10030</v>
      </c>
      <c r="L414" s="9" t="str">
        <f>VLOOKUP($D414,SKU!$A:$I,2,FALSE)</f>
        <v>梦影动漫黑执事-典藏版收藏卡牌</v>
      </c>
    </row>
    <row r="415" spans="1:12">
      <c r="A415" s="6"/>
      <c r="B415" s="95" t="s">
        <v>433</v>
      </c>
      <c r="C415" s="6" t="s">
        <v>431</v>
      </c>
      <c r="D415" s="6" t="s">
        <v>222</v>
      </c>
      <c r="E415" s="8">
        <f>SUMIFS(Xuất出库!D:D,Xuất出库!G:G,B415,Xuất出库!C:C,D415)</f>
        <v>7</v>
      </c>
      <c r="F415" s="9">
        <f>SUMIFS(Xuất出库!E:E,Xuất出库!G:G,B415,Xuất出库!C:C,D415)+SUMIFS(Xuất出库!F:F,Xuất出库!G:G,B415,Xuất出库!C:C,D415)</f>
        <v>84</v>
      </c>
      <c r="G415" s="6">
        <f>3+8+24</f>
        <v>35</v>
      </c>
      <c r="H415" s="9">
        <f>SUMIFS(Hoàn回库!E:E,Hoàn回库!G:G,B415,Hoàn回库!C:C,D415)+SUMIFS(Hoàn回库!F:F,Hoàn回库!G:G,B415,Hoàn回库!C:C,D415)</f>
        <v>48</v>
      </c>
      <c r="I415" s="9">
        <f>SUMIFS('Điều hàng调货'!E:E,'Điều hàng调货'!A:A,K415,'Điều hàng调货'!G:G,B415)*-1+SUMIFS('Điều hàng调货'!E:E,'Điều hàng调货'!A:A,K415,'Điều hàng调货'!H:H,B415)+SUMIFS('Điều hàng调货'!F:F,'Điều hàng调货'!A:A,K415,'Điều hàng调货'!G:G,B415)*-1+SUMIFS('Điều hàng调货'!F:F,'Điều hàng调货'!A:A,K415,'Điều hàng调货'!H:H,B415)</f>
        <v>0</v>
      </c>
      <c r="J415" s="9">
        <f t="shared" si="21"/>
        <v>1</v>
      </c>
      <c r="K415" s="9">
        <f>VLOOKUP($D415,SKU!$A:$I,3,FALSE)</f>
        <v>10051</v>
      </c>
      <c r="L415" s="9" t="str">
        <f>VLOOKUP($D415,SKU!$A:$I,2,FALSE)</f>
        <v>南卡《魔卡少女樱》</v>
      </c>
    </row>
    <row r="416" spans="1:12">
      <c r="A416" s="6"/>
      <c r="B416" s="95" t="s">
        <v>433</v>
      </c>
      <c r="C416" s="6" t="s">
        <v>431</v>
      </c>
      <c r="D416" s="6" t="s">
        <v>188</v>
      </c>
      <c r="E416" s="8">
        <f>SUMIFS(Xuất出库!D:D,Xuất出库!G:G,B416,Xuất出库!C:C,D416)</f>
        <v>10</v>
      </c>
      <c r="F416" s="9">
        <f>SUMIFS(Xuất出库!E:E,Xuất出库!G:G,B416,Xuất出库!C:C,D416)+SUMIFS(Xuất出库!F:F,Xuất出库!G:G,B416,Xuất出库!C:C,D416)</f>
        <v>187</v>
      </c>
      <c r="G416" s="6">
        <f>66+59</f>
        <v>125</v>
      </c>
      <c r="H416" s="9">
        <f>SUMIFS(Hoàn回库!E:E,Hoàn回库!G:G,B416,Hoàn回库!C:C,D416)+SUMIFS(Hoàn回库!F:F,Hoàn回库!G:G,B416,Hoàn回库!C:C,D416)</f>
        <v>62</v>
      </c>
      <c r="I416" s="9">
        <f>SUMIFS('Điều hàng调货'!E:E,'Điều hàng调货'!A:A,K416,'Điều hàng调货'!G:G,B416)*-1+SUMIFS('Điều hàng调货'!E:E,'Điều hàng调货'!A:A,K416,'Điều hàng调货'!H:H,B416)+SUMIFS('Điều hàng调货'!F:F,'Điều hàng调货'!A:A,K416,'Điều hàng调货'!G:G,B416)*-1+SUMIFS('Điều hàng调货'!F:F,'Điều hàng调货'!A:A,K416,'Điều hàng调货'!H:H,B416)</f>
        <v>0</v>
      </c>
      <c r="J416" s="9">
        <f t="shared" si="21"/>
        <v>0</v>
      </c>
      <c r="K416" s="9">
        <f>VLOOKUP($D416,SKU!$A:$I,3,FALSE)</f>
        <v>10040</v>
      </c>
      <c r="L416" s="9" t="str">
        <f>VLOOKUP($D416,SKU!$A:$I,2,FALSE)</f>
        <v>酷卡文化-线条小狗3弹</v>
      </c>
    </row>
    <row r="417" spans="1:12">
      <c r="A417" s="6"/>
      <c r="B417" s="95" t="s">
        <v>433</v>
      </c>
      <c r="C417" s="6" t="s">
        <v>431</v>
      </c>
      <c r="D417" s="6" t="s">
        <v>91</v>
      </c>
      <c r="E417" s="8">
        <f>SUMIFS(Xuất出库!D:D,Xuất出库!G:G,B417,Xuất出库!C:C,D417)</f>
        <v>10</v>
      </c>
      <c r="F417" s="9">
        <f>SUMIFS(Xuất出库!E:E,Xuất出库!G:G,B417,Xuất出库!C:C,D417)+SUMIFS(Xuất出库!F:F,Xuất出库!G:G,B417,Xuất出库!C:C,D417)</f>
        <v>100</v>
      </c>
      <c r="G417" s="6">
        <f>28+3+3+10+10+3+10</f>
        <v>67</v>
      </c>
      <c r="H417" s="9">
        <f>SUMIFS(Hoàn回库!E:E,Hoàn回库!G:G,B417,Hoàn回库!C:C,D417)+SUMIFS(Hoàn回库!F:F,Hoàn回库!G:G,B417,Hoàn回库!C:C,D417)</f>
        <v>10</v>
      </c>
      <c r="I417" s="9">
        <f>SUMIFS('Điều hàng调货'!E:E,'Điều hàng调货'!A:A,K417,'Điều hàng调货'!G:G,B417)*-1+SUMIFS('Điều hàng调货'!E:E,'Điều hàng调货'!A:A,K417,'Điều hàng调货'!H:H,B417)+SUMIFS('Điều hàng调货'!F:F,'Điều hàng调货'!A:A,K417,'Điều hàng调货'!G:G,B417)*-1+SUMIFS('Điều hàng调货'!F:F,'Điều hàng调货'!A:A,K417,'Điều hàng调货'!H:H,B417)</f>
        <v>-23</v>
      </c>
      <c r="J417" s="9">
        <f t="shared" si="21"/>
        <v>0</v>
      </c>
      <c r="K417" s="9">
        <f>VLOOKUP($D417,SKU!$A:$I,3,FALSE)</f>
        <v>10016</v>
      </c>
      <c r="L417" s="9" t="str">
        <f>VLOOKUP($D417,SKU!$A:$I,2,FALSE)</f>
        <v>思梨普文创《hey!国王陛下》集换式艺术家典藏卡</v>
      </c>
    </row>
    <row r="418" spans="1:12">
      <c r="A418" s="6"/>
      <c r="B418" s="95" t="s">
        <v>433</v>
      </c>
      <c r="C418" s="6" t="s">
        <v>431</v>
      </c>
      <c r="D418" s="6" t="s">
        <v>196</v>
      </c>
      <c r="E418" s="8">
        <f>SUMIFS(Xuất出库!D:D,Xuất出库!G:G,B418,Xuất出库!C:C,D418)</f>
        <v>5</v>
      </c>
      <c r="F418" s="9">
        <f>SUMIFS(Xuất出库!E:E,Xuất出库!G:G,B418,Xuất出库!C:C,D418)+SUMIFS(Xuất出库!F:F,Xuất出库!G:G,B418,Xuất出库!C:C,D418)</f>
        <v>80</v>
      </c>
      <c r="G418" s="6">
        <v>3</v>
      </c>
      <c r="H418" s="9">
        <f>SUMIFS(Hoàn回库!E:E,Hoàn回库!G:G,B418,Hoàn回库!C:C,D418)+SUMIFS(Hoàn回库!F:F,Hoàn回库!G:G,B418,Hoàn回库!C:C,D418)</f>
        <v>0</v>
      </c>
      <c r="I418" s="9">
        <f>SUMIFS('Điều hàng调货'!E:E,'Điều hàng调货'!A:A,K418,'Điều hàng调货'!G:G,B418)*-1+SUMIFS('Điều hàng调货'!E:E,'Điều hàng调货'!A:A,K418,'Điều hàng调货'!H:H,B418)+SUMIFS('Điều hàng调货'!F:F,'Điều hàng调货'!A:A,K418,'Điều hàng调货'!G:G,B418)*-1+SUMIFS('Điều hàng调货'!F:F,'Điều hàng调货'!A:A,K418,'Điều hàng调货'!H:H,B418)</f>
        <v>0</v>
      </c>
      <c r="J418" s="9">
        <f t="shared" si="21"/>
        <v>77</v>
      </c>
      <c r="K418" s="9">
        <f>VLOOKUP($D418,SKU!$A:$I,3,FALSE)</f>
        <v>10042</v>
      </c>
      <c r="L418" s="9" t="str">
        <f>VLOOKUP($D418,SKU!$A:$I,2,FALSE)</f>
        <v>黄油小熊系列收藏卡第二弹 小熊的观察日记</v>
      </c>
    </row>
    <row r="419" spans="1:12">
      <c r="A419" s="6"/>
      <c r="B419" s="95" t="s">
        <v>433</v>
      </c>
      <c r="C419" s="6" t="s">
        <v>431</v>
      </c>
      <c r="D419" s="6" t="s">
        <v>159</v>
      </c>
      <c r="E419" s="8">
        <f>SUMIFS(Xuất出库!D:D,Xuất出库!G:G,B419,Xuất出库!C:C,D419)</f>
        <v>0</v>
      </c>
      <c r="F419" s="9">
        <f>SUMIFS(Xuất出库!E:E,Xuất出库!G:G,B419,Xuất出库!C:C,D419)+SUMIFS(Xuất出库!F:F,Xuất出库!G:G,B419,Xuất出库!C:C,D419)</f>
        <v>50</v>
      </c>
      <c r="G419" s="6">
        <f>30+1+9+1+2</f>
        <v>43</v>
      </c>
      <c r="H419" s="9">
        <f>SUMIFS(Hoàn回库!E:E,Hoàn回库!G:G,B419,Hoàn回库!C:C,D419)+SUMIFS(Hoàn回库!F:F,Hoàn回库!G:G,B419,Hoàn回库!C:C,D419)</f>
        <v>0</v>
      </c>
      <c r="I419" s="9">
        <f>SUMIFS('Điều hàng调货'!E:E,'Điều hàng调货'!A:A,K419,'Điều hàng调货'!G:G,B419)*-1+SUMIFS('Điều hàng调货'!E:E,'Điều hàng调货'!A:A,K419,'Điều hàng调货'!H:H,B419)+SUMIFS('Điều hàng调货'!F:F,'Điều hàng调货'!A:A,K419,'Điều hàng调货'!G:G,B419)*-1+SUMIFS('Điều hàng调货'!F:F,'Điều hàng调货'!A:A,K419,'Điều hàng调货'!H:H,B419)</f>
        <v>0</v>
      </c>
      <c r="J419" s="9">
        <f t="shared" si="21"/>
        <v>7</v>
      </c>
      <c r="K419" s="9">
        <f>VLOOKUP($D419,SKU!$A:$I,3,FALSE)</f>
        <v>10033</v>
      </c>
      <c r="L419" s="9" t="str">
        <f>VLOOKUP($D419,SKU!$A:$I,2,FALSE)</f>
        <v>慕光文创「一千次心动」系列撕撕乐</v>
      </c>
    </row>
    <row r="420" spans="1:12">
      <c r="A420" s="6"/>
      <c r="B420" s="95" t="s">
        <v>433</v>
      </c>
      <c r="C420" s="6" t="s">
        <v>431</v>
      </c>
      <c r="D420" s="6" t="s">
        <v>252</v>
      </c>
      <c r="E420" s="8">
        <f>SUMIFS(Xuất出库!D:D,Xuất出库!G:G,B420,Xuất出库!C:C,D420)</f>
        <v>37</v>
      </c>
      <c r="F420" s="9">
        <f>SUMIFS(Xuất出库!E:E,Xuất出库!G:G,B420,Xuất出库!C:C,D420)+SUMIFS(Xuất出库!F:F,Xuất出库!G:G,B420,Xuất出库!C:C,D420)</f>
        <v>407</v>
      </c>
      <c r="G420" s="6">
        <f>119+112+105+6+54</f>
        <v>396</v>
      </c>
      <c r="H420" s="9">
        <f>SUMIFS(Hoàn回库!E:E,Hoàn回库!G:G,B420,Hoàn回库!C:C,D420)+SUMIFS(Hoàn回库!F:F,Hoàn回库!G:G,B420,Hoàn回库!C:C,D420)</f>
        <v>11</v>
      </c>
      <c r="I420" s="9">
        <f>SUMIFS('Điều hàng调货'!E:E,'Điều hàng调货'!A:A,K420,'Điều hàng调货'!G:G,B420)*-1+SUMIFS('Điều hàng调货'!E:E,'Điều hàng调货'!A:A,K420,'Điều hàng调货'!H:H,B420)+SUMIFS('Điều hàng调货'!F:F,'Điều hàng调货'!A:A,K420,'Điều hàng调货'!G:G,B420)*-1+SUMIFS('Điều hàng调货'!F:F,'Điều hàng调货'!A:A,K420,'Điều hàng调货'!H:H,B420)</f>
        <v>0</v>
      </c>
      <c r="J420" s="9">
        <f t="shared" si="21"/>
        <v>0</v>
      </c>
      <c r="K420" s="9">
        <f>VLOOKUP($D420,SKU!$A:$I,3,FALSE)</f>
        <v>10061</v>
      </c>
      <c r="L420" s="9" t="str">
        <f>VLOOKUP($D420,SKU!$A:$I,2,FALSE)</f>
        <v>灵漫社《耽于美涩》古风系列收藏卡牌第三弹</v>
      </c>
    </row>
    <row r="421" spans="1:12">
      <c r="A421" s="6"/>
      <c r="B421" s="95" t="s">
        <v>433</v>
      </c>
      <c r="C421" s="6" t="s">
        <v>431</v>
      </c>
      <c r="D421" s="6" t="s">
        <v>238</v>
      </c>
      <c r="E421" s="8">
        <f>SUMIFS(Xuất出库!D:D,Xuất出库!G:G,B421,Xuất出库!C:C,D421)</f>
        <v>19</v>
      </c>
      <c r="F421" s="9">
        <f>SUMIFS(Xuất出库!E:E,Xuất出库!G:G,B421,Xuất出库!C:C,D421)+SUMIFS(Xuất出库!F:F,Xuất出库!G:G,B421,Xuất出库!C:C,D421)</f>
        <v>190</v>
      </c>
      <c r="G421" s="6">
        <f>59+60+40</f>
        <v>159</v>
      </c>
      <c r="H421" s="9">
        <f>SUMIFS(Hoàn回库!E:E,Hoàn回库!G:G,B421,Hoàn回库!C:C,D421)+SUMIFS(Hoàn回库!F:F,Hoàn回库!G:G,B421,Hoàn回库!C:C,D421)</f>
        <v>31</v>
      </c>
      <c r="I421" s="9">
        <f>SUMIFS('Điều hàng调货'!E:E,'Điều hàng调货'!A:A,K421,'Điều hàng调货'!G:G,B421)*-1+SUMIFS('Điều hàng调货'!E:E,'Điều hàng调货'!A:A,K421,'Điều hàng调货'!H:H,B421)+SUMIFS('Điều hàng调货'!F:F,'Điều hàng调货'!A:A,K421,'Điều hàng调货'!G:G,B421)*-1+SUMIFS('Điều hàng调货'!F:F,'Điều hàng调货'!A:A,K421,'Điều hàng调货'!H:H,B421)</f>
        <v>0</v>
      </c>
      <c r="J421" s="9">
        <f t="shared" si="21"/>
        <v>0</v>
      </c>
      <c r="K421" s="9">
        <f>VLOOKUP($D421,SKU!$A:$I,3,FALSE)</f>
        <v>10056</v>
      </c>
      <c r="L421" s="9" t="str">
        <f>VLOOKUP($D421,SKU!$A:$I,2,FALSE)</f>
        <v>集卡社天官赐福动画周年纪念版</v>
      </c>
    </row>
    <row r="422" spans="1:12">
      <c r="A422" s="6"/>
      <c r="B422" s="95" t="s">
        <v>433</v>
      </c>
      <c r="C422" s="6" t="s">
        <v>431</v>
      </c>
      <c r="D422" s="6" t="s">
        <v>61</v>
      </c>
      <c r="E422" s="8">
        <f>SUMIFS(Xuất出库!D:D,Xuất出库!G:G,B422,Xuất出库!C:C,D422)</f>
        <v>5</v>
      </c>
      <c r="F422" s="9">
        <f>SUMIFS(Xuất出库!E:E,Xuất出库!G:G,B422,Xuất出库!C:C,D422)+SUMIFS(Xuất出库!F:F,Xuất出库!G:G,B422,Xuất出库!C:C,D422)</f>
        <v>50</v>
      </c>
      <c r="G422" s="6"/>
      <c r="H422" s="9">
        <f>SUMIFS(Hoàn回库!E:E,Hoàn回库!G:G,B422,Hoàn回库!C:C,D422)+SUMIFS(Hoàn回库!F:F,Hoàn回库!G:G,B422,Hoàn回库!C:C,D422)</f>
        <v>20</v>
      </c>
      <c r="I422" s="9">
        <f>SUMIFS('Điều hàng调货'!E:E,'Điều hàng调货'!A:A,K422,'Điều hàng调货'!G:G,B422)*-1+SUMIFS('Điều hàng调货'!E:E,'Điều hàng调货'!A:A,K422,'Điều hàng调货'!H:H,B422)+SUMIFS('Điều hàng调货'!F:F,'Điều hàng调货'!A:A,K422,'Điều hàng调货'!G:G,B422)*-1+SUMIFS('Điều hàng调货'!F:F,'Điều hàng调货'!A:A,K422,'Điều hàng调货'!H:H,B422)</f>
        <v>-20</v>
      </c>
      <c r="J422" s="9">
        <f t="shared" si="21"/>
        <v>10</v>
      </c>
      <c r="K422" s="9">
        <f>VLOOKUP($D422,SKU!$A:$I,3,FALSE)</f>
        <v>10009</v>
      </c>
      <c r="L422" s="9" t="str">
        <f>VLOOKUP($D422,SKU!$A:$I,2,FALSE)</f>
        <v>万画云游三丽鸥家族百变cos收藏卡</v>
      </c>
    </row>
    <row r="423" spans="1:12">
      <c r="A423" s="6"/>
      <c r="B423" s="95" t="s">
        <v>433</v>
      </c>
      <c r="C423" s="6" t="s">
        <v>431</v>
      </c>
      <c r="D423" s="6" t="s">
        <v>244</v>
      </c>
      <c r="E423" s="8">
        <f>SUMIFS(Xuất出库!D:D,Xuất出库!G:G,B423,Xuất出库!C:C,D423)</f>
        <v>2</v>
      </c>
      <c r="F423" s="9">
        <f>SUMIFS(Xuất出库!E:E,Xuất出库!G:G,B423,Xuất出库!C:C,D423)+SUMIFS(Xuất出库!F:F,Xuất出库!G:G,B423,Xuất出库!C:C,D423)</f>
        <v>30</v>
      </c>
      <c r="G423" s="6">
        <v>2</v>
      </c>
      <c r="H423" s="9">
        <f>SUMIFS(Hoàn回库!E:E,Hoàn回库!G:G,B423,Hoàn回库!C:C,D423)+SUMIFS(Hoàn回库!F:F,Hoàn回库!G:G,B423,Hoàn回库!C:C,D423)</f>
        <v>28</v>
      </c>
      <c r="I423" s="9">
        <f>SUMIFS('Điều hàng调货'!E:E,'Điều hàng调货'!A:A,K423,'Điều hàng调货'!G:G,B423)*-1+SUMIFS('Điều hàng调货'!E:E,'Điều hàng调货'!A:A,K423,'Điều hàng调货'!H:H,B423)+SUMIFS('Điều hàng调货'!F:F,'Điều hàng调货'!A:A,K423,'Điều hàng调货'!G:G,B423)*-1+SUMIFS('Điều hàng调货'!F:F,'Điều hàng调货'!A:A,K423,'Điều hàng调货'!H:H,B423)</f>
        <v>0</v>
      </c>
      <c r="J423" s="9">
        <f t="shared" si="21"/>
        <v>0</v>
      </c>
      <c r="K423" s="9">
        <f>VLOOKUP($D423,SKU!$A:$I,3,FALSE)</f>
        <v>10058</v>
      </c>
      <c r="L423" s="9" t="str">
        <f>VLOOKUP($D423,SKU!$A:$I,2,FALSE)</f>
        <v>三丽鸥家族hello kitty梦境巡礼</v>
      </c>
    </row>
    <row r="424" spans="1:12">
      <c r="A424" s="6"/>
      <c r="B424" s="95" t="s">
        <v>433</v>
      </c>
      <c r="C424" s="6" t="s">
        <v>431</v>
      </c>
      <c r="D424" s="6" t="s">
        <v>131</v>
      </c>
      <c r="E424" s="8">
        <f>SUMIFS(Xuất出库!D:D,Xuất出库!G:G,B424,Xuất出库!C:C,D424)</f>
        <v>0</v>
      </c>
      <c r="F424" s="9">
        <f>SUMIFS(Xuất出库!E:E,Xuất出库!G:G,B424,Xuất出库!C:C,D424)+SUMIFS(Xuất出库!F:F,Xuất出库!G:G,B424,Xuất出库!C:C,D424)</f>
        <v>20</v>
      </c>
      <c r="G424" s="6">
        <v>20</v>
      </c>
      <c r="H424" s="9">
        <f>SUMIFS(Hoàn回库!E:E,Hoàn回库!G:G,B424,Hoàn回库!C:C,D424)+SUMIFS(Hoàn回库!F:F,Hoàn回库!G:G,B424,Hoàn回库!C:C,D424)</f>
        <v>0</v>
      </c>
      <c r="I424" s="9">
        <f>SUMIFS('Điều hàng调货'!E:E,'Điều hàng调货'!A:A,K424,'Điều hàng调货'!G:G,B424)*-1+SUMIFS('Điều hàng调货'!E:E,'Điều hàng调货'!A:A,K424,'Điều hàng调货'!H:H,B424)+SUMIFS('Điều hàng调货'!F:F,'Điều hàng调货'!A:A,K424,'Điều hàng调货'!G:G,B424)*-1+SUMIFS('Điều hàng调货'!F:F,'Điều hàng调货'!A:A,K424,'Điều hàng调货'!H:H,B424)</f>
        <v>0</v>
      </c>
      <c r="J424" s="9">
        <f t="shared" si="21"/>
        <v>0</v>
      </c>
      <c r="K424" s="9">
        <f>VLOOKUP($D424,SKU!$A:$I,3,FALSE)</f>
        <v>10026</v>
      </c>
      <c r="L424" s="9" t="str">
        <f>VLOOKUP($D424,SKU!$A:$I,2,FALSE)</f>
        <v>星恋文创·恋与深空《晦明交错之间》亚克力相框卡</v>
      </c>
    </row>
    <row r="425" spans="1:12">
      <c r="A425" s="6"/>
      <c r="B425" s="95" t="s">
        <v>433</v>
      </c>
      <c r="C425" s="6" t="s">
        <v>431</v>
      </c>
      <c r="D425" s="6" t="s">
        <v>277</v>
      </c>
      <c r="E425" s="8">
        <f>SUMIFS(Xuất出库!D:D,Xuất出库!G:G,B425,Xuất出库!C:C,D425)</f>
        <v>0</v>
      </c>
      <c r="F425" s="9">
        <f>SUMIFS(Xuất出库!E:E,Xuất出库!G:G,B425,Xuất出库!C:C,D425)+SUMIFS(Xuất出库!F:F,Xuất出库!G:G,B425,Xuất出库!C:C,D425)</f>
        <v>90</v>
      </c>
      <c r="G425" s="6">
        <f>35+27+28</f>
        <v>90</v>
      </c>
      <c r="H425" s="9">
        <f>SUMIFS(Hoàn回库!E:E,Hoàn回库!G:G,B425,Hoàn回库!C:C,D425)+SUMIFS(Hoàn回库!F:F,Hoàn回库!G:G,B425,Hoàn回库!C:C,D425)</f>
        <v>0</v>
      </c>
      <c r="I425" s="9">
        <f>SUMIFS('Điều hàng调货'!E:E,'Điều hàng调货'!A:A,K425,'Điều hàng调货'!G:G,B425)*-1+SUMIFS('Điều hàng调货'!E:E,'Điều hàng调货'!A:A,K425,'Điều hàng调货'!H:H,B425)+SUMIFS('Điều hàng调货'!F:F,'Điều hàng调货'!A:A,K425,'Điều hàng调货'!G:G,B425)*-1+SUMIFS('Điều hàng调货'!F:F,'Điều hàng调货'!A:A,K425,'Điều hàng调货'!H:H,B425)</f>
        <v>0</v>
      </c>
      <c r="J425" s="9">
        <f t="shared" si="21"/>
        <v>0</v>
      </c>
      <c r="K425" s="9">
        <f>VLOOKUP($D425,SKU!$A:$I,3,FALSE)</f>
        <v>10070</v>
      </c>
      <c r="L425" s="9" t="str">
        <f>VLOOKUP($D425,SKU!$A:$I,2,FALSE)</f>
        <v>【喵谷】&amp;【一诺终生】墨香三部曲系列色纸【魔道】【天官】【渣反】第二弹</v>
      </c>
    </row>
    <row r="426" spans="1:12">
      <c r="A426" s="6"/>
      <c r="B426" s="95" t="s">
        <v>433</v>
      </c>
      <c r="C426" s="6" t="s">
        <v>431</v>
      </c>
      <c r="D426" s="6" t="s">
        <v>271</v>
      </c>
      <c r="E426" s="8">
        <f>SUMIFS(Xuất出库!D:D,Xuất出库!G:G,B426,Xuất出库!C:C,D426)</f>
        <v>0</v>
      </c>
      <c r="F426" s="9">
        <f>SUMIFS(Xuất出库!E:E,Xuất出库!G:G,B426,Xuất出库!C:C,D426)+SUMIFS(Xuất出库!F:F,Xuất出库!G:G,B426,Xuất出库!C:C,D426)</f>
        <v>200</v>
      </c>
      <c r="G426" s="6">
        <f>31+46+26+6+10+63+3</f>
        <v>185</v>
      </c>
      <c r="H426" s="9">
        <f>SUMIFS(Hoàn回库!E:E,Hoàn回库!G:G,B426,Hoàn回库!C:C,D426)+SUMIFS(Hoàn回库!F:F,Hoàn回库!G:G,B426,Hoàn回库!C:C,D426)</f>
        <v>0</v>
      </c>
      <c r="I426" s="9">
        <f>SUMIFS('Điều hàng调货'!E:E,'Điều hàng调货'!A:A,K426,'Điều hàng调货'!G:G,B426)*-1+SUMIFS('Điều hàng调货'!E:E,'Điều hàng调货'!A:A,K426,'Điều hàng调货'!H:H,B426)+SUMIFS('Điều hàng调货'!F:F,'Điều hàng调货'!A:A,K426,'Điều hàng调货'!G:G,B426)*-1+SUMIFS('Điều hàng调货'!F:F,'Điều hàng调货'!A:A,K426,'Điều hàng调货'!H:H,B426)</f>
        <v>50</v>
      </c>
      <c r="J426" s="9">
        <f t="shared" ref="J426:J448" si="22">F426-G426-H426+I426</f>
        <v>65</v>
      </c>
      <c r="K426" s="9">
        <f>VLOOKUP($D426,SKU!$A:$I,3,FALSE)</f>
        <v>10068</v>
      </c>
      <c r="L426" s="9" t="str">
        <f>VLOOKUP($D426,SKU!$A:$I,2,FALSE)</f>
        <v>《竹影摇笺》耽美撕撕乐系列</v>
      </c>
    </row>
    <row r="427" spans="1:12">
      <c r="A427" s="6"/>
      <c r="B427" s="95" t="s">
        <v>433</v>
      </c>
      <c r="C427" s="6" t="s">
        <v>431</v>
      </c>
      <c r="D427" s="6" t="s">
        <v>305</v>
      </c>
      <c r="E427" s="8">
        <f>SUMIFS(Xuất出库!D:D,Xuất出库!G:G,B427,Xuất出库!C:C,D427)</f>
        <v>15</v>
      </c>
      <c r="F427" s="9">
        <f>SUMIFS(Xuất出库!E:E,Xuất出库!G:G,B427,Xuất出库!C:C,D427)+SUMIFS(Xuất出库!F:F,Xuất出库!G:G,B427,Xuất出库!C:C,D427)</f>
        <v>150</v>
      </c>
      <c r="G427" s="6">
        <f>9+4+6+10+5+9+1+12+5</f>
        <v>61</v>
      </c>
      <c r="H427" s="9">
        <f>SUMIFS(Hoàn回库!E:E,Hoàn回库!G:G,B427,Hoàn回库!C:C,D427)+SUMIFS(Hoàn回库!F:F,Hoàn回库!G:G,B427,Hoàn回库!C:C,D427)</f>
        <v>0</v>
      </c>
      <c r="I427" s="9">
        <f>SUMIFS('Điều hàng调货'!E:E,'Điều hàng调货'!A:A,K427,'Điều hàng调货'!G:G,B427)*-1+SUMIFS('Điều hàng调货'!E:E,'Điều hàng调货'!A:A,K427,'Điều hàng调货'!H:H,B427)+SUMIFS('Điều hàng调货'!F:F,'Điều hàng调货'!A:A,K427,'Điều hàng调货'!G:G,B427)*-1+SUMIFS('Điều hàng调货'!F:F,'Điều hàng调货'!A:A,K427,'Điều hàng调货'!H:H,B427)</f>
        <v>-30</v>
      </c>
      <c r="J427" s="9">
        <f t="shared" si="22"/>
        <v>59</v>
      </c>
      <c r="K427" s="9">
        <f>VLOOKUP($D427,SKU!$A:$I,3,FALSE)</f>
        <v>10080</v>
      </c>
      <c r="L427" s="9" t="str">
        <f>VLOOKUP($D427,SKU!$A:$I,2,FALSE)</f>
        <v>《小蘑菇》流荧版收藏卡-末世深渊</v>
      </c>
    </row>
    <row r="428" spans="1:12">
      <c r="A428" s="6"/>
      <c r="B428" s="95" t="s">
        <v>433</v>
      </c>
      <c r="C428" s="6" t="s">
        <v>431</v>
      </c>
      <c r="D428" s="6" t="s">
        <v>287</v>
      </c>
      <c r="E428" s="8">
        <f>SUMIFS(Xuất出库!D:D,Xuất出库!G:G,B428,Xuất出库!C:C,D428)</f>
        <v>80</v>
      </c>
      <c r="F428" s="9">
        <f>SUMIFS(Xuất出库!E:E,Xuất出库!G:G,B428,Xuất出库!C:C,D428)+SUMIFS(Xuất出库!F:F,Xuất出库!G:G,B428,Xuất出库!C:C,D428)</f>
        <v>80</v>
      </c>
      <c r="G428" s="6">
        <f>2+3+7+6+2+10+11+11+3+1+5+4</f>
        <v>65</v>
      </c>
      <c r="H428" s="9">
        <f>SUMIFS(Hoàn回库!E:E,Hoàn回库!G:G,B428,Hoàn回库!C:C,D428)+SUMIFS(Hoàn回库!F:F,Hoàn回库!G:G,B428,Hoàn回库!C:C,D428)</f>
        <v>0</v>
      </c>
      <c r="I428" s="9">
        <f>SUMIFS('Điều hàng调货'!E:E,'Điều hàng调货'!A:A,K428,'Điều hàng调货'!G:G,B428)*-1+SUMIFS('Điều hàng调货'!E:E,'Điều hàng调货'!A:A,K428,'Điều hàng调货'!H:H,B428)+SUMIFS('Điều hàng调货'!F:F,'Điều hàng调货'!A:A,K428,'Điều hàng调货'!G:G,B428)*-1+SUMIFS('Điều hàng调货'!F:F,'Điều hàng调货'!A:A,K428,'Điều hàng调货'!H:H,B428)</f>
        <v>-5</v>
      </c>
      <c r="J428" s="9">
        <f t="shared" si="22"/>
        <v>10</v>
      </c>
      <c r="K428" s="9">
        <f>VLOOKUP($D428,SKU!$A:$I,3,FALSE)</f>
        <v>10074</v>
      </c>
      <c r="L428" s="9" t="str">
        <f>VLOOKUP($D428,SKU!$A:$I,2,FALSE)</f>
        <v>火萤文创【帷幕将倾】俊男唯美撕撕乐</v>
      </c>
    </row>
    <row r="429" spans="1:12">
      <c r="A429" s="6"/>
      <c r="B429" s="95" t="s">
        <v>433</v>
      </c>
      <c r="C429" s="6" t="s">
        <v>431</v>
      </c>
      <c r="D429" s="6" t="s">
        <v>341</v>
      </c>
      <c r="E429" s="8">
        <f>SUMIFS(Xuất出库!D:D,Xuất出库!G:G,B429,Xuất出库!C:C,D429)</f>
        <v>20</v>
      </c>
      <c r="F429" s="9">
        <f>SUMIFS(Xuất出库!E:E,Xuất出库!G:G,B429,Xuất出库!C:C,D429)+SUMIFS(Xuất出库!F:F,Xuất出库!G:G,B429,Xuất出库!C:C,D429)</f>
        <v>100</v>
      </c>
      <c r="G429" s="6">
        <f>88+12</f>
        <v>100</v>
      </c>
      <c r="H429" s="9">
        <f>SUMIFS(Hoàn回库!E:E,Hoàn回库!G:G,B429,Hoàn回库!C:C,D429)+SUMIFS(Hoàn回库!F:F,Hoàn回库!G:G,B429,Hoàn回库!C:C,D429)</f>
        <v>0</v>
      </c>
      <c r="I429" s="9">
        <f>SUMIFS('Điều hàng调货'!E:E,'Điều hàng调货'!A:A,K429,'Điều hàng调货'!G:G,B429)*-1+SUMIFS('Điều hàng调货'!E:E,'Điều hàng调货'!A:A,K429,'Điều hàng调货'!H:H,B429)+SUMIFS('Điều hàng调货'!F:F,'Điều hàng调货'!A:A,K429,'Điều hàng调货'!G:G,B429)*-1+SUMIFS('Điều hàng调货'!F:F,'Điều hàng调货'!A:A,K429,'Điều hàng调货'!H:H,B429)</f>
        <v>0</v>
      </c>
      <c r="J429" s="9">
        <f t="shared" si="22"/>
        <v>0</v>
      </c>
      <c r="K429" s="9">
        <f>VLOOKUP($D429,SKU!$A:$I,3,FALSE)</f>
        <v>10094</v>
      </c>
      <c r="L429" s="9" t="str">
        <f>VLOOKUP($D429,SKU!$A:$I,2,FALSE)</f>
        <v>山海文创《蝶海梦花》耽美男神A6纯亚克力色纸</v>
      </c>
    </row>
    <row r="430" spans="1:12">
      <c r="A430" s="6"/>
      <c r="B430" s="95" t="s">
        <v>433</v>
      </c>
      <c r="C430" s="6" t="s">
        <v>431</v>
      </c>
      <c r="D430" s="6" t="s">
        <v>367</v>
      </c>
      <c r="E430" s="8">
        <f>SUMIFS(Xuất出库!D:D,Xuất出库!G:G,B430,Xuất出库!C:C,D430)</f>
        <v>15</v>
      </c>
      <c r="F430" s="9">
        <f>SUMIFS(Xuất出库!E:E,Xuất出库!G:G,B430,Xuất出库!C:C,D430)+SUMIFS(Xuất出库!F:F,Xuất出库!G:G,B430,Xuất出库!C:C,D430)</f>
        <v>300</v>
      </c>
      <c r="G430" s="6">
        <f>42+1+60+22+106</f>
        <v>231</v>
      </c>
      <c r="H430" s="9">
        <f>SUMIFS(Hoàn回库!E:E,Hoàn回库!G:G,B430,Hoàn回库!C:C,D430)+SUMIFS(Hoàn回库!F:F,Hoàn回库!G:G,B430,Hoàn回库!C:C,D430)</f>
        <v>0</v>
      </c>
      <c r="I430" s="9">
        <f>SUMIFS('Điều hàng调货'!E:E,'Điều hàng调货'!A:A,K430,'Điều hàng调货'!G:G,B430)*-1+SUMIFS('Điều hàng调货'!E:E,'Điều hàng调货'!A:A,K430,'Điều hàng调货'!H:H,B430)+SUMIFS('Điều hàng调货'!F:F,'Điều hàng调货'!A:A,K430,'Điều hàng调货'!G:G,B430)*-1+SUMIFS('Điều hàng调货'!F:F,'Điều hàng调货'!A:A,K430,'Điều hàng调货'!H:H,B430)</f>
        <v>-3</v>
      </c>
      <c r="J430" s="9">
        <f t="shared" si="22"/>
        <v>66</v>
      </c>
      <c r="K430" s="9">
        <f>VLOOKUP($D430,SKU!$A:$I,3,FALSE)</f>
        <v>10103</v>
      </c>
      <c r="L430" s="9" t="str">
        <f>VLOOKUP($D430,SKU!$A:$I,2,FALSE)</f>
        <v>疯狂动物城白金收藏卡狐兔神探</v>
      </c>
    </row>
    <row r="431" spans="1:12">
      <c r="A431" s="6"/>
      <c r="B431" s="95" t="s">
        <v>433</v>
      </c>
      <c r="C431" s="6" t="s">
        <v>431</v>
      </c>
      <c r="D431" s="6" t="s">
        <v>335</v>
      </c>
      <c r="E431" s="8">
        <f>SUMIFS(Xuất出库!D:D,Xuất出库!G:G,B431,Xuất出库!C:C,D431)</f>
        <v>20</v>
      </c>
      <c r="F431" s="9">
        <f>SUMIFS(Xuất出库!E:E,Xuất出库!G:G,B431,Xuất出库!C:C,D431)+SUMIFS(Xuất出库!F:F,Xuất出库!G:G,B431,Xuất出库!C:C,D431)</f>
        <v>60</v>
      </c>
      <c r="G431" s="6">
        <v>3</v>
      </c>
      <c r="H431" s="9">
        <f>SUMIFS(Hoàn回库!E:E,Hoàn回库!G:G,B431,Hoàn回库!C:C,D431)+SUMIFS(Hoàn回库!F:F,Hoàn回库!G:G,B431,Hoàn回库!C:C,D431)</f>
        <v>0</v>
      </c>
      <c r="I431" s="9">
        <f>SUMIFS('Điều hàng调货'!E:E,'Điều hàng调货'!A:A,K431,'Điều hàng调货'!G:G,B431)*-1+SUMIFS('Điều hàng调货'!E:E,'Điều hàng调货'!A:A,K431,'Điều hàng调货'!H:H,B431)+SUMIFS('Điều hàng调货'!F:F,'Điều hàng调货'!A:A,K431,'Điều hàng调货'!G:G,B431)*-1+SUMIFS('Điều hàng调货'!F:F,'Điều hàng调货'!A:A,K431,'Điều hàng调货'!H:H,B431)</f>
        <v>0</v>
      </c>
      <c r="J431" s="9">
        <f t="shared" si="22"/>
        <v>57</v>
      </c>
      <c r="K431" s="9">
        <f>VLOOKUP($D431,SKU!$A:$I,3,FALSE)</f>
        <v>10092</v>
      </c>
      <c r="L431" s="9" t="str">
        <f>VLOOKUP($D431,SKU!$A:$I,2,FALSE)</f>
        <v>紫薇文创×魔卡少女樱·撕撕乐</v>
      </c>
    </row>
    <row r="432" spans="1:12">
      <c r="A432" s="6"/>
      <c r="B432" s="95" t="s">
        <v>433</v>
      </c>
      <c r="C432" s="6" t="s">
        <v>431</v>
      </c>
      <c r="D432" s="6" t="s">
        <v>143</v>
      </c>
      <c r="E432" s="8">
        <f>SUMIFS(Xuất出库!D:D,Xuất出库!G:G,B432,Xuất出库!C:C,D432)</f>
        <v>0</v>
      </c>
      <c r="F432" s="9">
        <f>SUMIFS(Xuất出库!E:E,Xuất出库!G:G,B432,Xuất出库!C:C,D432)+SUMIFS(Xuất出库!F:F,Xuất出库!G:G,B432,Xuất出库!C:C,D432)</f>
        <v>0</v>
      </c>
      <c r="G432" s="6">
        <v>3</v>
      </c>
      <c r="H432" s="9">
        <f>SUMIFS(Hoàn回库!E:E,Hoàn回库!G:G,B432,Hoàn回库!C:C,D432)+SUMIFS(Hoàn回库!F:F,Hoàn回库!G:G,B432,Hoàn回库!C:C,D432)</f>
        <v>0</v>
      </c>
      <c r="I432" s="9">
        <f>SUMIFS('Điều hàng调货'!E:E,'Điều hàng调货'!A:A,K432,'Điều hàng调货'!G:G,B432)*-1+SUMIFS('Điều hàng调货'!E:E,'Điều hàng调货'!A:A,K432,'Điều hàng调货'!H:H,B432)+SUMIFS('Điều hàng调货'!F:F,'Điều hàng调货'!A:A,K432,'Điều hàng调货'!G:G,B432)*-1+SUMIFS('Điều hàng调货'!F:F,'Điều hàng调货'!A:A,K432,'Điều hàng调货'!H:H,B432)</f>
        <v>16</v>
      </c>
      <c r="J432" s="9">
        <f t="shared" si="22"/>
        <v>13</v>
      </c>
      <c r="K432" s="9">
        <f>VLOOKUP($D432,SKU!$A:$I,3,FALSE)</f>
        <v>10029</v>
      </c>
      <c r="L432" s="9" t="str">
        <f>VLOOKUP($D432,SKU!$A:$I,2,FALSE)</f>
        <v>樱花屋魔卡少女樱</v>
      </c>
    </row>
    <row r="433" spans="1:12">
      <c r="A433" s="6"/>
      <c r="B433" s="95" t="s">
        <v>433</v>
      </c>
      <c r="C433" s="6" t="s">
        <v>431</v>
      </c>
      <c r="D433" s="6" t="s">
        <v>352</v>
      </c>
      <c r="E433" s="8">
        <f>SUMIFS(Xuất出库!D:D,Xuất出库!G:G,B433,Xuất出库!C:C,D433)</f>
        <v>10</v>
      </c>
      <c r="F433" s="9">
        <f>SUMIFS(Xuất出库!E:E,Xuất出库!G:G,B433,Xuất出库!C:C,D433)+SUMIFS(Xuất出库!F:F,Xuất出库!G:G,B433,Xuất出库!C:C,D433)</f>
        <v>120</v>
      </c>
      <c r="G433" s="6">
        <f>24+4</f>
        <v>28</v>
      </c>
      <c r="H433" s="9">
        <f>SUMIFS(Hoàn回库!E:E,Hoàn回库!G:G,B433,Hoàn回库!C:C,D433)+SUMIFS(Hoàn回库!F:F,Hoàn回库!G:G,B433,Hoàn回库!C:C,D433)</f>
        <v>0</v>
      </c>
      <c r="I433" s="9">
        <f>SUMIFS('Điều hàng调货'!E:E,'Điều hàng调货'!A:A,K433,'Điều hàng调货'!G:G,B433)*-1+SUMIFS('Điều hàng调货'!E:E,'Điều hàng调货'!A:A,K433,'Điều hàng调货'!H:H,B433)+SUMIFS('Điều hàng调货'!F:F,'Điều hàng调货'!A:A,K433,'Điều hàng调货'!G:G,B433)*-1+SUMIFS('Điều hàng调货'!F:F,'Điều hàng调货'!A:A,K433,'Điều hàng调货'!H:H,B433)</f>
        <v>0</v>
      </c>
      <c r="J433" s="9">
        <f t="shared" si="22"/>
        <v>92</v>
      </c>
      <c r="K433" s="9">
        <f>VLOOKUP($D433,SKU!$A:$I,3,FALSE)</f>
        <v>10098</v>
      </c>
      <c r="L433" s="9" t="str">
        <f>VLOOKUP($D433,SKU!$A:$I,2,FALSE)</f>
        <v>【念君集·双心占卜·耽美系列】三界情缘塔罗牌</v>
      </c>
    </row>
    <row r="434" spans="1:12">
      <c r="A434" s="6"/>
      <c r="B434" s="95" t="s">
        <v>433</v>
      </c>
      <c r="C434" s="6" t="s">
        <v>431</v>
      </c>
      <c r="D434" s="6"/>
      <c r="E434" s="8">
        <f>SUMIFS(Xuất出库!D:D,Xuất出库!G:G,B434,Xuất出库!C:C,D434)</f>
        <v>0</v>
      </c>
      <c r="F434" s="9">
        <f>SUMIFS(Xuất出库!E:E,Xuất出库!G:G,B434,Xuất出库!C:C,D434)+SUMIFS(Xuất出库!F:F,Xuất出库!G:G,B434,Xuất出库!C:C,D434)</f>
        <v>0</v>
      </c>
      <c r="G434" s="6"/>
      <c r="H434" s="9">
        <f>SUMIFS(Hoàn回库!E:E,Hoàn回库!G:G,B434,Hoàn回库!C:C,D434)+SUMIFS(Hoàn回库!F:F,Hoàn回库!G:G,B434,Hoàn回库!C:C,D434)</f>
        <v>0</v>
      </c>
      <c r="I434" s="9">
        <f>SUMIFS('Điều hàng调货'!E:E,'Điều hàng调货'!A:A,K434,'Điều hàng调货'!G:G,B434)*-1+SUMIFS('Điều hàng调货'!E:E,'Điều hàng调货'!A:A,K434,'Điều hàng调货'!H:H,B434)+SUMIFS('Điều hàng调货'!F:F,'Điều hàng调货'!A:A,K434,'Điều hàng调货'!G:G,B434)*-1+SUMIFS('Điều hàng调货'!F:F,'Điều hàng调货'!A:A,K434,'Điều hàng调货'!H:H,B434)</f>
        <v>0</v>
      </c>
      <c r="J434" s="9">
        <f t="shared" si="22"/>
        <v>0</v>
      </c>
      <c r="K434" s="9" t="e">
        <f>VLOOKUP($D434,SKU!$A:$I,3,FALSE)</f>
        <v>#N/A</v>
      </c>
      <c r="L434" s="9" t="e">
        <f>VLOOKUP($D434,SKU!$A:$I,2,FALSE)</f>
        <v>#N/A</v>
      </c>
    </row>
    <row r="435" spans="1:12">
      <c r="A435" s="6"/>
      <c r="B435" s="95" t="s">
        <v>433</v>
      </c>
      <c r="C435" s="6" t="s">
        <v>431</v>
      </c>
      <c r="D435" s="6"/>
      <c r="E435" s="8">
        <f>SUMIFS(Xuất出库!D:D,Xuất出库!G:G,B435,Xuất出库!C:C,D435)</f>
        <v>0</v>
      </c>
      <c r="F435" s="9">
        <f>SUMIFS(Xuất出库!E:E,Xuất出库!G:G,B435,Xuất出库!C:C,D435)+SUMIFS(Xuất出库!F:F,Xuất出库!G:G,B435,Xuất出库!C:C,D435)</f>
        <v>0</v>
      </c>
      <c r="G435" s="6"/>
      <c r="H435" s="9">
        <f>SUMIFS(Hoàn回库!E:E,Hoàn回库!G:G,B435,Hoàn回库!C:C,D435)+SUMIFS(Hoàn回库!F:F,Hoàn回库!G:G,B435,Hoàn回库!C:C,D435)</f>
        <v>0</v>
      </c>
      <c r="I435" s="9">
        <f>SUMIFS('Điều hàng调货'!E:E,'Điều hàng调货'!A:A,K435,'Điều hàng调货'!G:G,B435)*-1+SUMIFS('Điều hàng调货'!E:E,'Điều hàng调货'!A:A,K435,'Điều hàng调货'!H:H,B435)+SUMIFS('Điều hàng调货'!F:F,'Điều hàng调货'!A:A,K435,'Điều hàng调货'!G:G,B435)*-1+SUMIFS('Điều hàng调货'!F:F,'Điều hàng调货'!A:A,K435,'Điều hàng调货'!H:H,B435)</f>
        <v>0</v>
      </c>
      <c r="J435" s="9">
        <f t="shared" si="22"/>
        <v>0</v>
      </c>
      <c r="K435" s="9" t="e">
        <f>VLOOKUP($D435,SKU!$A:$I,3,FALSE)</f>
        <v>#N/A</v>
      </c>
      <c r="L435" s="9" t="e">
        <f>VLOOKUP($D435,SKU!$A:$I,2,FALSE)</f>
        <v>#N/A</v>
      </c>
    </row>
    <row r="436" spans="1:12">
      <c r="A436" s="6"/>
      <c r="B436" s="95" t="s">
        <v>433</v>
      </c>
      <c r="C436" s="6" t="s">
        <v>431</v>
      </c>
      <c r="D436" s="6"/>
      <c r="E436" s="8">
        <f>SUMIFS(Xuất出库!D:D,Xuất出库!G:G,B436,Xuất出库!C:C,D436)</f>
        <v>0</v>
      </c>
      <c r="F436" s="9">
        <f>SUMIFS(Xuất出库!E:E,Xuất出库!G:G,B436,Xuất出库!C:C,D436)+SUMIFS(Xuất出库!F:F,Xuất出库!G:G,B436,Xuất出库!C:C,D436)</f>
        <v>0</v>
      </c>
      <c r="G436" s="6"/>
      <c r="H436" s="9">
        <f>SUMIFS(Hoàn回库!E:E,Hoàn回库!G:G,B436,Hoàn回库!C:C,D436)+SUMIFS(Hoàn回库!F:F,Hoàn回库!G:G,B436,Hoàn回库!C:C,D436)</f>
        <v>0</v>
      </c>
      <c r="I436" s="9">
        <f>SUMIFS('Điều hàng调货'!E:E,'Điều hàng调货'!A:A,K436,'Điều hàng调货'!G:G,B436)*-1+SUMIFS('Điều hàng调货'!E:E,'Điều hàng调货'!A:A,K436,'Điều hàng调货'!H:H,B436)+SUMIFS('Điều hàng调货'!F:F,'Điều hàng调货'!A:A,K436,'Điều hàng调货'!G:G,B436)*-1+SUMIFS('Điều hàng调货'!F:F,'Điều hàng调货'!A:A,K436,'Điều hàng调货'!H:H,B436)</f>
        <v>0</v>
      </c>
      <c r="J436" s="9">
        <f t="shared" si="22"/>
        <v>0</v>
      </c>
      <c r="K436" s="9" t="e">
        <f>VLOOKUP($D436,SKU!$A:$I,3,FALSE)</f>
        <v>#N/A</v>
      </c>
      <c r="L436" s="9" t="e">
        <f>VLOOKUP($D436,SKU!$A:$I,2,FALSE)</f>
        <v>#N/A</v>
      </c>
    </row>
    <row r="437" ht="15.75" spans="1:12">
      <c r="A437" s="6"/>
      <c r="B437" s="96" t="s">
        <v>433</v>
      </c>
      <c r="C437" s="43" t="s">
        <v>431</v>
      </c>
      <c r="D437" s="43"/>
      <c r="E437" s="20">
        <f>SUMIFS(Xuất出库!D:D,Xuất出库!G:G,B437,Xuất出库!C:C,D437)</f>
        <v>0</v>
      </c>
      <c r="F437" s="21">
        <f>SUMIFS(Xuất出库!E:E,Xuất出库!G:G,B437,Xuất出库!C:C,D437)+SUMIFS(Xuất出库!F:F,Xuất出库!G:G,B437,Xuất出库!C:C,D437)</f>
        <v>0</v>
      </c>
      <c r="G437" s="43"/>
      <c r="H437" s="21">
        <f>SUMIFS(Hoàn回库!E:E,Hoàn回库!G:G,B437,Hoàn回库!C:C,D437)+SUMIFS(Hoàn回库!F:F,Hoàn回库!G:G,B437,Hoàn回库!C:C,D437)</f>
        <v>0</v>
      </c>
      <c r="I437" s="21">
        <f>SUMIFS('Điều hàng调货'!E:E,'Điều hàng调货'!A:A,K437,'Điều hàng调货'!G:G,B437)*-1+SUMIFS('Điều hàng调货'!E:E,'Điều hàng调货'!A:A,K437,'Điều hàng调货'!H:H,B437)+SUMIFS('Điều hàng调货'!F:F,'Điều hàng调货'!A:A,K437,'Điều hàng调货'!G:G,B437)*-1+SUMIFS('Điều hàng调货'!F:F,'Điều hàng调货'!A:A,K437,'Điều hàng调货'!H:H,B437)</f>
        <v>0</v>
      </c>
      <c r="J437" s="21">
        <f t="shared" si="22"/>
        <v>0</v>
      </c>
      <c r="K437" s="21" t="e">
        <f>VLOOKUP($D437,SKU!$A:$I,3,FALSE)</f>
        <v>#N/A</v>
      </c>
      <c r="L437" s="21" t="e">
        <f>VLOOKUP($D437,SKU!$A:$I,2,FALSE)</f>
        <v>#N/A</v>
      </c>
    </row>
    <row r="438" ht="15.75" spans="1:12">
      <c r="A438" s="6"/>
      <c r="B438" s="44" t="s">
        <v>142</v>
      </c>
      <c r="C438" s="45" t="s">
        <v>431</v>
      </c>
      <c r="D438" s="45" t="s">
        <v>196</v>
      </c>
      <c r="E438" s="24">
        <f>SUMIFS(Xuất出库!D:D,Xuất出库!G:G,B438,Xuất出库!C:C,D438)</f>
        <v>5</v>
      </c>
      <c r="F438" s="25">
        <f>SUMIFS(Xuất出库!E:E,Xuất出库!G:G,B438,Xuất出库!C:C,D438)+SUMIFS(Xuất出库!F:F,Xuất出库!G:G,B438,Xuất出库!C:C,D438)</f>
        <v>80</v>
      </c>
      <c r="G438" s="45"/>
      <c r="H438" s="47">
        <f>SUMIFS(Hoàn回库!E:E,Hoàn回库!G:G,B438,Hoàn回库!C:C,D438)+SUMIFS(Hoàn回库!F:F,Hoàn回库!G:G,B438,Hoàn回库!C:C,D438)</f>
        <v>0</v>
      </c>
      <c r="I438" s="25">
        <f>SUMIFS('Điều hàng调货'!E:E,'Điều hàng调货'!A:A,K438,'Điều hàng调货'!G:G,B438)*-1+SUMIFS('Điều hàng调货'!E:E,'Điều hàng调货'!A:A,K438,'Điều hàng调货'!H:H,B438)+SUMIFS('Điều hàng调货'!F:F,'Điều hàng调货'!A:A,K438,'Điều hàng调货'!G:G,B438)*-1+SUMIFS('Điều hàng调货'!F:F,'Điều hàng调货'!A:A,K438,'Điều hàng调货'!H:H,B438)</f>
        <v>-80</v>
      </c>
      <c r="J438" s="25">
        <f t="shared" si="22"/>
        <v>0</v>
      </c>
      <c r="K438" s="47">
        <f>VLOOKUP($D438,SKU!$A:$I,3,FALSE)</f>
        <v>10042</v>
      </c>
      <c r="L438" s="47" t="str">
        <f>VLOOKUP($D438,SKU!$A:$I,2,FALSE)</f>
        <v>黄油小熊系列收藏卡第二弹 小熊的观察日记</v>
      </c>
    </row>
    <row r="439" spans="1:12">
      <c r="A439" s="6"/>
      <c r="B439" s="48" t="s">
        <v>142</v>
      </c>
      <c r="C439" s="29" t="s">
        <v>431</v>
      </c>
      <c r="D439" s="29" t="s">
        <v>266</v>
      </c>
      <c r="E439" s="8">
        <f>SUMIFS(Xuất出库!D:D,Xuất出库!G:G,B439,Xuất出库!C:C,D439)</f>
        <v>5</v>
      </c>
      <c r="F439" s="9">
        <f>SUMIFS(Xuất出库!E:E,Xuất出库!G:G,B439,Xuất出库!C:C,D439)+SUMIFS(Xuất出库!F:F,Xuất出库!G:G,B439,Xuất出库!C:C,D439)</f>
        <v>180</v>
      </c>
      <c r="G439" s="29"/>
      <c r="H439" s="31">
        <f>SUMIFS(Hoàn回库!E:E,Hoàn回库!G:G,B439,Hoàn回库!C:C,D439)+SUMIFS(Hoàn回库!F:F,Hoàn回库!G:G,B439,Hoàn回库!C:C,D439)</f>
        <v>0</v>
      </c>
      <c r="I439" s="9">
        <f>SUMIFS('Điều hàng调货'!E:E,'Điều hàng调货'!A:A,K439,'Điều hàng调货'!G:G,B439)*-1+SUMIFS('Điều hàng调货'!E:E,'Điều hàng调货'!A:A,K439,'Điều hàng调货'!H:H,B439)+SUMIFS('Điều hàng调货'!F:F,'Điều hàng调货'!A:A,K439,'Điều hàng调货'!G:G,B439)*-1+SUMIFS('Điều hàng调货'!F:F,'Điều hàng调货'!A:A,K439,'Điều hàng调货'!H:H,B439)</f>
        <v>-180</v>
      </c>
      <c r="J439" s="9">
        <f t="shared" si="22"/>
        <v>0</v>
      </c>
      <c r="K439" s="31">
        <f>VLOOKUP($D439,SKU!$A:$I,3,FALSE)</f>
        <v>10066</v>
      </c>
      <c r="L439" s="31" t="str">
        <f>VLOOKUP($D439,SKU!$A:$I,2,FALSE)</f>
        <v>卡游柯南揭秘包第2弹</v>
      </c>
    </row>
    <row r="440" spans="1:12">
      <c r="A440" s="6"/>
      <c r="B440" s="48" t="s">
        <v>142</v>
      </c>
      <c r="C440" s="29" t="s">
        <v>431</v>
      </c>
      <c r="D440" s="29" t="s">
        <v>18</v>
      </c>
      <c r="E440" s="8">
        <f>SUMIFS(Xuất出库!D:D,Xuất出库!G:G,B440,Xuất出库!C:C,D440)</f>
        <v>5</v>
      </c>
      <c r="F440" s="9">
        <f>SUMIFS(Xuất出库!E:E,Xuất出库!G:G,B440,Xuất出库!C:C,D440)+SUMIFS(Xuất出库!F:F,Xuất出库!G:G,B440,Xuất出库!C:C,D440)</f>
        <v>65</v>
      </c>
      <c r="G440" s="29"/>
      <c r="H440" s="31">
        <f>SUMIFS(Hoàn回库!E:E,Hoàn回库!G:G,B440,Hoàn回库!C:C,D440)+SUMIFS(Hoàn回库!F:F,Hoàn回库!G:G,B440,Hoàn回库!C:C,D440)</f>
        <v>0</v>
      </c>
      <c r="I440" s="9">
        <f>SUMIFS('Điều hàng调货'!E:E,'Điều hàng调货'!A:A,K440,'Điều hàng调货'!G:G,B440)*-1+SUMIFS('Điều hàng调货'!E:E,'Điều hàng调货'!A:A,K440,'Điều hàng调货'!H:H,B440)+SUMIFS('Điều hàng调货'!F:F,'Điều hàng调货'!A:A,K440,'Điều hàng调货'!G:G,B440)*-1+SUMIFS('Điều hàng调货'!F:F,'Điều hàng调货'!A:A,K440,'Điều hàng调货'!H:H,B440)</f>
        <v>-65</v>
      </c>
      <c r="J440" s="9">
        <f t="shared" si="22"/>
        <v>0</v>
      </c>
      <c r="K440" s="31">
        <f>VLOOKUP($D440,SKU!$A:$I,3,FALSE)</f>
        <v>10002</v>
      </c>
      <c r="L440" s="31" t="str">
        <f>VLOOKUP($D440,SKU!$A:$I,2,FALSE)</f>
        <v>MoonCard月卡《美少女战士》第三弹</v>
      </c>
    </row>
    <row r="441" spans="1:12">
      <c r="A441" s="6"/>
      <c r="B441" s="48" t="s">
        <v>142</v>
      </c>
      <c r="C441" s="29" t="s">
        <v>431</v>
      </c>
      <c r="D441" s="29" t="s">
        <v>91</v>
      </c>
      <c r="E441" s="8">
        <f>SUMIFS(Xuất出库!D:D,Xuất出库!G:G,B441,Xuất出库!C:C,D441)</f>
        <v>3</v>
      </c>
      <c r="F441" s="9">
        <f>SUMIFS(Xuất出库!E:E,Xuất出库!G:G,B441,Xuất出库!C:C,D441)+SUMIFS(Xuất出库!F:F,Xuất出库!G:G,B441,Xuất出库!C:C,D441)</f>
        <v>30</v>
      </c>
      <c r="G441" s="29"/>
      <c r="H441" s="31">
        <f>SUMIFS(Hoàn回库!E:E,Hoàn回库!G:G,B441,Hoàn回库!C:C,D441)+SUMIFS(Hoàn回库!F:F,Hoàn回库!G:G,B441,Hoàn回库!C:C,D441)</f>
        <v>0</v>
      </c>
      <c r="I441" s="9">
        <f>SUMIFS('Điều hàng调货'!E:E,'Điều hàng调货'!A:A,K441,'Điều hàng调货'!G:G,B441)*-1+SUMIFS('Điều hàng调货'!E:E,'Điều hàng调货'!A:A,K441,'Điều hàng调货'!H:H,B441)+SUMIFS('Điều hàng调货'!F:F,'Điều hàng调货'!A:A,K441,'Điều hàng调货'!G:G,B441)*-1+SUMIFS('Điều hàng调货'!F:F,'Điều hàng调货'!A:A,K441,'Điều hàng调货'!H:H,B441)</f>
        <v>-30</v>
      </c>
      <c r="J441" s="9">
        <f t="shared" si="22"/>
        <v>0</v>
      </c>
      <c r="K441" s="31">
        <f>VLOOKUP($D441,SKU!$A:$I,3,FALSE)</f>
        <v>10016</v>
      </c>
      <c r="L441" s="31" t="str">
        <f>VLOOKUP($D441,SKU!$A:$I,2,FALSE)</f>
        <v>思梨普文创《hey!国王陛下》集换式艺术家典藏卡</v>
      </c>
    </row>
    <row r="442" spans="1:12">
      <c r="A442" s="6"/>
      <c r="B442" s="48" t="s">
        <v>142</v>
      </c>
      <c r="C442" s="29" t="s">
        <v>431</v>
      </c>
      <c r="D442" s="29" t="s">
        <v>184</v>
      </c>
      <c r="E442" s="8">
        <f>SUMIFS(Xuất出库!D:D,Xuất出库!G:G,B442,Xuất出库!C:C,D442)</f>
        <v>0</v>
      </c>
      <c r="F442" s="9">
        <f>SUMIFS(Xuất出库!E:E,Xuất出库!G:G,B442,Xuất出库!C:C,D442)+SUMIFS(Xuất出库!F:F,Xuất出库!G:G,B442,Xuất出库!C:C,D442)</f>
        <v>0</v>
      </c>
      <c r="G442" s="29"/>
      <c r="H442" s="31">
        <f>SUMIFS(Hoàn回库!E:E,Hoàn回库!G:G,B442,Hoàn回库!C:C,D442)+SUMIFS(Hoàn回库!F:F,Hoàn回库!G:G,B442,Hoàn回库!C:C,D442)</f>
        <v>0</v>
      </c>
      <c r="I442" s="9">
        <f>SUMIFS('Điều hàng调货'!E:E,'Điều hàng调货'!A:A,K442,'Điều hàng调货'!G:G,B442)*-1+SUMIFS('Điều hàng调货'!E:E,'Điều hàng调货'!A:A,K442,'Điều hàng调货'!H:H,B442)+SUMIFS('Điều hàng调货'!F:F,'Điều hàng调货'!A:A,K442,'Điều hàng调货'!G:G,B442)*-1+SUMIFS('Điều hàng调货'!F:F,'Điều hàng调货'!A:A,K442,'Điều hàng调货'!H:H,B442)</f>
        <v>0</v>
      </c>
      <c r="J442" s="9">
        <f t="shared" si="22"/>
        <v>0</v>
      </c>
      <c r="K442" s="31">
        <f>VLOOKUP($D442,SKU!$A:$I,3,FALSE)</f>
        <v>10039</v>
      </c>
      <c r="L442" s="31" t="str">
        <f>VLOOKUP($D442,SKU!$A:$I,2,FALSE)</f>
        <v>非凡航海王第五弹</v>
      </c>
    </row>
    <row r="443" ht="15.75" spans="1:12">
      <c r="A443" s="6"/>
      <c r="B443" s="49" t="s">
        <v>142</v>
      </c>
      <c r="C443" s="18" t="s">
        <v>431</v>
      </c>
      <c r="D443" s="18" t="s">
        <v>207</v>
      </c>
      <c r="E443" s="20">
        <f>SUMIFS(Xuất出库!D:D,Xuất出库!G:G,B443,Xuất出库!C:C,D443)</f>
        <v>5</v>
      </c>
      <c r="F443" s="21">
        <f>SUMIFS(Xuất出库!E:E,Xuất出库!G:G,B443,Xuất出库!C:C,D443)+SUMIFS(Xuất出库!F:F,Xuất出库!G:G,B443,Xuất出库!C:C,D443)</f>
        <v>5</v>
      </c>
      <c r="G443" s="18">
        <v>1</v>
      </c>
      <c r="H443" s="51">
        <f>SUMIFS(Hoàn回库!E:E,Hoàn回库!G:G,B443,Hoàn回库!C:C,D443)+SUMIFS(Hoàn回库!F:F,Hoàn回库!G:G,B443,Hoàn回库!C:C,D443)</f>
        <v>0</v>
      </c>
      <c r="I443" s="21">
        <f>SUMIFS('Điều hàng调货'!E:E,'Điều hàng调货'!A:A,K443,'Điều hàng调货'!G:G,B443)*-1+SUMIFS('Điều hàng调货'!E:E,'Điều hàng调货'!A:A,K443,'Điều hàng调货'!H:H,B443)+SUMIFS('Điều hàng调货'!F:F,'Điều hàng调货'!A:A,K443,'Điều hàng调货'!G:G,B443)*-1+SUMIFS('Điều hàng调货'!F:F,'Điều hàng调货'!A:A,K443,'Điều hàng调货'!H:H,B443)</f>
        <v>-4</v>
      </c>
      <c r="J443" s="21">
        <f t="shared" si="22"/>
        <v>0</v>
      </c>
      <c r="K443" s="51">
        <f>VLOOKUP($D443,SKU!$A:$I,3,FALSE)</f>
        <v>10046</v>
      </c>
      <c r="L443" s="51" t="str">
        <f>VLOOKUP($D443,SKU!$A:$I,2,FALSE)</f>
        <v>夜灯</v>
      </c>
    </row>
    <row r="444" ht="15.75" spans="1:12">
      <c r="A444" s="15"/>
      <c r="B444" s="92" t="s">
        <v>187</v>
      </c>
      <c r="C444" s="45" t="s">
        <v>431</v>
      </c>
      <c r="D444" s="45" t="s">
        <v>196</v>
      </c>
      <c r="E444" s="46">
        <f>SUMIFS(Xuất出库!D:D,Xuất出库!G:G,B444,Xuất出库!C:C,D444)</f>
        <v>0</v>
      </c>
      <c r="F444" s="47">
        <f>SUMIFS(Xuất出库!E:E,Xuất出库!G:G,B444,Xuất出库!C:C,D444)+SUMIFS(Xuất出库!F:F,Xuất出库!G:G,B444,Xuất出库!C:C,D444)</f>
        <v>0</v>
      </c>
      <c r="G444" s="45"/>
      <c r="H444" s="47">
        <f>SUMIFS(Hoàn回库!E:E,Hoàn回库!G:G,B444,Hoàn回库!C:C,D444)+SUMIFS(Hoàn回库!F:F,Hoàn回库!G:G,B444,Hoàn回库!C:C,D444)</f>
        <v>0</v>
      </c>
      <c r="I444" s="47">
        <f>SUMIFS('Điều hàng调货'!E:E,'Điều hàng调货'!A:A,K444,'Điều hàng调货'!G:G,B444)*-1+SUMIFS('Điều hàng调货'!E:E,'Điều hàng调货'!A:A,K444,'Điều hàng调货'!H:H,B444)+SUMIFS('Điều hàng调货'!F:F,'Điều hàng调货'!A:A,K444,'Điều hàng调货'!G:G,B444)*-1+SUMIFS('Điều hàng调货'!F:F,'Điều hàng调货'!A:A,K444,'Điều hàng调货'!H:H,B444)</f>
        <v>16</v>
      </c>
      <c r="J444" s="47">
        <f t="shared" ref="J444:J454" si="23">F444-G444-H444+I444</f>
        <v>16</v>
      </c>
      <c r="K444" s="47">
        <f>VLOOKUP($D444,SKU!$A:$I,3,FALSE)</f>
        <v>10042</v>
      </c>
      <c r="L444" s="47" t="str">
        <f>VLOOKUP($D444,SKU!$A:$I,2,FALSE)</f>
        <v>黄油小熊系列收藏卡第二弹 小熊的观察日记</v>
      </c>
    </row>
    <row r="445" spans="1:12">
      <c r="A445" s="15"/>
      <c r="B445" s="94" t="s">
        <v>187</v>
      </c>
      <c r="C445" s="29" t="s">
        <v>431</v>
      </c>
      <c r="D445" s="29" t="s">
        <v>266</v>
      </c>
      <c r="E445" s="30">
        <f>SUMIFS(Xuất出库!D:D,Xuất出库!G:G,B445,Xuất出库!C:C,D445)</f>
        <v>0</v>
      </c>
      <c r="F445" s="31">
        <f>SUMIFS(Xuất出库!E:E,Xuất出库!G:G,B445,Xuất出库!C:C,D445)+SUMIFS(Xuất出库!F:F,Xuất出库!G:G,B445,Xuất出库!C:C,D445)</f>
        <v>0</v>
      </c>
      <c r="G445" s="29">
        <f>7+18</f>
        <v>25</v>
      </c>
      <c r="H445" s="31">
        <f>SUMIFS(Hoàn回库!E:E,Hoàn回库!G:G,B445,Hoàn回库!C:C,D445)+SUMIFS(Hoàn回库!F:F,Hoàn回库!G:G,B445,Hoàn回库!C:C,D445)</f>
        <v>0</v>
      </c>
      <c r="I445" s="31">
        <f>SUMIFS('Điều hàng调货'!E:E,'Điều hàng调货'!A:A,K445,'Điều hàng调货'!G:G,B445)*-1+SUMIFS('Điều hàng调货'!E:E,'Điều hàng调货'!A:A,K445,'Điều hàng调货'!H:H,B445)+SUMIFS('Điều hàng调货'!F:F,'Điều hàng调货'!A:A,K445,'Điều hàng调货'!G:G,B445)*-1+SUMIFS('Điều hàng调货'!F:F,'Điều hàng调货'!A:A,K445,'Điều hàng调货'!H:H,B445)</f>
        <v>25</v>
      </c>
      <c r="J445" s="31">
        <f t="shared" si="23"/>
        <v>0</v>
      </c>
      <c r="K445" s="31">
        <f>VLOOKUP($D445,SKU!$A:$I,3,FALSE)</f>
        <v>10066</v>
      </c>
      <c r="L445" s="31" t="str">
        <f>VLOOKUP($D445,SKU!$A:$I,2,FALSE)</f>
        <v>卡游柯南揭秘包第2弹</v>
      </c>
    </row>
    <row r="446" spans="1:12">
      <c r="A446" s="15"/>
      <c r="B446" s="94" t="s">
        <v>187</v>
      </c>
      <c r="C446" s="29" t="s">
        <v>431</v>
      </c>
      <c r="D446" s="29" t="s">
        <v>18</v>
      </c>
      <c r="E446" s="30">
        <f>SUMIFS(Xuất出库!D:D,Xuất出库!G:G,B446,Xuất出库!C:C,D446)</f>
        <v>0</v>
      </c>
      <c r="F446" s="31">
        <f>SUMIFS(Xuất出库!E:E,Xuất出库!G:G,B446,Xuất出库!C:C,D446)+SUMIFS(Xuất出库!F:F,Xuất出库!G:G,B446,Xuất出库!C:C,D446)</f>
        <v>0</v>
      </c>
      <c r="G446" s="29"/>
      <c r="H446" s="31">
        <f>SUMIFS(Hoàn回库!E:E,Hoàn回库!G:G,B446,Hoàn回库!C:C,D446)+SUMIFS(Hoàn回库!F:F,Hoàn回库!G:G,B446,Hoàn回库!C:C,D446)</f>
        <v>0</v>
      </c>
      <c r="I446" s="31">
        <f>SUMIFS('Điều hàng调货'!E:E,'Điều hàng调货'!A:A,K446,'Điều hàng调货'!G:G,B446)*-1+SUMIFS('Điều hàng调货'!E:E,'Điều hàng调货'!A:A,K446,'Điều hàng调货'!H:H,B446)+SUMIFS('Điều hàng调货'!F:F,'Điều hàng调货'!A:A,K446,'Điều hàng调货'!G:G,B446)*-1+SUMIFS('Điều hàng调货'!F:F,'Điều hàng调货'!A:A,K446,'Điều hàng调货'!H:H,B446)</f>
        <v>65</v>
      </c>
      <c r="J446" s="31">
        <f t="shared" si="23"/>
        <v>65</v>
      </c>
      <c r="K446" s="31">
        <f>VLOOKUP($D446,SKU!$A:$I,3,FALSE)</f>
        <v>10002</v>
      </c>
      <c r="L446" s="31" t="str">
        <f>VLOOKUP($D446,SKU!$A:$I,2,FALSE)</f>
        <v>MoonCard月卡《美少女战士》第三弹</v>
      </c>
    </row>
    <row r="447" spans="1:12">
      <c r="A447" s="15"/>
      <c r="B447" s="94" t="s">
        <v>187</v>
      </c>
      <c r="C447" s="29" t="s">
        <v>431</v>
      </c>
      <c r="D447" s="29" t="s">
        <v>91</v>
      </c>
      <c r="E447" s="30">
        <f>SUMIFS(Xuất出库!D:D,Xuất出库!G:G,B447,Xuất出库!C:C,D447)</f>
        <v>0</v>
      </c>
      <c r="F447" s="31">
        <f>SUMIFS(Xuất出库!E:E,Xuất出库!G:G,B447,Xuất出库!C:C,D447)+SUMIFS(Xuất出库!F:F,Xuất出库!G:G,B447,Xuất出库!C:C,D447)</f>
        <v>0</v>
      </c>
      <c r="G447" s="29"/>
      <c r="H447" s="31">
        <f>SUMIFS(Hoàn回库!E:E,Hoàn回库!G:G,B447,Hoàn回库!C:C,D447)+SUMIFS(Hoàn回库!F:F,Hoàn回库!G:G,B447,Hoàn回库!C:C,D447)</f>
        <v>0</v>
      </c>
      <c r="I447" s="31">
        <f>SUMIFS('Điều hàng调货'!E:E,'Điều hàng调货'!A:A,K447,'Điều hàng调货'!G:G,B447)*-1+SUMIFS('Điều hàng调货'!E:E,'Điều hàng调货'!A:A,K447,'Điều hàng调货'!H:H,B447)+SUMIFS('Điều hàng调货'!F:F,'Điều hàng调货'!A:A,K447,'Điều hàng调货'!G:G,B447)*-1+SUMIFS('Điều hàng调货'!F:F,'Điều hàng调货'!A:A,K447,'Điều hàng调货'!H:H,B447)</f>
        <v>0</v>
      </c>
      <c r="J447" s="31">
        <f t="shared" si="23"/>
        <v>0</v>
      </c>
      <c r="K447" s="31">
        <f>VLOOKUP($D447,SKU!$A:$I,3,FALSE)</f>
        <v>10016</v>
      </c>
      <c r="L447" s="31" t="str">
        <f>VLOOKUP($D447,SKU!$A:$I,2,FALSE)</f>
        <v>思梨普文创《hey!国王陛下》集换式艺术家典藏卡</v>
      </c>
    </row>
    <row r="448" spans="1:12">
      <c r="A448" s="15"/>
      <c r="B448" s="94" t="s">
        <v>187</v>
      </c>
      <c r="C448" s="29" t="s">
        <v>431</v>
      </c>
      <c r="D448" s="29" t="s">
        <v>184</v>
      </c>
      <c r="E448" s="30">
        <f>SUMIFS(Xuất出库!D:D,Xuất出库!G:G,B448,Xuất出库!C:C,D448)</f>
        <v>5</v>
      </c>
      <c r="F448" s="31">
        <f>SUMIFS(Xuất出库!E:E,Xuất出库!G:G,B448,Xuất出库!C:C,D448)+SUMIFS(Xuất出库!F:F,Xuất出库!G:G,B448,Xuất出库!C:C,D448)</f>
        <v>100</v>
      </c>
      <c r="G448" s="29">
        <f>20+20+78+60+231</f>
        <v>409</v>
      </c>
      <c r="H448" s="31">
        <f>SUMIFS(Hoàn回库!E:E,Hoàn回库!G:G,B448,Hoàn回库!C:C,D448)+SUMIFS(Hoàn回库!F:F,Hoàn回库!G:G,B448,Hoàn回库!C:C,D448)</f>
        <v>0</v>
      </c>
      <c r="I448" s="31">
        <f>SUMIFS('Điều hàng调货'!E:E,'Điều hàng调货'!A:A,K448,'Điều hàng调货'!G:G,B448)*-1+SUMIFS('Điều hàng调货'!E:E,'Điều hàng调货'!A:A,K448,'Điều hàng调货'!H:H,B448)+SUMIFS('Điều hàng调货'!F:F,'Điều hàng调货'!A:A,K448,'Điều hàng调货'!G:G,B448)*-1+SUMIFS('Điều hàng调货'!F:F,'Điều hàng调货'!A:A,K448,'Điều hàng调货'!H:H,B448)</f>
        <v>309</v>
      </c>
      <c r="J448" s="31">
        <f t="shared" si="23"/>
        <v>0</v>
      </c>
      <c r="K448" s="31">
        <f>VLOOKUP($D448,SKU!$A:$I,3,FALSE)</f>
        <v>10039</v>
      </c>
      <c r="L448" s="31" t="str">
        <f>VLOOKUP($D448,SKU!$A:$I,2,FALSE)</f>
        <v>非凡航海王第五弹</v>
      </c>
    </row>
    <row r="449" spans="1:12">
      <c r="A449" s="15"/>
      <c r="B449" s="94" t="s">
        <v>187</v>
      </c>
      <c r="C449" s="29" t="s">
        <v>431</v>
      </c>
      <c r="D449" s="29" t="s">
        <v>207</v>
      </c>
      <c r="E449" s="30">
        <f>SUMIFS(Xuất出库!D:D,Xuất出库!G:G,B449,Xuất出库!C:C,D449)</f>
        <v>0</v>
      </c>
      <c r="F449" s="31">
        <f>SUMIFS(Xuất出库!E:E,Xuất出库!G:G,B449,Xuất出库!C:C,D449)+SUMIFS(Xuất出库!F:F,Xuất出库!G:G,B449,Xuất出库!C:C,D449)</f>
        <v>0</v>
      </c>
      <c r="G449" s="29"/>
      <c r="H449" s="31">
        <f>SUMIFS(Hoàn回库!E:E,Hoàn回库!G:G,B449,Hoàn回库!C:C,D449)+SUMIFS(Hoàn回库!F:F,Hoàn回库!G:G,B449,Hoàn回库!C:C,D449)</f>
        <v>0</v>
      </c>
      <c r="I449" s="31">
        <f>SUMIFS('Điều hàng调货'!E:E,'Điều hàng调货'!A:A,K449,'Điều hàng调货'!G:G,B449)*-1+SUMIFS('Điều hàng调货'!E:E,'Điều hàng调货'!A:A,K449,'Điều hàng调货'!H:H,B449)+SUMIFS('Điều hàng调货'!F:F,'Điều hàng调货'!A:A,K449,'Điều hàng调货'!G:G,B449)*-1+SUMIFS('Điều hàng调货'!F:F,'Điều hàng调货'!A:A,K449,'Điều hàng调货'!H:H,B449)</f>
        <v>4</v>
      </c>
      <c r="J449" s="31">
        <f t="shared" si="23"/>
        <v>4</v>
      </c>
      <c r="K449" s="31">
        <f>VLOOKUP($D449,SKU!$A:$I,3,FALSE)</f>
        <v>10046</v>
      </c>
      <c r="L449" s="31" t="str">
        <f>VLOOKUP($D449,SKU!$A:$I,2,FALSE)</f>
        <v>夜灯</v>
      </c>
    </row>
    <row r="450" spans="1:12">
      <c r="A450" s="15"/>
      <c r="B450" s="94" t="s">
        <v>187</v>
      </c>
      <c r="C450" s="29" t="s">
        <v>431</v>
      </c>
      <c r="D450" s="29" t="s">
        <v>367</v>
      </c>
      <c r="E450" s="30">
        <f>SUMIFS(Xuất出库!D:D,Xuất出库!G:G,B450,Xuất出库!C:C,D450)</f>
        <v>0</v>
      </c>
      <c r="F450" s="31">
        <f>SUMIFS(Xuất出库!E:E,Xuất出库!G:G,B450,Xuất出库!C:C,D450)+SUMIFS(Xuất出库!F:F,Xuất出库!G:G,B450,Xuất出库!C:C,D450)</f>
        <v>0</v>
      </c>
      <c r="G450" s="29">
        <v>1</v>
      </c>
      <c r="H450" s="31">
        <f>SUMIFS(Hoàn回库!E:E,Hoàn回库!G:G,B450,Hoàn回库!C:C,D450)+SUMIFS(Hoàn回库!F:F,Hoàn回库!G:G,B450,Hoàn回库!C:C,D450)</f>
        <v>0</v>
      </c>
      <c r="I450" s="31">
        <f>SUMIFS('Điều hàng调货'!E:E,'Điều hàng调货'!A:A,K450,'Điều hàng调货'!G:G,B450)*-1+SUMIFS('Điều hàng调货'!E:E,'Điều hàng调货'!A:A,K450,'Điều hàng调货'!H:H,B450)+SUMIFS('Điều hàng调货'!F:F,'Điều hàng调货'!A:A,K450,'Điều hàng调货'!G:G,B450)*-1+SUMIFS('Điều hàng调货'!F:F,'Điều hàng调货'!A:A,K450,'Điều hàng调货'!H:H,B450)</f>
        <v>20</v>
      </c>
      <c r="J450" s="31">
        <f t="shared" si="23"/>
        <v>19</v>
      </c>
      <c r="K450" s="31">
        <f>VLOOKUP($D450,SKU!$A:$I,3,FALSE)</f>
        <v>10103</v>
      </c>
      <c r="L450" s="31" t="str">
        <f>VLOOKUP($D450,SKU!$A:$I,2,FALSE)</f>
        <v>疯狂动物城白金收藏卡狐兔神探</v>
      </c>
    </row>
    <row r="451" spans="1:12">
      <c r="A451" s="15"/>
      <c r="B451" s="94" t="s">
        <v>187</v>
      </c>
      <c r="C451" s="29" t="s">
        <v>431</v>
      </c>
      <c r="D451" s="29" t="s">
        <v>319</v>
      </c>
      <c r="E451" s="30">
        <f>SUMIFS(Xuất出库!D:D,Xuất出库!G:G,B451,Xuất出库!C:C,D451)</f>
        <v>20</v>
      </c>
      <c r="F451" s="31">
        <f>SUMIFS(Xuất出库!E:E,Xuất出库!G:G,B451,Xuất出库!C:C,D451)+SUMIFS(Xuất出库!F:F,Xuất出库!G:G,B451,Xuất出库!C:C,D451)</f>
        <v>20</v>
      </c>
      <c r="G451" s="29">
        <v>2</v>
      </c>
      <c r="H451" s="31">
        <f>SUMIFS(Hoàn回库!E:E,Hoàn回库!G:G,B451,Hoàn回库!C:C,D451)+SUMIFS(Hoàn回库!F:F,Hoàn回库!G:G,B451,Hoàn回库!C:C,D451)</f>
        <v>0</v>
      </c>
      <c r="I451" s="31">
        <f>SUMIFS('Điều hàng调货'!E:E,'Điều hàng调货'!A:A,K451,'Điều hàng调货'!G:G,B451)*-1+SUMIFS('Điều hàng调货'!E:E,'Điều hàng调货'!A:A,K451,'Điều hàng调货'!H:H,B451)+SUMIFS('Điều hàng调货'!F:F,'Điều hàng调货'!A:A,K451,'Điều hàng调货'!G:G,B451)*-1+SUMIFS('Điều hàng调货'!F:F,'Điều hàng调货'!A:A,K451,'Điều hàng调货'!H:H,B451)</f>
        <v>0</v>
      </c>
      <c r="J451" s="31">
        <f t="shared" si="23"/>
        <v>18</v>
      </c>
      <c r="K451" s="31">
        <f>VLOOKUP($D451,SKU!$A:$I,3,FALSE)</f>
        <v>10086</v>
      </c>
      <c r="L451" s="31" t="str">
        <f>VLOOKUP($D451,SKU!$A:$I,2,FALSE)</f>
        <v>【潮迷文创】名侦探柯南-危险排队-周边创意艺术色纸</v>
      </c>
    </row>
    <row r="452" ht="15.75" spans="1:12">
      <c r="A452" s="15"/>
      <c r="B452" s="93" t="s">
        <v>187</v>
      </c>
      <c r="C452" s="18" t="s">
        <v>431</v>
      </c>
      <c r="D452" s="18" t="s">
        <v>143</v>
      </c>
      <c r="E452" s="50">
        <f>SUMIFS(Xuất出库!D:D,Xuất出库!G:G,B452,Xuất出库!C:C,D452)</f>
        <v>0</v>
      </c>
      <c r="F452" s="51">
        <f>SUMIFS(Xuất出库!E:E,Xuất出库!G:G,B452,Xuất出库!C:C,D452)+SUMIFS(Xuất出库!F:F,Xuất出库!G:G,B452,Xuất出库!C:C,D452)</f>
        <v>0</v>
      </c>
      <c r="G452" s="18"/>
      <c r="H452" s="51">
        <f>SUMIFS(Hoàn回库!E:E,Hoàn回库!G:G,B452,Hoàn回库!C:C,D452)+SUMIFS(Hoàn回库!F:F,Hoàn回库!G:G,B452,Hoàn回库!C:C,D452)</f>
        <v>0</v>
      </c>
      <c r="I452" s="51">
        <f>SUMIFS('Điều hàng调货'!E:E,'Điều hàng调货'!A:A,K452,'Điều hàng调货'!G:G,B452)*-1+SUMIFS('Điều hàng调货'!E:E,'Điều hàng调货'!A:A,K452,'Điều hàng调货'!H:H,B452)+SUMIFS('Điều hàng调货'!F:F,'Điều hàng调货'!A:A,K452,'Điều hàng调货'!G:G,B452)*-1+SUMIFS('Điều hàng调货'!F:F,'Điều hàng调货'!A:A,K452,'Điều hàng调货'!H:H,B452)</f>
        <v>0</v>
      </c>
      <c r="J452" s="51">
        <f t="shared" si="23"/>
        <v>0</v>
      </c>
      <c r="K452" s="51">
        <f>VLOOKUP($D452,SKU!$A:$I,3,FALSE)</f>
        <v>10029</v>
      </c>
      <c r="L452" s="51" t="str">
        <f>VLOOKUP($D452,SKU!$A:$I,2,FALSE)</f>
        <v>樱花屋魔卡少女樱</v>
      </c>
    </row>
    <row r="453" ht="15.75" spans="1:12">
      <c r="A453" s="15"/>
      <c r="B453" s="97" t="s">
        <v>154</v>
      </c>
      <c r="C453" s="98" t="s">
        <v>431</v>
      </c>
      <c r="D453" s="45" t="s">
        <v>196</v>
      </c>
      <c r="E453" s="99">
        <f>SUMIFS(Xuất出库!D:D,Xuất出库!G:G,B453,Xuất出库!C:C,D453)</f>
        <v>5</v>
      </c>
      <c r="F453" s="100">
        <f>SUMIFS(Xuất出库!E:E,Xuất出库!G:G,B453,Xuất出库!C:C,D453)+SUMIFS(Xuất出库!F:F,Xuất出库!G:G,B453,Xuất出库!C:C,D453)</f>
        <v>80</v>
      </c>
      <c r="G453" s="98"/>
      <c r="H453" s="101">
        <f>SUMIFS(Hoàn回库!E:E,Hoàn回库!G:G,B453,Hoàn回库!C:C,D453)+SUMIFS(Hoàn回库!F:F,Hoàn回库!G:G,B453,Hoàn回库!C:C,D453)</f>
        <v>0</v>
      </c>
      <c r="I453" s="100">
        <f>SUMIFS('Điều hàng调货'!E:E,'Điều hàng调货'!A:A,K453,'Điều hàng调货'!G:G,B453)*-1+SUMIFS('Điều hàng调货'!E:E,'Điều hàng调货'!A:A,K453,'Điều hàng调货'!H:H,B453)+SUMIFS('Điều hàng调货'!F:F,'Điều hàng调货'!A:A,K453,'Điều hàng调货'!G:G,B453)*-1+SUMIFS('Điều hàng调货'!F:F,'Điều hàng调货'!A:A,K453,'Điều hàng调货'!H:H,B453)</f>
        <v>-80</v>
      </c>
      <c r="J453" s="100">
        <f t="shared" ref="J453:J463" si="24">F453-G453-H453+I453</f>
        <v>0</v>
      </c>
      <c r="K453" s="101">
        <f>VLOOKUP($D453,SKU!$A:$I,3,FALSE)</f>
        <v>10042</v>
      </c>
      <c r="L453" s="101" t="str">
        <f>VLOOKUP($D453,SKU!$A:$I,2,FALSE)</f>
        <v>黄油小熊系列收藏卡第二弹 小熊的观察日记</v>
      </c>
    </row>
    <row r="454" spans="1:12">
      <c r="A454" s="15"/>
      <c r="B454" s="102" t="s">
        <v>154</v>
      </c>
      <c r="C454" s="91" t="s">
        <v>431</v>
      </c>
      <c r="D454" s="29" t="s">
        <v>179</v>
      </c>
      <c r="E454" s="13">
        <f>SUMIFS(Xuất出库!D:D,Xuất出库!G:G,B454,Xuất出库!C:C,D454)</f>
        <v>0</v>
      </c>
      <c r="F454" s="14">
        <f>SUMIFS(Xuất出库!E:E,Xuất出库!G:G,B454,Xuất出库!C:C,D454)+SUMIFS(Xuất出库!F:F,Xuất出库!G:G,B454,Xuất出库!C:C,D454)</f>
        <v>0</v>
      </c>
      <c r="G454" s="91">
        <f>2+3+2</f>
        <v>7</v>
      </c>
      <c r="H454" s="103">
        <f>SUMIFS(Hoàn回库!E:E,Hoàn回库!G:G,B454,Hoàn回库!C:C,D454)+SUMIFS(Hoàn回库!F:F,Hoàn回库!G:G,B454,Hoàn回库!C:C,D454)</f>
        <v>0</v>
      </c>
      <c r="I454" s="14">
        <f>SUMIFS('Điều hàng调货'!E:E,'Điều hàng调货'!A:A,K454,'Điều hàng调货'!G:G,B454)*-1+SUMIFS('Điều hàng调货'!E:E,'Điều hàng调货'!A:A,K454,'Điều hàng调货'!H:H,B454)+SUMIFS('Điều hàng调货'!F:F,'Điều hàng调货'!A:A,K454,'Điều hàng调货'!G:G,B454)*-1+SUMIFS('Điều hàng调货'!F:F,'Điều hàng调货'!A:A,K454,'Điều hàng调货'!H:H,B454)</f>
        <v>16</v>
      </c>
      <c r="J454" s="14">
        <f t="shared" si="24"/>
        <v>9</v>
      </c>
      <c r="K454" s="103">
        <f>VLOOKUP($D454,SKU!$A:$I,3,FALSE)</f>
        <v>10038</v>
      </c>
      <c r="L454" s="103" t="str">
        <f>VLOOKUP($D454,SKU!$A:$I,2,FALSE)</f>
        <v>浮光工作室❤第三弹【夏风吻过你的睫毛】</v>
      </c>
    </row>
    <row r="455" spans="1:12">
      <c r="A455" s="15"/>
      <c r="B455" s="102" t="s">
        <v>154</v>
      </c>
      <c r="C455" s="91" t="s">
        <v>431</v>
      </c>
      <c r="D455" s="29" t="s">
        <v>143</v>
      </c>
      <c r="E455" s="13">
        <f>SUMIFS(Xuất出库!D:D,Xuất出库!G:G,B455,Xuất出库!C:C,D455)</f>
        <v>5</v>
      </c>
      <c r="F455" s="14">
        <f>SUMIFS(Xuất出库!E:E,Xuất出库!G:G,B455,Xuất出库!C:C,D455)+SUMIFS(Xuất出库!F:F,Xuất出库!G:G,B455,Xuất出库!C:C,D455)</f>
        <v>60</v>
      </c>
      <c r="G455" s="91"/>
      <c r="H455" s="103">
        <f>SUMIFS(Hoàn回库!E:E,Hoàn回库!G:G,B455,Hoàn回库!C:C,D455)+SUMIFS(Hoàn回库!F:F,Hoàn回库!G:G,B455,Hoàn回库!C:C,D455)</f>
        <v>0</v>
      </c>
      <c r="I455" s="14">
        <f>SUMIFS('Điều hàng调货'!E:E,'Điều hàng调货'!A:A,K455,'Điều hàng调货'!G:G,B455)*-1+SUMIFS('Điều hàng调货'!E:E,'Điều hàng调货'!A:A,K455,'Điều hàng调货'!H:H,B455)+SUMIFS('Điều hàng调货'!F:F,'Điều hàng调货'!A:A,K455,'Điều hàng调货'!G:G,B455)*-1+SUMIFS('Điều hàng调货'!F:F,'Điều hàng调货'!A:A,K455,'Điều hàng调货'!H:H,B455)</f>
        <v>-60</v>
      </c>
      <c r="J455" s="14">
        <f t="shared" si="24"/>
        <v>0</v>
      </c>
      <c r="K455" s="103">
        <f>VLOOKUP($D455,SKU!$A:$I,3,FALSE)</f>
        <v>10029</v>
      </c>
      <c r="L455" s="103" t="str">
        <f>VLOOKUP($D455,SKU!$A:$I,2,FALSE)</f>
        <v>樱花屋魔卡少女樱</v>
      </c>
    </row>
    <row r="456" spans="1:12">
      <c r="A456" s="15"/>
      <c r="B456" s="102" t="s">
        <v>154</v>
      </c>
      <c r="C456" s="91" t="s">
        <v>431</v>
      </c>
      <c r="D456" s="29" t="s">
        <v>271</v>
      </c>
      <c r="E456" s="13">
        <f>SUMIFS(Xuất出库!D:D,Xuất出库!G:G,B456,Xuất出库!C:C,D456)</f>
        <v>100</v>
      </c>
      <c r="F456" s="14">
        <f>SUMIFS(Xuất出库!E:E,Xuất出库!G:G,B456,Xuất出库!C:C,D456)+SUMIFS(Xuất出库!F:F,Xuất出库!G:G,B456,Xuất出库!C:C,D456)</f>
        <v>100</v>
      </c>
      <c r="G456" s="91"/>
      <c r="H456" s="103">
        <f>SUMIFS(Hoàn回库!E:E,Hoàn回库!G:G,B456,Hoàn回库!C:C,D456)+SUMIFS(Hoàn回库!F:F,Hoàn回库!G:G,B456,Hoàn回库!C:C,D456)</f>
        <v>0</v>
      </c>
      <c r="I456" s="14">
        <f>SUMIFS('Điều hàng调货'!E:E,'Điều hàng调货'!A:A,K456,'Điều hàng调货'!G:G,B456)*-1+SUMIFS('Điều hàng调货'!E:E,'Điều hàng调货'!A:A,K456,'Điều hàng调货'!H:H,B456)+SUMIFS('Điều hàng调货'!F:F,'Điều hàng调货'!A:A,K456,'Điều hàng调货'!G:G,B456)*-1+SUMIFS('Điều hàng调货'!F:F,'Điều hàng调货'!A:A,K456,'Điều hàng调货'!H:H,B456)</f>
        <v>-50</v>
      </c>
      <c r="J456" s="14">
        <f t="shared" si="24"/>
        <v>50</v>
      </c>
      <c r="K456" s="103">
        <f>VLOOKUP($D456,SKU!$A:$I,3,FALSE)</f>
        <v>10068</v>
      </c>
      <c r="L456" s="103" t="str">
        <f>VLOOKUP($D456,SKU!$A:$I,2,FALSE)</f>
        <v>《竹影摇笺》耽美撕撕乐系列</v>
      </c>
    </row>
    <row r="457" spans="1:12">
      <c r="A457" s="15"/>
      <c r="B457" s="102" t="s">
        <v>154</v>
      </c>
      <c r="C457" s="91" t="s">
        <v>431</v>
      </c>
      <c r="D457" s="29" t="s">
        <v>131</v>
      </c>
      <c r="E457" s="13">
        <f>SUMIFS(Xuất出库!D:D,Xuất出库!G:G,B457,Xuất出库!C:C,D457)</f>
        <v>0</v>
      </c>
      <c r="F457" s="14">
        <f>SUMIFS(Xuất出库!E:E,Xuất出库!G:G,B457,Xuất出库!C:C,D457)+SUMIFS(Xuất出库!F:F,Xuất出库!G:G,B457,Xuất出库!C:C,D457)</f>
        <v>0</v>
      </c>
      <c r="G457" s="91">
        <v>2</v>
      </c>
      <c r="H457" s="103">
        <f>SUMIFS(Hoàn回库!E:E,Hoàn回库!G:G,B457,Hoàn回库!C:C,D457)+SUMIFS(Hoàn回库!F:F,Hoàn回库!G:G,B457,Hoàn回库!C:C,D457)</f>
        <v>0</v>
      </c>
      <c r="I457" s="14">
        <f>SUMIFS('Điều hàng调货'!E:E,'Điều hàng调货'!A:A,K457,'Điều hàng调货'!G:G,B457)*-1+SUMIFS('Điều hàng调货'!E:E,'Điều hàng调货'!A:A,K457,'Điều hàng调货'!H:H,B457)+SUMIFS('Điều hàng调货'!F:F,'Điều hàng调货'!A:A,K457,'Điều hàng调货'!G:G,B457)*-1+SUMIFS('Điều hàng调货'!F:F,'Điều hàng调货'!A:A,K457,'Điều hàng调货'!H:H,B457)</f>
        <v>10</v>
      </c>
      <c r="J457" s="14">
        <f t="shared" si="24"/>
        <v>8</v>
      </c>
      <c r="K457" s="103">
        <f>VLOOKUP($D457,SKU!$A:$I,3,FALSE)</f>
        <v>10026</v>
      </c>
      <c r="L457" s="103" t="str">
        <f>VLOOKUP($D457,SKU!$A:$I,2,FALSE)</f>
        <v>星恋文创·恋与深空《晦明交错之间》亚克力相框卡</v>
      </c>
    </row>
    <row r="458" ht="15.75" spans="1:12">
      <c r="A458" s="15"/>
      <c r="B458" s="104" t="s">
        <v>154</v>
      </c>
      <c r="C458" s="18" t="s">
        <v>431</v>
      </c>
      <c r="D458" s="18" t="s">
        <v>91</v>
      </c>
      <c r="E458" s="20">
        <f>SUMIFS(Xuất出库!D:D,Xuất出库!G:G,B458,Xuất出库!C:C,D458)</f>
        <v>0</v>
      </c>
      <c r="F458" s="21">
        <f>SUMIFS(Xuất出库!E:E,Xuất出库!G:G,B458,Xuất出库!C:C,D458)+SUMIFS(Xuất出库!F:F,Xuất出库!G:G,B458,Xuất出库!C:C,D458)</f>
        <v>0</v>
      </c>
      <c r="G458" s="18"/>
      <c r="H458" s="51">
        <f>SUMIFS(Hoàn回库!E:E,Hoàn回库!G:G,B458,Hoàn回库!C:C,D458)+SUMIFS(Hoàn回库!F:F,Hoàn回库!G:G,B458,Hoàn回库!C:C,D458)</f>
        <v>0</v>
      </c>
      <c r="I458" s="21">
        <f>SUMIFS('Điều hàng调货'!E:E,'Điều hàng调货'!A:A,K458,'Điều hàng调货'!G:G,B458)*-1+SUMIFS('Điều hàng调货'!E:E,'Điều hàng调货'!A:A,K458,'Điều hàng调货'!H:H,B458)+SUMIFS('Điều hàng调货'!F:F,'Điều hàng调货'!A:A,K458,'Điều hàng调货'!G:G,B458)*-1+SUMIFS('Điều hàng调货'!F:F,'Điều hàng调货'!A:A,K458,'Điều hàng调货'!H:H,B458)</f>
        <v>0</v>
      </c>
      <c r="J458" s="21">
        <f t="shared" si="24"/>
        <v>0</v>
      </c>
      <c r="K458" s="51">
        <f>VLOOKUP($D458,SKU!$A:$I,3,FALSE)</f>
        <v>10016</v>
      </c>
      <c r="L458" s="51" t="str">
        <f>VLOOKUP($D458,SKU!$A:$I,2,FALSE)</f>
        <v>思梨普文创《hey!国王陛下》集换式艺术家典藏卡</v>
      </c>
    </row>
    <row r="459" ht="15.75" spans="1:12">
      <c r="A459" s="6"/>
      <c r="B459" s="80" t="s">
        <v>69</v>
      </c>
      <c r="C459" s="23" t="s">
        <v>408</v>
      </c>
      <c r="D459" s="23" t="s">
        <v>83</v>
      </c>
      <c r="E459" s="24">
        <f>SUMIFS(Xuất出库!D:D,Xuất出库!G:G,B459,Xuất出库!C:C,D459)</f>
        <v>30</v>
      </c>
      <c r="F459" s="25">
        <f>SUMIFS(Xuất出库!E:E,Xuất出库!G:G,B459,Xuất出库!C:C,D459)+SUMIFS(Xuất出库!F:F,Xuất出库!G:G,B459,Xuất出库!C:C,D459)</f>
        <v>90</v>
      </c>
      <c r="G459" s="23">
        <f>12+3</f>
        <v>15</v>
      </c>
      <c r="H459" s="25">
        <f>SUMIFS(Hoàn回库!E:E,Hoàn回库!G:G,B459,Hoàn回库!C:C,D459)+SUMIFS(Hoàn回库!F:F,Hoàn回库!G:G,B459,Hoàn回库!C:C,D459)</f>
        <v>75</v>
      </c>
      <c r="I459" s="25">
        <f>SUMIFS('Điều hàng调货'!E:E,'Điều hàng调货'!A:A,K459,'Điều hàng调货'!G:G,B459)*-1+SUMIFS('Điều hàng调货'!E:E,'Điều hàng调货'!A:A,K459,'Điều hàng调货'!H:H,B459)+SUMIFS('Điều hàng调货'!F:F,'Điều hàng调货'!A:A,K459,'Điều hàng调货'!G:G,B459)*-1+SUMIFS('Điều hàng调货'!F:F,'Điều hàng调货'!A:A,K459,'Điều hàng调货'!H:H,B459)</f>
        <v>0</v>
      </c>
      <c r="J459" s="25">
        <f t="shared" ref="J459:J509" si="25">F459-G459-H459+I459</f>
        <v>0</v>
      </c>
      <c r="K459" s="25">
        <f>VLOOKUP($D459,SKU!$A:$I,3,FALSE)</f>
        <v>10014</v>
      </c>
      <c r="L459" s="25" t="str">
        <f>VLOOKUP($D459,SKU!$A:$I,2,FALSE)</f>
        <v>星梦文创-Studio Ghibli宫崎骏撕撕乐系列 </v>
      </c>
    </row>
    <row r="460" spans="1:12">
      <c r="A460" s="6"/>
      <c r="B460" s="81" t="s">
        <v>69</v>
      </c>
      <c r="C460" s="6" t="s">
        <v>408</v>
      </c>
      <c r="D460" s="6" t="s">
        <v>43</v>
      </c>
      <c r="E460" s="8">
        <f>SUMIFS(Xuất出库!D:D,Xuất出库!G:G,B460,Xuất出库!C:C,D460)</f>
        <v>11</v>
      </c>
      <c r="F460" s="9">
        <f>SUMIFS(Xuất出库!E:E,Xuất出库!G:G,B460,Xuất出库!C:C,D460)+SUMIFS(Xuất出库!F:F,Xuất出库!G:G,B460,Xuất出库!C:C,D460)</f>
        <v>143</v>
      </c>
      <c r="G460" s="6">
        <v>77</v>
      </c>
      <c r="H460" s="9">
        <f>SUMIFS(Hoàn回库!E:E,Hoàn回库!G:G,B460,Hoàn回库!C:C,D460)+SUMIFS(Hoàn回库!F:F,Hoàn回库!G:G,B460,Hoàn回库!C:C,D460)</f>
        <v>66</v>
      </c>
      <c r="I460" s="9">
        <f>SUMIFS('Điều hàng调货'!E:E,'Điều hàng调货'!A:A,K460,'Điều hàng调货'!G:G,B460)*-1+SUMIFS('Điều hàng调货'!E:E,'Điều hàng调货'!A:A,K460,'Điều hàng调货'!H:H,B460)+SUMIFS('Điều hàng调货'!F:F,'Điều hàng调货'!A:A,K460,'Điều hàng调货'!G:G,B460)*-1+SUMIFS('Điều hàng调货'!F:F,'Điều hàng调货'!A:A,K460,'Điều hàng调货'!H:H,B460)</f>
        <v>0</v>
      </c>
      <c r="J460" s="9">
        <f t="shared" si="25"/>
        <v>0</v>
      </c>
      <c r="K460" s="9">
        <f>VLOOKUP($D460,SKU!$A:$I,3,FALSE)</f>
        <v>10006</v>
      </c>
      <c r="L460" s="9" t="str">
        <f>VLOOKUP($D460,SKU!$A:$I,2,FALSE)</f>
        <v>云映文化「云之境の夏」第二弹·宫崎骏珍藏卡牌</v>
      </c>
    </row>
    <row r="461" spans="1:12">
      <c r="A461" s="6"/>
      <c r="B461" s="81" t="s">
        <v>69</v>
      </c>
      <c r="C461" s="6" t="s">
        <v>408</v>
      </c>
      <c r="D461" s="6" t="s">
        <v>184</v>
      </c>
      <c r="E461" s="8">
        <f>SUMIFS(Xuất出库!D:D,Xuất出库!G:G,B461,Xuất出库!C:C,D461)</f>
        <v>144</v>
      </c>
      <c r="F461" s="9">
        <f>SUMIFS(Xuất出库!E:E,Xuất出库!G:G,B461,Xuất出库!C:C,D461)+SUMIFS(Xuất出库!F:F,Xuất出库!G:G,B461,Xuất出库!C:C,D461)</f>
        <v>2880</v>
      </c>
      <c r="G461" s="6">
        <f>48</f>
        <v>48</v>
      </c>
      <c r="H461" s="9">
        <f>SUMIFS(Hoàn回库!E:E,Hoàn回库!G:G,B461,Hoàn回库!C:C,D461)+SUMIFS(Hoàn回库!F:F,Hoàn回库!G:G,B461,Hoàn回库!C:C,D461)</f>
        <v>2832</v>
      </c>
      <c r="I461" s="9">
        <f>SUMIFS('Điều hàng调货'!E:E,'Điều hàng调货'!A:A,K461,'Điều hàng调货'!G:G,B461)*-1+SUMIFS('Điều hàng调货'!E:E,'Điều hàng调货'!A:A,K461,'Điều hàng调货'!H:H,B461)+SUMIFS('Điều hàng调货'!F:F,'Điều hàng调货'!A:A,K461,'Điều hàng调货'!G:G,B461)*-1+SUMIFS('Điều hàng调货'!F:F,'Điều hàng调货'!A:A,K461,'Điều hàng调货'!H:H,B461)</f>
        <v>0</v>
      </c>
      <c r="J461" s="9">
        <f t="shared" si="25"/>
        <v>0</v>
      </c>
      <c r="K461" s="9">
        <f>VLOOKUP($D461,SKU!$A:$I,3,FALSE)</f>
        <v>10039</v>
      </c>
      <c r="L461" s="9" t="str">
        <f>VLOOKUP($D461,SKU!$A:$I,2,FALSE)</f>
        <v>非凡航海王第五弹</v>
      </c>
    </row>
    <row r="462" spans="1:12">
      <c r="A462" s="6"/>
      <c r="B462" s="81" t="s">
        <v>69</v>
      </c>
      <c r="C462" s="6" t="s">
        <v>408</v>
      </c>
      <c r="D462" s="6" t="s">
        <v>36</v>
      </c>
      <c r="E462" s="8">
        <f>SUMIFS(Xuất出库!D:D,Xuất出库!G:G,B462,Xuất出库!C:C,D462)</f>
        <v>20</v>
      </c>
      <c r="F462" s="9">
        <f>SUMIFS(Xuất出库!E:E,Xuất出库!G:G,B462,Xuất出库!C:C,D462)+SUMIFS(Xuất出库!F:F,Xuất出库!G:G,B462,Xuất出库!C:C,D462)</f>
        <v>20</v>
      </c>
      <c r="G462" s="6">
        <v>6</v>
      </c>
      <c r="H462" s="9">
        <f>SUMIFS(Hoàn回库!E:E,Hoàn回库!G:G,B462,Hoàn回库!C:C,D462)+SUMIFS(Hoàn回库!F:F,Hoàn回库!G:G,B462,Hoàn回库!C:C,D462)</f>
        <v>14</v>
      </c>
      <c r="I462" s="9">
        <f>SUMIFS('Điều hàng调货'!E:E,'Điều hàng调货'!A:A,K462,'Điều hàng调货'!G:G,B462)*-1+SUMIFS('Điều hàng调货'!E:E,'Điều hàng调货'!A:A,K462,'Điều hàng调货'!H:H,B462)+SUMIFS('Điều hàng调货'!F:F,'Điều hàng调货'!A:A,K462,'Điều hàng调货'!G:G,B462)*-1+SUMIFS('Điều hàng调货'!F:F,'Điều hàng调货'!A:A,K462,'Điều hàng调货'!H:H,B462)</f>
        <v>0</v>
      </c>
      <c r="J462" s="9">
        <f t="shared" si="25"/>
        <v>0</v>
      </c>
      <c r="K462" s="9">
        <f>VLOOKUP($D462,SKU!$A:$I,3,FALSE)</f>
        <v>10005</v>
      </c>
      <c r="L462" s="9" t="str">
        <f>VLOOKUP($D462,SKU!$A:$I,2,FALSE)</f>
        <v>椿柚文创宫崎骏 被风吹散的秘密邮票第一弹</v>
      </c>
    </row>
    <row r="463" spans="1:12">
      <c r="A463" s="6"/>
      <c r="B463" s="81" t="s">
        <v>69</v>
      </c>
      <c r="C463" s="6" t="s">
        <v>408</v>
      </c>
      <c r="D463" s="6" t="s">
        <v>119</v>
      </c>
      <c r="E463" s="8">
        <f>SUMIFS(Xuất出库!D:D,Xuất出库!G:G,B463,Xuất出库!C:C,D463)</f>
        <v>20</v>
      </c>
      <c r="F463" s="9">
        <f>SUMIFS(Xuất出库!E:E,Xuất出库!G:G,B463,Xuất出库!C:C,D463)+SUMIFS(Xuất出库!F:F,Xuất出库!G:G,B463,Xuất出库!C:C,D463)</f>
        <v>20</v>
      </c>
      <c r="G463" s="6">
        <v>3</v>
      </c>
      <c r="H463" s="9">
        <f>SUMIFS(Hoàn回库!E:E,Hoàn回库!G:G,B463,Hoàn回库!C:C,D463)+SUMIFS(Hoàn回库!F:F,Hoàn回库!G:G,B463,Hoàn回库!C:C,D463)</f>
        <v>17</v>
      </c>
      <c r="I463" s="9">
        <f>SUMIFS('Điều hàng调货'!E:E,'Điều hàng调货'!A:A,K463,'Điều hàng调货'!G:G,B463)*-1+SUMIFS('Điều hàng调货'!E:E,'Điều hàng调货'!A:A,K463,'Điều hàng调货'!H:H,B463)+SUMIFS('Điều hàng调货'!F:F,'Điều hàng调货'!A:A,K463,'Điều hàng调货'!G:G,B463)*-1+SUMIFS('Điều hàng调货'!F:F,'Điều hàng调货'!A:A,K463,'Điều hàng调货'!H:H,B463)</f>
        <v>0</v>
      </c>
      <c r="J463" s="9">
        <f t="shared" si="25"/>
        <v>0</v>
      </c>
      <c r="K463" s="9">
        <f>VLOOKUP($D463,SKU!$A:$I,3,FALSE)</f>
        <v>10023</v>
      </c>
      <c r="L463" s="9" t="str">
        <f>VLOOKUP($D463,SKU!$A:$I,2,FALSE)</f>
        <v>风信文创尘世相逢之约星光来信原神邮票第一弹</v>
      </c>
    </row>
    <row r="464" ht="15.75" spans="1:12">
      <c r="A464" s="6"/>
      <c r="B464" s="82" t="s">
        <v>69</v>
      </c>
      <c r="C464" s="43" t="s">
        <v>408</v>
      </c>
      <c r="D464" s="43" t="s">
        <v>188</v>
      </c>
      <c r="E464" s="20">
        <f>SUMIFS(Xuất出库!D:D,Xuất出库!G:G,B464,Xuất出库!C:C,D464)</f>
        <v>5</v>
      </c>
      <c r="F464" s="21">
        <f>SUMIFS(Xuất出库!E:E,Xuất出库!G:G,B464,Xuất出库!C:C,D464)+SUMIFS(Xuất出库!F:F,Xuất出库!G:G,B464,Xuất出库!C:C,D464)</f>
        <v>55</v>
      </c>
      <c r="G464" s="43">
        <v>22</v>
      </c>
      <c r="H464" s="21">
        <f>SUMIFS(Hoàn回库!E:E,Hoàn回库!G:G,B464,Hoàn回库!C:C,D464)+SUMIFS(Hoàn回库!F:F,Hoàn回库!G:G,B464,Hoàn回库!C:C,D464)</f>
        <v>33</v>
      </c>
      <c r="I464" s="21">
        <f>SUMIFS('Điều hàng调货'!E:E,'Điều hàng调货'!A:A,K464,'Điều hàng调货'!G:G,B464)*-1+SUMIFS('Điều hàng调货'!E:E,'Điều hàng调货'!A:A,K464,'Điều hàng调货'!H:H,B464)+SUMIFS('Điều hàng调货'!F:F,'Điều hàng调货'!A:A,K464,'Điều hàng调货'!G:G,B464)*-1+SUMIFS('Điều hàng调货'!F:F,'Điều hàng调货'!A:A,K464,'Điều hàng调货'!H:H,B464)</f>
        <v>0</v>
      </c>
      <c r="J464" s="21">
        <f t="shared" si="25"/>
        <v>0</v>
      </c>
      <c r="K464" s="21">
        <f>VLOOKUP($D464,SKU!$A:$I,3,FALSE)</f>
        <v>10040</v>
      </c>
      <c r="L464" s="21" t="str">
        <f>VLOOKUP($D464,SKU!$A:$I,2,FALSE)</f>
        <v>酷卡文化-线条小狗3弹</v>
      </c>
    </row>
    <row r="465" ht="15.75" spans="1:12">
      <c r="A465" s="6"/>
      <c r="B465" s="57" t="s">
        <v>114</v>
      </c>
      <c r="C465" s="23" t="s">
        <v>434</v>
      </c>
      <c r="D465" s="23" t="s">
        <v>79</v>
      </c>
      <c r="E465" s="24">
        <f>SUMIFS(Xuất出库!D:D,Xuất出库!G:G,B465,Xuất出库!C:C,D465)</f>
        <v>0</v>
      </c>
      <c r="F465" s="25">
        <f>SUMIFS(Xuất出库!E:E,Xuất出库!G:G,B465,Xuất出库!C:C,D465)+SUMIFS(Xuất出库!F:F,Xuất出库!G:G,B465,Xuất出库!C:C,D465)</f>
        <v>44</v>
      </c>
      <c r="G465" s="23">
        <v>8</v>
      </c>
      <c r="H465" s="25">
        <f>SUMIFS(Hoàn回库!E:E,Hoàn回库!G:G,B465,Hoàn回库!C:C,D465)+SUMIFS(Hoàn回库!F:F,Hoàn回库!G:G,B465,Hoàn回库!C:C,D465)</f>
        <v>36</v>
      </c>
      <c r="I465" s="25">
        <f>SUMIFS('Điều hàng调货'!E:E,'Điều hàng调货'!A:A,K465,'Điều hàng调货'!G:G,B465)*-1+SUMIFS('Điều hàng调货'!E:E,'Điều hàng调货'!A:A,K465,'Điều hàng调货'!H:H,B465)+SUMIFS('Điều hàng调货'!F:F,'Điều hàng调货'!A:A,K465,'Điều hàng调货'!G:G,B465)*-1+SUMIFS('Điều hàng调货'!F:F,'Điều hàng调货'!A:A,K465,'Điều hàng调货'!H:H,B465)</f>
        <v>0</v>
      </c>
      <c r="J465" s="25">
        <f t="shared" si="25"/>
        <v>0</v>
      </c>
      <c r="K465" s="25">
        <f>VLOOKUP($D465,SKU!$A:$I,3,FALSE)</f>
        <v>10013</v>
      </c>
      <c r="L465" s="25" t="str">
        <f>VLOOKUP($D465,SKU!$A:$I,2,FALSE)</f>
        <v>皇卡 × 鬼灭《血月之契》篇决战无限城收藏卡</v>
      </c>
    </row>
    <row r="466" spans="1:12">
      <c r="A466" s="6"/>
      <c r="B466" s="7" t="s">
        <v>114</v>
      </c>
      <c r="C466" s="6" t="s">
        <v>434</v>
      </c>
      <c r="D466" s="6" t="s">
        <v>24</v>
      </c>
      <c r="E466" s="8">
        <f>SUMIFS(Xuất出库!D:D,Xuất出库!G:G,B466,Xuất出库!C:C,D466)</f>
        <v>10</v>
      </c>
      <c r="F466" s="9">
        <f>SUMIFS(Xuất出库!E:E,Xuất出库!G:G,B466,Xuất出库!C:C,D466)+SUMIFS(Xuất出库!F:F,Xuất出库!G:G,B466,Xuất出库!C:C,D466)</f>
        <v>166</v>
      </c>
      <c r="G466" s="6">
        <v>8</v>
      </c>
      <c r="H466" s="9">
        <f>SUMIFS(Hoàn回库!E:E,Hoàn回库!G:G,B466,Hoàn回库!C:C,D466)+SUMIFS(Hoàn回库!F:F,Hoàn回库!G:G,B466,Hoàn回库!C:C,D466)</f>
        <v>158</v>
      </c>
      <c r="I466" s="9">
        <f>SUMIFS('Điều hàng调货'!E:E,'Điều hàng调货'!A:A,K466,'Điều hàng调货'!G:G,B466)*-1+SUMIFS('Điều hàng调货'!E:E,'Điều hàng调货'!A:A,K466,'Điều hàng调货'!H:H,B466)+SUMIFS('Điều hàng调货'!F:F,'Điều hàng调货'!A:A,K466,'Điều hàng调货'!G:G,B466)*-1+SUMIFS('Điều hàng调货'!F:F,'Điều hàng调货'!A:A,K466,'Điều hàng调货'!H:H,B466)</f>
        <v>0</v>
      </c>
      <c r="J466" s="9">
        <f t="shared" si="25"/>
        <v>0</v>
      </c>
      <c r="K466" s="9">
        <f>VLOOKUP($D466,SKU!$A:$I,3,FALSE)</f>
        <v>10003</v>
      </c>
      <c r="L466" s="9" t="str">
        <f>VLOOKUP($D466,SKU!$A:$I,2,FALSE)</f>
        <v>DUO米全新出品鬼灭之刃-柱合会议篇第二弹</v>
      </c>
    </row>
    <row r="467" ht="15.75" spans="1:12">
      <c r="A467" s="6"/>
      <c r="B467" s="58" t="s">
        <v>114</v>
      </c>
      <c r="C467" s="43" t="s">
        <v>434</v>
      </c>
      <c r="D467" s="43" t="s">
        <v>131</v>
      </c>
      <c r="E467" s="20">
        <f>SUMIFS(Xuất出库!D:D,Xuất出库!G:G,B467,Xuất出库!C:C,D467)</f>
        <v>20</v>
      </c>
      <c r="F467" s="21">
        <f>SUMIFS(Xuất出库!E:E,Xuất出库!G:G,B467,Xuất出库!C:C,D467)+SUMIFS(Xuất出库!F:F,Xuất出库!G:G,B467,Xuất出库!C:C,D467)</f>
        <v>60</v>
      </c>
      <c r="G467" s="43">
        <v>11</v>
      </c>
      <c r="H467" s="21">
        <f>SUMIFS(Hoàn回库!E:E,Hoàn回库!G:G,B467,Hoàn回库!C:C,D467)+SUMIFS(Hoàn回库!F:F,Hoàn回库!G:G,B467,Hoàn回库!C:C,D467)</f>
        <v>20</v>
      </c>
      <c r="I467" s="21">
        <f>SUMIFS('Điều hàng调货'!E:E,'Điều hàng调货'!A:A,K467,'Điều hàng调货'!G:G,B467)*-1+SUMIFS('Điều hàng调货'!E:E,'Điều hàng调货'!A:A,K467,'Điều hàng调货'!H:H,B467)+SUMIFS('Điều hàng调货'!F:F,'Điều hàng调货'!A:A,K467,'Điều hàng调货'!G:G,B467)*-1+SUMIFS('Điều hàng调货'!F:F,'Điều hàng调货'!A:A,K467,'Điều hàng调货'!H:H,B467)</f>
        <v>0</v>
      </c>
      <c r="J467" s="21">
        <f t="shared" si="25"/>
        <v>29</v>
      </c>
      <c r="K467" s="21">
        <f>VLOOKUP($D467,SKU!$A:$I,3,FALSE)</f>
        <v>10026</v>
      </c>
      <c r="L467" s="21" t="str">
        <f>VLOOKUP($D467,SKU!$A:$I,2,FALSE)</f>
        <v>星恋文创·恋与深空《晦明交错之间》亚克力相框卡</v>
      </c>
    </row>
    <row r="468" ht="15.75" spans="1:12">
      <c r="A468" s="6"/>
      <c r="B468" s="40" t="s">
        <v>74</v>
      </c>
      <c r="C468" s="23" t="s">
        <v>434</v>
      </c>
      <c r="D468" s="23" t="s">
        <v>87</v>
      </c>
      <c r="E468" s="24">
        <f>SUMIFS(Xuất出库!D:D,Xuất出库!G:G,B468,Xuất出库!C:C,D468)</f>
        <v>5</v>
      </c>
      <c r="F468" s="25">
        <f>SUMIFS(Xuất出库!E:E,Xuất出库!G:G,B468,Xuất出库!C:C,D468)+SUMIFS(Xuất出库!F:F,Xuất出库!G:G,B468,Xuất出库!C:C,D468)</f>
        <v>60</v>
      </c>
      <c r="G468" s="23">
        <v>13</v>
      </c>
      <c r="H468" s="25">
        <f>SUMIFS(Hoàn回库!E:E,Hoàn回库!G:G,B468,Hoàn回库!C:C,D468)+SUMIFS(Hoàn回库!F:F,Hoàn回库!G:G,B468,Hoàn回库!C:C,D468)</f>
        <v>0</v>
      </c>
      <c r="I468" s="25">
        <f>SUMIFS('Điều hàng调货'!E:E,'Điều hàng调货'!A:A,K468,'Điều hàng调货'!G:G,B468)*-1+SUMIFS('Điều hàng调货'!E:E,'Điều hàng调货'!A:A,K468,'Điều hàng调货'!H:H,B468)+SUMIFS('Điều hàng调货'!F:F,'Điều hàng调货'!A:A,K468,'Điều hàng调货'!G:G,B468)*-1+SUMIFS('Điều hàng调货'!F:F,'Điều hàng调货'!A:A,K468,'Điều hàng调货'!H:H,B468)</f>
        <v>0</v>
      </c>
      <c r="J468" s="25">
        <f t="shared" si="25"/>
        <v>47</v>
      </c>
      <c r="K468" s="25">
        <f>VLOOKUP($D468,SKU!$A:$I,3,FALSE)</f>
        <v>10015</v>
      </c>
      <c r="L468" s="25" t="str">
        <f>VLOOKUP($D468,SKU!$A:$I,2,FALSE)</f>
        <v>梦绘文创-宫崎骏第二弹</v>
      </c>
    </row>
    <row r="469" spans="1:12">
      <c r="B469" s="41" t="s">
        <v>74</v>
      </c>
      <c r="C469" s="6" t="s">
        <v>434</v>
      </c>
      <c r="D469" s="6" t="s">
        <v>95</v>
      </c>
      <c r="E469" s="8">
        <f>SUMIFS(Xuất出库!D:D,Xuất出库!G:G,B469,Xuất出库!C:C,D469)</f>
        <v>5</v>
      </c>
      <c r="F469" s="9">
        <f>SUMIFS(Xuất出库!E:E,Xuất出库!G:G,B469,Xuất出库!C:C,D469)+SUMIFS(Xuất出库!F:F,Xuất出库!G:G,B469,Xuất出库!C:C,D469)</f>
        <v>65</v>
      </c>
      <c r="G469" s="6"/>
      <c r="H469" s="9">
        <f>SUMIFS(Hoàn回库!E:E,Hoàn回库!G:G,B469,Hoàn回库!C:C,D469)+SUMIFS(Hoàn回库!F:F,Hoàn回库!G:G,B469,Hoàn回库!C:C,D469)</f>
        <v>0</v>
      </c>
      <c r="I469" s="9">
        <f>SUMIFS('Điều hàng调货'!E:E,'Điều hàng调货'!A:A,K469,'Điều hàng调货'!G:G,B469)*-1+SUMIFS('Điều hàng调货'!E:E,'Điều hàng调货'!A:A,K469,'Điều hàng调货'!H:H,B469)+SUMIFS('Điều hàng调货'!F:F,'Điều hàng调货'!A:A,K469,'Điều hàng调货'!G:G,B469)*-1+SUMIFS('Điều hàng调货'!F:F,'Điều hàng调货'!A:A,K469,'Điều hàng调货'!H:H,B469)</f>
        <v>0</v>
      </c>
      <c r="J469" s="9">
        <f t="shared" si="25"/>
        <v>65</v>
      </c>
      <c r="K469" s="9">
        <f>VLOOKUP($D469,SKU!$A:$I,3,FALSE)</f>
        <v>10017</v>
      </c>
      <c r="L469" s="9" t="str">
        <f>VLOOKUP($D469,SKU!$A:$I,2,FALSE)</f>
        <v>梦境-美少女战士第一弹</v>
      </c>
    </row>
    <row r="470" ht="15.75" spans="1:12">
      <c r="B470" s="42" t="s">
        <v>74</v>
      </c>
      <c r="C470" s="43" t="s">
        <v>434</v>
      </c>
      <c r="D470" s="43" t="s">
        <v>184</v>
      </c>
      <c r="E470" s="20">
        <f>SUMIFS(Xuất出库!D:D,Xuất出库!G:G,B470,Xuất出库!C:C,D470)</f>
        <v>10</v>
      </c>
      <c r="F470" s="21">
        <f>SUMIFS(Xuất出库!E:E,Xuất出库!G:G,B470,Xuất出库!C:C,D470)+SUMIFS(Xuất出库!F:F,Xuất出库!G:G,B470,Xuất出库!C:C,D470)</f>
        <v>200</v>
      </c>
      <c r="G470" s="43">
        <f>3+50+3</f>
        <v>56</v>
      </c>
      <c r="H470" s="21">
        <f>SUMIFS(Hoàn回库!E:E,Hoàn回库!G:G,B470,Hoàn回库!C:C,D470)+SUMIFS(Hoàn回库!F:F,Hoàn回库!G:G,B470,Hoàn回库!C:C,D470)</f>
        <v>124</v>
      </c>
      <c r="I470" s="21">
        <f>SUMIFS('Điều hàng调货'!E:E,'Điều hàng调货'!A:A,K470,'Điều hàng调货'!G:G,B470)*-1+SUMIFS('Điều hàng调货'!E:E,'Điều hàng调货'!A:A,K470,'Điều hàng调货'!H:H,B470)+SUMIFS('Điều hàng调货'!F:F,'Điều hàng调货'!A:A,K470,'Điều hàng调货'!G:G,B470)*-1+SUMIFS('Điều hàng调货'!F:F,'Điều hàng调货'!A:A,K470,'Điều hàng调货'!H:H,B470)</f>
        <v>-20</v>
      </c>
      <c r="J470" s="21">
        <f t="shared" si="25"/>
        <v>0</v>
      </c>
      <c r="K470" s="21">
        <f>VLOOKUP($D470,SKU!$A:$I,3,FALSE)</f>
        <v>10039</v>
      </c>
      <c r="L470" s="21" t="str">
        <f>VLOOKUP($D470,SKU!$A:$I,2,FALSE)</f>
        <v>非凡航海王第五弹</v>
      </c>
    </row>
    <row r="471" ht="15.75" spans="1:12">
      <c r="B471" s="83" t="s">
        <v>82</v>
      </c>
      <c r="C471" s="23" t="s">
        <v>428</v>
      </c>
      <c r="D471" s="23" t="s">
        <v>30</v>
      </c>
      <c r="E471" s="24">
        <f>SUMIFS(Xuất出库!D:D,Xuất出库!G:G,B471,Xuất出库!C:C,D471)</f>
        <v>30</v>
      </c>
      <c r="F471" s="25">
        <f>SUMIFS(Xuất出库!E:E,Xuất出库!G:G,B471,Xuất出库!C:C,D471)+SUMIFS(Xuất出库!F:F,Xuất出库!G:G,B471,Xuất出库!C:C,D471)</f>
        <v>30</v>
      </c>
      <c r="G471" s="23">
        <v>8</v>
      </c>
      <c r="H471" s="25">
        <f>SUMIFS(Hoàn回库!E:E,Hoàn回库!G:G,B471,Hoàn回库!C:C,D471)+SUMIFS(Hoàn回库!F:F,Hoàn回库!G:G,B471,Hoàn回库!C:C,D471)</f>
        <v>22</v>
      </c>
      <c r="I471" s="25">
        <f>SUMIFS('Điều hàng调货'!E:E,'Điều hàng调货'!A:A,K471,'Điều hàng调货'!G:G,B471)*-1+SUMIFS('Điều hàng调货'!E:E,'Điều hàng调货'!A:A,K471,'Điều hàng调货'!H:H,B471)+SUMIFS('Điều hàng调货'!F:F,'Điều hàng调货'!A:A,K471,'Điều hàng调货'!G:G,B471)*-1+SUMIFS('Điều hàng调货'!F:F,'Điều hàng调货'!A:A,K471,'Điều hàng调货'!H:H,B471)</f>
        <v>0</v>
      </c>
      <c r="J471" s="25">
        <f t="shared" si="25"/>
        <v>0</v>
      </c>
      <c r="K471" s="25">
        <f>VLOOKUP($D471,SKU!$A:$I,3,FALSE)</f>
        <v>10004</v>
      </c>
      <c r="L471" s="25" t="str">
        <f>VLOOKUP($D471,SKU!$A:$I,2,FALSE)</f>
        <v>初见花海咒术回战第一弹</v>
      </c>
    </row>
    <row r="472" spans="1:12">
      <c r="B472" s="83" t="s">
        <v>82</v>
      </c>
      <c r="C472" s="23" t="s">
        <v>428</v>
      </c>
      <c r="D472" s="6" t="s">
        <v>184</v>
      </c>
      <c r="E472" s="8">
        <f>SUMIFS(Xuất出库!D:D,Xuất出库!G:G,B472,Xuất出库!C:C,D472)</f>
        <v>5</v>
      </c>
      <c r="F472" s="9">
        <f>SUMIFS(Xuất出库!E:E,Xuất出库!G:G,B472,Xuất出库!C:C,D472)+SUMIFS(Xuất出库!F:F,Xuất出库!G:G,B472,Xuất出库!C:C,D472)</f>
        <v>100</v>
      </c>
      <c r="G472" s="6"/>
      <c r="H472" s="9">
        <f>SUMIFS(Hoàn回库!E:E,Hoàn回库!G:G,B472,Hoàn回库!C:C,D472)+SUMIFS(Hoàn回库!F:F,Hoàn回库!G:G,B472,Hoàn回库!C:C,D472)</f>
        <v>100</v>
      </c>
      <c r="I472" s="9">
        <f>SUMIFS('Điều hàng调货'!E:E,'Điều hàng调货'!A:A,K472,'Điều hàng调货'!G:G,B472)*-1+SUMIFS('Điều hàng调货'!E:E,'Điều hàng调货'!A:A,K472,'Điều hàng调货'!H:H,B472)+SUMIFS('Điều hàng调货'!F:F,'Điều hàng调货'!A:A,K472,'Điều hàng调货'!G:G,B472)*-1+SUMIFS('Điều hàng调货'!F:F,'Điều hàng调货'!A:A,K472,'Điều hàng调货'!H:H,B472)</f>
        <v>0</v>
      </c>
      <c r="J472" s="9">
        <f t="shared" si="25"/>
        <v>0</v>
      </c>
      <c r="K472" s="9">
        <f>VLOOKUP($D472,SKU!$A:$I,3,FALSE)</f>
        <v>10039</v>
      </c>
      <c r="L472" s="9" t="str">
        <f>VLOOKUP($D472,SKU!$A:$I,2,FALSE)</f>
        <v>非凡航海王第五弹</v>
      </c>
    </row>
    <row r="473" ht="15.75" spans="1:12">
      <c r="B473" s="85" t="s">
        <v>82</v>
      </c>
      <c r="C473" s="37" t="s">
        <v>428</v>
      </c>
      <c r="D473" s="43" t="s">
        <v>83</v>
      </c>
      <c r="E473" s="20">
        <f>SUMIFS(Xuất出库!D:D,Xuất出库!G:G,B473,Xuất出库!C:C,D473)</f>
        <v>20</v>
      </c>
      <c r="F473" s="21">
        <f>SUMIFS(Xuất出库!E:E,Xuất出库!G:G,B473,Xuất出库!C:C,D473)+SUMIFS(Xuất出库!F:F,Xuất出库!G:G,B473,Xuất出库!C:C,D473)</f>
        <v>60</v>
      </c>
      <c r="G473" s="43"/>
      <c r="H473" s="21">
        <f>SUMIFS(Hoàn回库!E:E,Hoàn回库!G:G,B473,Hoàn回库!C:C,D473)+SUMIFS(Hoàn回库!F:F,Hoàn回库!G:G,B473,Hoàn回库!C:C,D473)</f>
        <v>60</v>
      </c>
      <c r="I473" s="9">
        <f>SUMIFS('Điều hàng调货'!E:E,'Điều hàng调货'!A:A,K473,'Điều hàng调货'!G:G,B473)*-1+SUMIFS('Điều hàng调货'!E:E,'Điều hàng调货'!A:A,K473,'Điều hàng调货'!H:H,B473)+SUMIFS('Điều hàng调货'!F:F,'Điều hàng调货'!A:A,K473,'Điều hàng调货'!G:G,B473)*-1+SUMIFS('Điều hàng调货'!F:F,'Điều hàng调货'!A:A,K473,'Điều hàng调货'!H:H,B473)</f>
        <v>0</v>
      </c>
      <c r="J473" s="9">
        <f t="shared" si="25"/>
        <v>0</v>
      </c>
      <c r="K473" s="21">
        <f>VLOOKUP($D473,SKU!$A:$I,3,FALSE)</f>
        <v>10014</v>
      </c>
      <c r="L473" s="21" t="str">
        <f>VLOOKUP($D473,SKU!$A:$I,2,FALSE)</f>
        <v>星梦文创-Studio Ghibli宫崎骏撕撕乐系列 </v>
      </c>
    </row>
    <row r="474" ht="15.75" spans="1:12">
      <c r="B474" s="57" t="s">
        <v>86</v>
      </c>
      <c r="C474" s="23" t="s">
        <v>428</v>
      </c>
      <c r="D474" s="23" t="s">
        <v>30</v>
      </c>
      <c r="E474" s="24">
        <f>SUMIFS(Xuất出库!D:D,Xuất出库!G:G,B474,Xuất出库!C:C,D474)</f>
        <v>20</v>
      </c>
      <c r="F474" s="25">
        <f>SUMIFS(Xuất出库!E:E,Xuất出库!G:G,B474,Xuất出库!C:C,D474)+SUMIFS(Xuất出库!F:F,Xuất出库!G:G,B474,Xuất出库!C:C,D474)</f>
        <v>20</v>
      </c>
      <c r="G474" s="23">
        <v>0</v>
      </c>
      <c r="H474" s="25">
        <f>SUMIFS(Hoàn回库!E:E,Hoàn回库!G:G,B474,Hoàn回库!C:C,D474)+SUMIFS(Hoàn回库!F:F,Hoàn回库!G:G,B474,Hoàn回库!C:C,D474)</f>
        <v>20</v>
      </c>
      <c r="I474" s="9">
        <f>SUMIFS('Điều hàng调货'!E:E,'Điều hàng调货'!A:A,K474,'Điều hàng调货'!G:G,B474)*-1+SUMIFS('Điều hàng调货'!E:E,'Điều hàng调货'!A:A,K474,'Điều hàng调货'!H:H,B474)+SUMIFS('Điều hàng调货'!F:F,'Điều hàng调货'!A:A,K474,'Điều hàng调货'!G:G,B474)*-1+SUMIFS('Điều hàng调货'!F:F,'Điều hàng调货'!A:A,K474,'Điều hàng调货'!H:H,B474)</f>
        <v>0</v>
      </c>
      <c r="J474" s="9">
        <f t="shared" si="25"/>
        <v>0</v>
      </c>
      <c r="K474" s="25">
        <f>VLOOKUP($D474,SKU!$A:$I,3,FALSE)</f>
        <v>10004</v>
      </c>
      <c r="L474" s="25" t="str">
        <f>VLOOKUP($D474,SKU!$A:$I,2,FALSE)</f>
        <v>初见花海咒术回战第一弹</v>
      </c>
    </row>
    <row r="475" spans="1:12">
      <c r="B475" s="57" t="s">
        <v>86</v>
      </c>
      <c r="C475" s="23" t="s">
        <v>428</v>
      </c>
      <c r="D475" s="6" t="s">
        <v>49</v>
      </c>
      <c r="E475" s="8">
        <f>SUMIFS(Xuất出库!D:D,Xuất出库!G:G,B475,Xuất出库!C:C,D475)</f>
        <v>20</v>
      </c>
      <c r="F475" s="9">
        <f>SUMIFS(Xuất出库!E:E,Xuất出库!G:G,B475,Xuất出库!C:C,D475)+SUMIFS(Xuất出库!F:F,Xuất出库!G:G,B475,Xuất出库!C:C,D475)</f>
        <v>260</v>
      </c>
      <c r="G475" s="105">
        <f>47+65+72</f>
        <v>184</v>
      </c>
      <c r="H475" s="9">
        <f>SUMIFS(Hoàn回库!E:E,Hoàn回库!G:G,B475,Hoàn回库!C:C,D475)+SUMIFS(Hoàn回库!F:F,Hoàn回库!G:G,B475,Hoàn回库!C:C,D475)</f>
        <v>76</v>
      </c>
      <c r="I475" s="9">
        <f>SUMIFS('Điều hàng调货'!E:E,'Điều hàng调货'!A:A,K475,'Điều hàng调货'!G:G,B475)*-1+SUMIFS('Điều hàng调货'!E:E,'Điều hàng调货'!A:A,K475,'Điều hàng调货'!H:H,B475)+SUMIFS('Điều hàng调货'!F:F,'Điều hàng调货'!A:A,K475,'Điều hàng调货'!G:G,B475)*-1+SUMIFS('Điều hàng调货'!F:F,'Điều hàng调货'!A:A,K475,'Điều hàng调货'!H:H,B475)</f>
        <v>0</v>
      </c>
      <c r="J475" s="9">
        <f t="shared" si="25"/>
        <v>0</v>
      </c>
      <c r="K475" s="9">
        <f>VLOOKUP($D475,SKU!$A:$I,3,FALSE)</f>
        <v>10007</v>
      </c>
      <c r="L475" s="9" t="str">
        <f>VLOOKUP($D475,SKU!$A:$I,2,FALSE)</f>
        <v>kawaii宫崎骏梦幻之国</v>
      </c>
    </row>
    <row r="476" spans="1:12">
      <c r="B476" s="57" t="s">
        <v>86</v>
      </c>
      <c r="C476" s="23" t="s">
        <v>428</v>
      </c>
      <c r="D476" s="6" t="s">
        <v>83</v>
      </c>
      <c r="E476" s="8">
        <f>SUMIFS(Xuất出库!D:D,Xuất出库!G:G,B476,Xuất出库!C:C,D476)</f>
        <v>20</v>
      </c>
      <c r="F476" s="9">
        <f>SUMIFS(Xuất出库!E:E,Xuất出库!G:G,B476,Xuất出库!C:C,D476)+SUMIFS(Xuất出库!F:F,Xuất出库!G:G,B476,Xuất出库!C:C,D476)</f>
        <v>60</v>
      </c>
      <c r="G476" s="6">
        <v>1</v>
      </c>
      <c r="H476" s="9">
        <f>SUMIFS(Hoàn回库!E:E,Hoàn回库!G:G,B476,Hoàn回库!C:C,D476)+SUMIFS(Hoàn回库!F:F,Hoàn回库!G:G,B476,Hoàn回库!C:C,D476)</f>
        <v>58</v>
      </c>
      <c r="I476" s="9">
        <f>SUMIFS('Điều hàng调货'!E:E,'Điều hàng调货'!A:A,K476,'Điều hàng调货'!G:G,B476)*-1+SUMIFS('Điều hàng调货'!E:E,'Điều hàng调货'!A:A,K476,'Điều hàng调货'!H:H,B476)+SUMIFS('Điều hàng调货'!F:F,'Điều hàng调货'!A:A,K476,'Điều hàng调货'!G:G,B476)*-1+SUMIFS('Điều hàng调货'!F:F,'Điều hàng调货'!A:A,K476,'Điều hàng调货'!H:H,B476)</f>
        <v>0</v>
      </c>
      <c r="J476" s="9">
        <f t="shared" si="25"/>
        <v>1</v>
      </c>
      <c r="K476" s="9">
        <f>VLOOKUP($D476,SKU!$A:$I,3,FALSE)</f>
        <v>10014</v>
      </c>
      <c r="L476" s="9" t="str">
        <f>VLOOKUP($D476,SKU!$A:$I,2,FALSE)</f>
        <v>星梦文创-Studio Ghibli宫崎骏撕撕乐系列 </v>
      </c>
    </row>
    <row r="477" spans="1:12">
      <c r="B477" s="57" t="s">
        <v>86</v>
      </c>
      <c r="C477" s="23" t="s">
        <v>428</v>
      </c>
      <c r="D477" s="6" t="s">
        <v>131</v>
      </c>
      <c r="E477" s="8">
        <f>SUMIFS(Xuất出库!D:D,Xuất出库!G:G,B477,Xuất出库!C:C,D477)</f>
        <v>20</v>
      </c>
      <c r="F477" s="9">
        <f>SUMIFS(Xuất出库!E:E,Xuất出库!G:G,B477,Xuất出库!C:C,D477)+SUMIFS(Xuất出库!F:F,Xuất出库!G:G,B477,Xuất出库!C:C,D477)</f>
        <v>20</v>
      </c>
      <c r="G477" s="6">
        <f>2</f>
        <v>2</v>
      </c>
      <c r="H477" s="9">
        <f>SUMIFS(Hoàn回库!E:E,Hoàn回库!G:G,B477,Hoàn回库!C:C,D477)+SUMIFS(Hoàn回库!F:F,Hoàn回库!G:G,B477,Hoàn回库!C:C,D477)</f>
        <v>18</v>
      </c>
      <c r="I477" s="9">
        <f>SUMIFS('Điều hàng调货'!E:E,'Điều hàng调货'!A:A,K477,'Điều hàng调货'!G:G,B477)*-1+SUMIFS('Điều hàng调货'!E:E,'Điều hàng调货'!A:A,K477,'Điều hàng调货'!H:H,B477)+SUMIFS('Điều hàng调货'!F:F,'Điều hàng调货'!A:A,K477,'Điều hàng调货'!G:G,B477)*-1+SUMIFS('Điều hàng调货'!F:F,'Điều hàng调货'!A:A,K477,'Điều hàng调货'!H:H,B477)</f>
        <v>0</v>
      </c>
      <c r="J477" s="9">
        <f t="shared" si="25"/>
        <v>0</v>
      </c>
      <c r="K477" s="9">
        <f>VLOOKUP($D477,SKU!$A:$I,3,FALSE)</f>
        <v>10026</v>
      </c>
      <c r="L477" s="9" t="str">
        <f>VLOOKUP($D477,SKU!$A:$I,2,FALSE)</f>
        <v>星恋文创·恋与深空《晦明交错之间》亚克力相框卡</v>
      </c>
    </row>
    <row r="478" spans="1:12">
      <c r="B478" s="57" t="s">
        <v>86</v>
      </c>
      <c r="C478" s="23" t="s">
        <v>428</v>
      </c>
      <c r="D478" s="6" t="s">
        <v>43</v>
      </c>
      <c r="E478" s="8">
        <f>SUMIFS(Xuất出库!D:D,Xuất出库!G:G,B478,Xuất出库!C:C,D478)</f>
        <v>0</v>
      </c>
      <c r="F478" s="9">
        <f>SUMIFS(Xuất出库!E:E,Xuất出库!G:G,B478,Xuất出库!C:C,D478)+SUMIFS(Xuất出库!F:F,Xuất出库!G:G,B478,Xuất出库!C:C,D478)</f>
        <v>64</v>
      </c>
      <c r="G478" s="6">
        <f>2</f>
        <v>2</v>
      </c>
      <c r="H478" s="9">
        <f>SUMIFS(Hoàn回库!E:E,Hoàn回库!G:G,B478,Hoàn回库!C:C,D478)+SUMIFS(Hoàn回库!F:F,Hoàn回库!G:G,B478,Hoàn回库!C:C,D478)</f>
        <v>62</v>
      </c>
      <c r="I478" s="9">
        <f>SUMIFS('Điều hàng调货'!E:E,'Điều hàng调货'!A:A,K478,'Điều hàng调货'!G:G,B478)*-1+SUMIFS('Điều hàng调货'!E:E,'Điều hàng调货'!A:A,K478,'Điều hàng调货'!H:H,B478)+SUMIFS('Điều hàng调货'!F:F,'Điều hàng调货'!A:A,K478,'Điều hàng调货'!G:G,B478)*-1+SUMIFS('Điều hàng调货'!F:F,'Điều hàng调货'!A:A,K478,'Điều hàng调货'!H:H,B478)</f>
        <v>0</v>
      </c>
      <c r="J478" s="9">
        <f t="shared" si="25"/>
        <v>0</v>
      </c>
      <c r="K478" s="9">
        <f>VLOOKUP($D478,SKU!$A:$I,3,FALSE)</f>
        <v>10006</v>
      </c>
      <c r="L478" s="9" t="str">
        <f>VLOOKUP($D478,SKU!$A:$I,2,FALSE)</f>
        <v>云映文化「云之境の夏」第二弹·宫崎骏珍藏卡牌</v>
      </c>
    </row>
    <row r="479" ht="15.75" spans="1:12">
      <c r="B479" s="106" t="s">
        <v>86</v>
      </c>
      <c r="C479" s="37" t="s">
        <v>428</v>
      </c>
      <c r="D479" s="43" t="s">
        <v>71</v>
      </c>
      <c r="E479" s="20">
        <f>SUMIFS(Xuất出库!D:D,Xuất出库!G:G,B479,Xuất出库!C:C,D479)</f>
        <v>5</v>
      </c>
      <c r="F479" s="21">
        <f>SUMIFS(Xuất出库!E:E,Xuất出库!G:G,B479,Xuất出库!C:C,D479)+SUMIFS(Xuất出库!F:F,Xuất出库!G:G,B479,Xuất出库!C:C,D479)</f>
        <v>85</v>
      </c>
      <c r="G479" s="43">
        <f>30</f>
        <v>30</v>
      </c>
      <c r="H479" s="21">
        <f>SUMIFS(Hoàn回库!E:E,Hoàn回库!G:G,B479,Hoàn回库!C:C,D479)+SUMIFS(Hoàn回库!F:F,Hoàn回库!G:G,B479,Hoàn回库!C:C,D479)</f>
        <v>55</v>
      </c>
      <c r="I479" s="9">
        <f>SUMIFS('Điều hàng调货'!E:E,'Điều hàng调货'!A:A,K479,'Điều hàng调货'!G:G,B479)*-1+SUMIFS('Điều hàng调货'!E:E,'Điều hàng调货'!A:A,K479,'Điều hàng调货'!H:H,B479)+SUMIFS('Điều hàng调货'!F:F,'Điều hàng调货'!A:A,K479,'Điều hàng调货'!G:G,B479)*-1+SUMIFS('Điều hàng调货'!F:F,'Điều hàng调货'!A:A,K479,'Điều hàng调货'!H:H,B479)</f>
        <v>0</v>
      </c>
      <c r="J479" s="9">
        <f t="shared" si="25"/>
        <v>0</v>
      </c>
      <c r="K479" s="21">
        <f>VLOOKUP($D479,SKU!$A:$I,3,FALSE)</f>
        <v>10011</v>
      </c>
      <c r="L479" s="21" t="str">
        <f>VLOOKUP($D479,SKU!$A:$I,2,FALSE)</f>
        <v>灿卡文创宫崎骏第二弹《花涧物语》</v>
      </c>
    </row>
    <row r="480" ht="16.5" spans="1:12">
      <c r="B480" s="107" t="s">
        <v>158</v>
      </c>
      <c r="C480" s="37" t="s">
        <v>428</v>
      </c>
      <c r="D480" s="37" t="s">
        <v>12</v>
      </c>
      <c r="E480" s="38">
        <f>SUMIFS(Xuất出库!D:D,Xuất出库!G:G,B480,Xuất出库!C:C,D480)</f>
        <v>5</v>
      </c>
      <c r="F480" s="39">
        <f>SUMIFS(Xuất出库!E:E,Xuất出库!G:G,B480,Xuất出库!C:C,D480)+SUMIFS(Xuất出库!F:F,Xuất出库!G:G,B480,Xuất出库!C:C,D480)</f>
        <v>5</v>
      </c>
      <c r="G480" s="37"/>
      <c r="H480" s="39">
        <f>SUMIFS(Hoàn回库!E:E,Hoàn回库!G:G,B480,Hoàn回库!C:C,D480)+SUMIFS(Hoàn回库!F:F,Hoàn回库!G:G,B480,Hoàn回库!C:C,D480)</f>
        <v>5</v>
      </c>
      <c r="I480" s="9">
        <f>SUMIFS('Điều hàng调货'!E:E,'Điều hàng调货'!A:A,K480,'Điều hàng调货'!G:G,B480)*-1+SUMIFS('Điều hàng调货'!E:E,'Điều hàng调货'!A:A,K480,'Điều hàng调货'!H:H,B480)+SUMIFS('Điều hàng调货'!F:F,'Điều hàng调货'!A:A,K480,'Điều hàng调货'!G:G,B480)*-1+SUMIFS('Điều hàng调货'!F:F,'Điều hàng调货'!A:A,K480,'Điều hàng调货'!H:H,B480)</f>
        <v>0</v>
      </c>
      <c r="J480" s="9">
        <f t="shared" si="25"/>
        <v>0</v>
      </c>
      <c r="K480" s="39">
        <f>VLOOKUP($D480,SKU!$A:$I,3,FALSE)</f>
        <v>10001</v>
      </c>
      <c r="L480" s="39" t="str">
        <f>VLOOKUP($D480,SKU!$A:$I,2,FALSE)</f>
        <v>《东株社》宝可梦水晶砖</v>
      </c>
    </row>
    <row r="481" ht="15.75" spans="2:12">
      <c r="B481" s="80" t="s">
        <v>90</v>
      </c>
      <c r="C481" s="23" t="s">
        <v>59</v>
      </c>
      <c r="D481" s="23" t="s">
        <v>184</v>
      </c>
      <c r="E481" s="24">
        <f>SUMIFS(Xuất出库!D:D,Xuất出库!G:G,B481,Xuất出库!C:C,D481)</f>
        <v>100</v>
      </c>
      <c r="F481" s="25">
        <f>SUMIFS(Xuất出库!E:E,Xuất出库!G:G,B481,Xuất出库!C:C,D481)+SUMIFS(Xuất出库!F:F,Xuất出库!G:G,B481,Xuất出库!C:C,D481)</f>
        <v>2000</v>
      </c>
      <c r="G481" s="23">
        <f>9+8+36+44+44+67+23+69+309+92+253+286+154+176+220+22+22+88+22+22+44+44+22</f>
        <v>2076</v>
      </c>
      <c r="H481" s="25">
        <f>SUMIFS(Hoàn回库!E:E,Hoàn回库!G:G,B481,Hoàn回库!C:C,D481)+SUMIFS(Hoàn回库!F:F,Hoàn回库!G:G,B481,Hoàn回库!C:C,D481)</f>
        <v>94</v>
      </c>
      <c r="I481" s="9">
        <f>SUMIFS('Điều hàng调货'!E:E,'Điều hàng调货'!A:A,K481,'Điều hàng调货'!G:G,B481)*-1+SUMIFS('Điều hàng调货'!E:E,'Điều hàng调货'!A:A,K481,'Điều hàng调货'!H:H,B481)+SUMIFS('Điều hàng调货'!F:F,'Điều hàng调货'!A:A,K481,'Điều hàng调货'!G:G,B481)*-1+SUMIFS('Điều hàng调货'!F:F,'Điều hàng调货'!A:A,K481,'Điều hàng调货'!H:H,B481)</f>
        <v>170</v>
      </c>
      <c r="J481" s="9">
        <f t="shared" si="25"/>
        <v>0</v>
      </c>
      <c r="K481" s="25">
        <f>VLOOKUP($D481,SKU!$A:$I,3,FALSE)</f>
        <v>10039</v>
      </c>
      <c r="L481" s="25" t="str">
        <f>VLOOKUP($D481,SKU!$A:$I,2,FALSE)</f>
        <v>非凡航海王第五弹</v>
      </c>
    </row>
    <row r="482" spans="2:12">
      <c r="B482" s="80" t="s">
        <v>90</v>
      </c>
      <c r="C482" s="23" t="s">
        <v>59</v>
      </c>
      <c r="D482" s="6" t="s">
        <v>49</v>
      </c>
      <c r="E482" s="8">
        <f>SUMIFS(Xuất出库!D:D,Xuất出库!G:G,B482,Xuất出库!C:C,D482)</f>
        <v>7</v>
      </c>
      <c r="F482" s="9">
        <f>SUMIFS(Xuất出库!E:E,Xuất出库!G:G,B482,Xuất出库!C:C,D482)+SUMIFS(Xuất出库!F:F,Xuất出库!G:G,B482,Xuất出库!C:C,D482)</f>
        <v>139</v>
      </c>
      <c r="G482" s="6">
        <f>9+10+7+13</f>
        <v>39</v>
      </c>
      <c r="H482" s="9">
        <f>SUMIFS(Hoàn回库!E:E,Hoàn回库!G:G,B482,Hoàn回库!C:C,D482)+SUMIFS(Hoàn回库!F:F,Hoàn回库!G:G,B482,Hoàn回库!C:C,D482)</f>
        <v>85</v>
      </c>
      <c r="I482" s="9">
        <f>SUMIFS('Điều hàng调货'!E:E,'Điều hàng调货'!A:A,K482,'Điều hàng调货'!G:G,B482)*-1+SUMIFS('Điều hàng调货'!E:E,'Điều hàng调货'!A:A,K482,'Điều hàng调货'!H:H,B482)+SUMIFS('Điều hàng调货'!F:F,'Điều hàng调货'!A:A,K482,'Điều hàng调货'!G:G,B482)*-1+SUMIFS('Điều hàng调货'!F:F,'Điều hàng调货'!A:A,K482,'Điều hàng调货'!H:H,B482)</f>
        <v>-8</v>
      </c>
      <c r="J482" s="9">
        <f t="shared" si="25"/>
        <v>7</v>
      </c>
      <c r="K482" s="9">
        <f>VLOOKUP($D482,SKU!$A:$I,3,FALSE)</f>
        <v>10007</v>
      </c>
      <c r="L482" s="9" t="str">
        <f>VLOOKUP($D482,SKU!$A:$I,2,FALSE)</f>
        <v>kawaii宫崎骏梦幻之国</v>
      </c>
    </row>
    <row r="483" spans="2:12">
      <c r="B483" s="80" t="s">
        <v>90</v>
      </c>
      <c r="C483" s="23" t="s">
        <v>59</v>
      </c>
      <c r="D483" s="6" t="s">
        <v>71</v>
      </c>
      <c r="E483" s="8">
        <f>SUMIFS(Xuất出库!D:D,Xuất出库!G:G,B483,Xuất出库!C:C,D483)</f>
        <v>1</v>
      </c>
      <c r="F483" s="9">
        <f>SUMIFS(Xuất出库!E:E,Xuất出库!G:G,B483,Xuất出库!C:C,D483)+SUMIFS(Xuất出库!F:F,Xuất出库!G:G,B483,Xuất出库!C:C,D483)</f>
        <v>60</v>
      </c>
      <c r="G483" s="6">
        <f>28+12</f>
        <v>40</v>
      </c>
      <c r="H483" s="9">
        <f>SUMIFS(Hoàn回库!E:E,Hoàn回库!G:G,B483,Hoàn回库!C:C,D483)+SUMIFS(Hoàn回库!F:F,Hoàn回库!G:G,B483,Hoàn回库!C:C,D483)</f>
        <v>20</v>
      </c>
      <c r="I483" s="9">
        <f>SUMIFS('Điều hàng调货'!E:E,'Điều hàng调货'!A:A,K483,'Điều hàng调货'!G:G,B483)*-1+SUMIFS('Điều hàng调货'!E:E,'Điều hàng调货'!A:A,K483,'Điều hàng调货'!H:H,B483)+SUMIFS('Điều hàng调货'!F:F,'Điều hàng调货'!A:A,K483,'Điều hàng调货'!G:G,B483)*-1+SUMIFS('Điều hàng调货'!F:F,'Điều hàng调货'!A:A,K483,'Điều hàng调货'!H:H,B483)</f>
        <v>0</v>
      </c>
      <c r="J483" s="9">
        <f t="shared" si="25"/>
        <v>0</v>
      </c>
      <c r="K483" s="9">
        <f>VLOOKUP($D483,SKU!$A:$I,3,FALSE)</f>
        <v>10011</v>
      </c>
      <c r="L483" s="9" t="str">
        <f>VLOOKUP($D483,SKU!$A:$I,2,FALSE)</f>
        <v>灿卡文创宫崎骏第二弹《花涧物语》</v>
      </c>
    </row>
    <row r="484" spans="2:12">
      <c r="B484" s="80" t="s">
        <v>90</v>
      </c>
      <c r="C484" s="23" t="s">
        <v>59</v>
      </c>
      <c r="D484" s="6" t="s">
        <v>43</v>
      </c>
      <c r="E484" s="8">
        <f>SUMIFS(Xuất出库!D:D,Xuất出库!G:G,B484,Xuất出库!C:C,D484)</f>
        <v>6</v>
      </c>
      <c r="F484" s="9">
        <f>SUMIFS(Xuất出库!E:E,Xuất出库!G:G,B484,Xuất出库!C:C,D484)+SUMIFS(Xuất出库!F:F,Xuất出库!G:G,B484,Xuất出库!C:C,D484)</f>
        <v>140</v>
      </c>
      <c r="G484" s="6">
        <f>13+21+8+11</f>
        <v>53</v>
      </c>
      <c r="H484" s="9">
        <f>SUMIFS(Hoàn回库!E:E,Hoàn回库!G:G,B484,Hoàn回库!C:C,D484)+SUMIFS(Hoàn回库!F:F,Hoàn回库!G:G,B484,Hoàn回库!C:C,D484)</f>
        <v>87</v>
      </c>
      <c r="I484" s="9">
        <f>SUMIFS('Điều hàng调货'!E:E,'Điều hàng调货'!A:A,K484,'Điều hàng调货'!G:G,B484)*-1+SUMIFS('Điều hàng调货'!E:E,'Điều hàng调货'!A:A,K484,'Điều hàng调货'!H:H,B484)+SUMIFS('Điều hàng调货'!F:F,'Điều hàng调货'!A:A,K484,'Điều hàng调货'!G:G,B484)*-1+SUMIFS('Điều hàng调货'!F:F,'Điều hàng调货'!A:A,K484,'Điều hàng调货'!H:H,B484)</f>
        <v>0</v>
      </c>
      <c r="J484" s="9">
        <f t="shared" si="25"/>
        <v>0</v>
      </c>
      <c r="K484" s="9">
        <f>VLOOKUP($D484,SKU!$A:$I,3,FALSE)</f>
        <v>10006</v>
      </c>
      <c r="L484" s="9" t="str">
        <f>VLOOKUP($D484,SKU!$A:$I,2,FALSE)</f>
        <v>云映文化「云之境の夏」第二弹·宫崎骏珍藏卡牌</v>
      </c>
    </row>
    <row r="485" spans="2:12">
      <c r="B485" s="80" t="s">
        <v>90</v>
      </c>
      <c r="C485" s="23" t="s">
        <v>59</v>
      </c>
      <c r="D485" s="6" t="s">
        <v>131</v>
      </c>
      <c r="E485" s="8">
        <f>SUMIFS(Xuất出库!D:D,Xuất出库!G:G,B485,Xuất出库!C:C,D485)</f>
        <v>19</v>
      </c>
      <c r="F485" s="9">
        <f>SUMIFS(Xuất出库!E:E,Xuất出库!G:G,B485,Xuất出库!C:C,D485)+SUMIFS(Xuất出库!F:F,Xuất出库!G:G,B485,Xuất出库!C:C,D485)</f>
        <v>37</v>
      </c>
      <c r="G485" s="6">
        <f>2+2+1</f>
        <v>5</v>
      </c>
      <c r="H485" s="9">
        <f>SUMIFS(Hoàn回库!E:E,Hoàn回库!G:G,B485,Hoàn回库!C:C,D485)+SUMIFS(Hoàn回库!F:F,Hoàn回库!G:G,B485,Hoàn回库!C:C,D485)</f>
        <v>20</v>
      </c>
      <c r="I485" s="9">
        <f>SUMIFS('Điều hàng调货'!E:E,'Điều hàng调货'!A:A,K485,'Điều hàng调货'!G:G,B485)*-1+SUMIFS('Điều hàng调货'!E:E,'Điều hàng调货'!A:A,K485,'Điều hàng调货'!H:H,B485)+SUMIFS('Điều hàng调货'!F:F,'Điều hàng调货'!A:A,K485,'Điều hàng调货'!G:G,B485)*-1+SUMIFS('Điều hàng调货'!F:F,'Điều hàng调货'!A:A,K485,'Điều hàng调货'!H:H,B485)</f>
        <v>0</v>
      </c>
      <c r="J485" s="9">
        <f t="shared" si="25"/>
        <v>12</v>
      </c>
      <c r="K485" s="9">
        <f>VLOOKUP($D485,SKU!$A:$I,3,FALSE)</f>
        <v>10026</v>
      </c>
      <c r="L485" s="9" t="str">
        <f>VLOOKUP($D485,SKU!$A:$I,2,FALSE)</f>
        <v>星恋文创·恋与深空《晦明交错之间》亚克力相框卡</v>
      </c>
    </row>
    <row r="486" spans="2:12">
      <c r="B486" s="80" t="s">
        <v>90</v>
      </c>
      <c r="C486" s="23" t="s">
        <v>59</v>
      </c>
      <c r="D486" s="6" t="s">
        <v>374</v>
      </c>
      <c r="E486" s="8">
        <f>SUMIFS(Xuất出库!D:D,Xuất出库!G:G,B486,Xuất出库!C:C,D486)</f>
        <v>15</v>
      </c>
      <c r="F486" s="9">
        <f>SUMIFS(Xuất出库!E:E,Xuất出库!G:G,B486,Xuất出库!C:C,D486)+SUMIFS(Xuất出库!F:F,Xuất出库!G:G,B486,Xuất出库!C:C,D486)</f>
        <v>195</v>
      </c>
      <c r="G486" s="6">
        <f>74</f>
        <v>74</v>
      </c>
      <c r="H486" s="9">
        <f>SUMIFS(Hoàn回库!E:E,Hoàn回库!G:G,B486,Hoàn回库!C:C,D486)+SUMIFS(Hoàn回库!F:F,Hoàn回库!G:G,B486,Hoàn回库!C:C,D486)</f>
        <v>0</v>
      </c>
      <c r="I486" s="9">
        <f>SUMIFS('Điều hàng调货'!E:E,'Điều hàng调货'!A:A,K486,'Điều hàng调货'!G:G,B486)*-1+SUMIFS('Điều hàng调货'!E:E,'Điều hàng调货'!A:A,K486,'Điều hàng调货'!H:H,B486)+SUMIFS('Điều hàng调货'!F:F,'Điều hàng调货'!A:A,K486,'Điều hàng调货'!G:G,B486)*-1+SUMIFS('Điều hàng调货'!F:F,'Điều hàng调货'!A:A,K486,'Điều hàng调货'!H:H,B486)</f>
        <v>0</v>
      </c>
      <c r="J486" s="9">
        <f t="shared" si="25"/>
        <v>121</v>
      </c>
      <c r="K486" s="9">
        <f>VLOOKUP($D486,SKU!$A:$I,3,FALSE)</f>
        <v>10106</v>
      </c>
      <c r="L486" s="9" t="str">
        <f>VLOOKUP($D486,SKU!$A:$I,2,FALSE)</f>
        <v>云映文化时光绘卷·宫崎骏珍藏卡牌</v>
      </c>
    </row>
    <row r="487" spans="2:12">
      <c r="B487" s="80" t="s">
        <v>90</v>
      </c>
      <c r="C487" s="23" t="s">
        <v>59</v>
      </c>
      <c r="D487" s="6" t="s">
        <v>12</v>
      </c>
      <c r="E487" s="8">
        <f>SUMIFS(Xuất出库!D:D,Xuất出库!G:G,B487,Xuất出库!C:C,D487)</f>
        <v>0</v>
      </c>
      <c r="F487" s="9">
        <f>SUMIFS(Xuất出库!E:E,Xuất出库!G:G,B487,Xuất出库!C:C,D487)+SUMIFS(Xuất出库!F:F,Xuất出库!G:G,B487,Xuất出库!C:C,D487)</f>
        <v>2</v>
      </c>
      <c r="G487" s="6">
        <f>1</f>
        <v>1</v>
      </c>
      <c r="H487" s="9">
        <f>SUMIFS(Hoàn回库!E:E,Hoàn回库!G:G,B487,Hoàn回库!C:C,D487)+SUMIFS(Hoàn回库!F:F,Hoàn回库!G:G,B487,Hoàn回库!C:C,D487)</f>
        <v>0</v>
      </c>
      <c r="I487" s="9">
        <f>SUMIFS('Điều hàng调货'!E:E,'Điều hàng调货'!A:A,K487,'Điều hàng调货'!G:G,B487)*-1+SUMIFS('Điều hàng调货'!E:E,'Điều hàng调货'!A:A,K487,'Điều hàng调货'!H:H,B487)+SUMIFS('Điều hàng调货'!F:F,'Điều hàng调货'!A:A,K487,'Điều hàng调货'!G:G,B487)*-1+SUMIFS('Điều hàng调货'!F:F,'Điều hàng调货'!A:A,K487,'Điều hàng调货'!H:H,B487)</f>
        <v>-1</v>
      </c>
      <c r="J487" s="9">
        <f t="shared" si="25"/>
        <v>0</v>
      </c>
      <c r="K487" s="9">
        <f>VLOOKUP($D487,SKU!$A:$I,3,FALSE)</f>
        <v>10001</v>
      </c>
      <c r="L487" s="9" t="str">
        <f>VLOOKUP($D487,SKU!$A:$I,2,FALSE)</f>
        <v>《东株社》宝可梦水晶砖</v>
      </c>
    </row>
    <row r="488" spans="2:12">
      <c r="B488" s="80" t="s">
        <v>90</v>
      </c>
      <c r="C488" s="23" t="s">
        <v>59</v>
      </c>
      <c r="D488" s="6" t="s">
        <v>127</v>
      </c>
      <c r="E488" s="8">
        <f>SUMIFS(Xuất出库!D:D,Xuất出库!G:G,B488,Xuất出库!C:C,D488)</f>
        <v>0</v>
      </c>
      <c r="F488" s="9">
        <f>SUMIFS(Xuất出库!E:E,Xuất出库!G:G,B488,Xuất出库!C:C,D488)+SUMIFS(Xuất出库!F:F,Xuất出库!G:G,B488,Xuất出库!C:C,D488)</f>
        <v>90</v>
      </c>
      <c r="G488" s="6">
        <f>18</f>
        <v>18</v>
      </c>
      <c r="H488" s="9">
        <f>SUMIFS(Hoàn回库!E:E,Hoàn回库!G:G,B488,Hoàn回库!C:C,D488)+SUMIFS(Hoàn回库!F:F,Hoàn回库!G:G,B488,Hoàn回库!C:C,D488)</f>
        <v>0</v>
      </c>
      <c r="I488" s="9">
        <f>SUMIFS('Điều hàng调货'!E:E,'Điều hàng调货'!A:A,K488,'Điều hàng调货'!G:G,B488)*-1+SUMIFS('Điều hàng调货'!E:E,'Điều hàng调货'!A:A,K488,'Điều hàng调货'!H:H,B488)+SUMIFS('Điều hàng调货'!F:F,'Điều hàng调货'!A:A,K488,'Điều hàng调货'!G:G,B488)*-1+SUMIFS('Điều hàng调货'!F:F,'Điều hàng调货'!A:A,K488,'Điều hàng调货'!H:H,B488)</f>
        <v>0</v>
      </c>
      <c r="J488" s="9">
        <f t="shared" si="25"/>
        <v>72</v>
      </c>
      <c r="K488" s="9">
        <f>VLOOKUP($D488,SKU!$A:$I,3,FALSE)</f>
        <v>10025</v>
      </c>
      <c r="L488" s="9" t="str">
        <f>VLOOKUP($D488,SKU!$A:$I,2,FALSE)</f>
        <v>君屹文化耽美古风收藏新纪元《言辞忆梦》撕撕乐</v>
      </c>
    </row>
    <row r="489" spans="2:12">
      <c r="B489" s="80" t="s">
        <v>90</v>
      </c>
      <c r="C489" s="23" t="s">
        <v>59</v>
      </c>
      <c r="D489" s="6" t="s">
        <v>18</v>
      </c>
      <c r="E489" s="8">
        <f>SUMIFS(Xuất出库!D:D,Xuất出库!G:G,B489,Xuất出库!C:C,D489)</f>
        <v>5</v>
      </c>
      <c r="F489" s="9">
        <f>SUMIFS(Xuất出库!E:E,Xuất出库!G:G,B489,Xuất出库!C:C,D489)+SUMIFS(Xuất出库!F:F,Xuất出库!G:G,B489,Xuất出库!C:C,D489)</f>
        <v>65</v>
      </c>
      <c r="G489" s="10">
        <f>3</f>
        <v>3</v>
      </c>
      <c r="H489" s="9">
        <f>SUMIFS(Hoàn回库!E:E,Hoàn回库!G:G,B489,Hoàn回库!C:C,D489)+SUMIFS(Hoàn回库!F:F,Hoàn回库!G:G,B489,Hoàn回库!C:C,D489)</f>
        <v>13</v>
      </c>
      <c r="I489" s="9">
        <f>SUMIFS('Điều hàng调货'!E:E,'Điều hàng调货'!A:A,K489,'Điều hàng调货'!G:G,B489)*-1+SUMIFS('Điều hàng调货'!E:E,'Điều hàng调货'!A:A,K489,'Điều hàng调货'!H:H,B489)+SUMIFS('Điều hàng调货'!F:F,'Điều hàng调货'!A:A,K489,'Điều hàng调货'!G:G,B489)*-1+SUMIFS('Điều hàng调货'!F:F,'Điều hàng调货'!A:A,K489,'Điều hàng调货'!H:H,B489)</f>
        <v>-49</v>
      </c>
      <c r="J489" s="9">
        <f t="shared" si="25"/>
        <v>0</v>
      </c>
      <c r="K489" s="9">
        <f>VLOOKUP($D489,SKU!$A:$I,3,FALSE)</f>
        <v>10002</v>
      </c>
      <c r="L489" s="9" t="str">
        <f>VLOOKUP($D489,SKU!$A:$I,2,FALSE)</f>
        <v>MoonCard月卡《美少女战士》第三弹</v>
      </c>
    </row>
    <row r="490" spans="2:12">
      <c r="B490" s="80" t="s">
        <v>90</v>
      </c>
      <c r="C490" s="23" t="s">
        <v>59</v>
      </c>
      <c r="D490" s="6" t="s">
        <v>75</v>
      </c>
      <c r="E490" s="8">
        <f>SUMIFS(Xuất出库!D:D,Xuất出库!G:G,B490,Xuất出库!C:C,D490)</f>
        <v>5</v>
      </c>
      <c r="F490" s="9">
        <f>SUMIFS(Xuất出库!E:E,Xuất出库!G:G,B490,Xuất出库!C:C,D490)+SUMIFS(Xuất出库!F:F,Xuất出库!G:G,B490,Xuất出库!C:C,D490)</f>
        <v>150</v>
      </c>
      <c r="G490" s="6">
        <f>20+40</f>
        <v>60</v>
      </c>
      <c r="H490" s="9">
        <f>SUMIFS(Hoàn回库!E:E,Hoàn回库!G:G,B490,Hoàn回库!C:C,D490)+SUMIFS(Hoàn回库!F:F,Hoàn回库!G:G,B490,Hoàn回库!C:C,D490)</f>
        <v>0</v>
      </c>
      <c r="I490" s="9">
        <f>SUMIFS('Điều hàng调货'!E:E,'Điều hàng调货'!A:A,K490,'Điều hàng调货'!G:G,B490)*-1+SUMIFS('Điều hàng调货'!E:E,'Điều hàng调货'!A:A,K490,'Điều hàng调货'!H:H,B490)+SUMIFS('Điều hàng调货'!F:F,'Điều hàng调货'!A:A,K490,'Điều hàng调货'!G:G,B490)*-1+SUMIFS('Điều hàng调货'!F:F,'Điều hàng调货'!A:A,K490,'Điều hàng调货'!H:H,B490)</f>
        <v>0</v>
      </c>
      <c r="J490" s="9">
        <f t="shared" si="25"/>
        <v>90</v>
      </c>
      <c r="K490" s="9">
        <f>VLOOKUP($D490,SKU!$A:$I,3,FALSE)</f>
        <v>10012</v>
      </c>
      <c r="L490" s="9" t="str">
        <f>VLOOKUP($D490,SKU!$A:$I,2,FALSE)</f>
        <v>卡文化进击的巨人</v>
      </c>
    </row>
    <row r="491" spans="2:12">
      <c r="B491" s="80" t="s">
        <v>90</v>
      </c>
      <c r="C491" s="23" t="s">
        <v>59</v>
      </c>
      <c r="D491" s="6" t="s">
        <v>255</v>
      </c>
      <c r="E491" s="8">
        <f>SUMIFS(Xuất出库!D:D,Xuất出库!G:G,B491,Xuất出库!C:C,D491)</f>
        <v>5</v>
      </c>
      <c r="F491" s="9">
        <f>SUMIFS(Xuất出库!E:E,Xuất出库!G:G,B491,Xuất出库!C:C,D491)+SUMIFS(Xuất出库!F:F,Xuất出库!G:G,B491,Xuất出库!C:C,D491)</f>
        <v>100</v>
      </c>
      <c r="G491" s="6">
        <f>5</f>
        <v>5</v>
      </c>
      <c r="H491" s="9">
        <f>SUMIFS(Hoàn回库!E:E,Hoàn回库!G:G,B491,Hoàn回库!C:C,D491)+SUMIFS(Hoàn回库!F:F,Hoàn回库!G:G,B491,Hoàn回库!C:C,D491)</f>
        <v>0</v>
      </c>
      <c r="I491" s="9">
        <f>SUMIFS('Điều hàng调货'!E:E,'Điều hàng调货'!A:A,K491,'Điều hàng调货'!G:G,B491)*-1+SUMIFS('Điều hàng调货'!E:E,'Điều hàng调货'!A:A,K491,'Điều hàng调货'!H:H,B491)+SUMIFS('Điều hàng调货'!F:F,'Điều hàng调货'!A:A,K491,'Điều hàng调货'!G:G,B491)*-1+SUMIFS('Điều hàng调货'!F:F,'Điều hàng调货'!A:A,K491,'Điều hàng调货'!H:H,B491)</f>
        <v>0</v>
      </c>
      <c r="J491" s="9">
        <f t="shared" si="25"/>
        <v>95</v>
      </c>
      <c r="K491" s="9">
        <f>VLOOKUP($D491,SKU!$A:$I,3,FALSE)</f>
        <v>10062</v>
      </c>
      <c r="L491" s="9" t="str">
        <f>VLOOKUP($D491,SKU!$A:$I,2,FALSE)</f>
        <v>Mobile Legends: Bang Bang-Collectible Cards-Hand of Destiny-001A-SEA</v>
      </c>
    </row>
    <row r="492" spans="2:12">
      <c r="B492" s="80" t="s">
        <v>90</v>
      </c>
      <c r="C492" s="23" t="s">
        <v>59</v>
      </c>
      <c r="D492" s="6" t="s">
        <v>260</v>
      </c>
      <c r="E492" s="8">
        <f>SUMIFS(Xuất出库!D:D,Xuất出库!G:G,B492,Xuất出库!C:C,D492)</f>
        <v>5</v>
      </c>
      <c r="F492" s="9">
        <f>SUMIFS(Xuất出库!E:E,Xuất出库!G:G,B492,Xuất出库!C:C,D492)+SUMIFS(Xuất出库!F:F,Xuất出库!G:G,B492,Xuất出库!C:C,D492)</f>
        <v>30</v>
      </c>
      <c r="G492" s="6">
        <f>6+7+5+9+3+1</f>
        <v>31</v>
      </c>
      <c r="H492" s="9">
        <f>SUMIFS(Hoàn回库!E:E,Hoàn回库!G:G,B492,Hoàn回库!C:C,D492)+SUMIFS(Hoàn回库!F:F,Hoàn回库!G:G,B492,Hoàn回库!C:C,D492)</f>
        <v>0</v>
      </c>
      <c r="I492" s="9">
        <f>SUMIFS('Điều hàng调货'!E:E,'Điều hàng调货'!A:A,K492,'Điều hàng调货'!G:G,B492)*-1+SUMIFS('Điều hàng调货'!E:E,'Điều hàng调货'!A:A,K492,'Điều hàng调货'!H:H,B492)+SUMIFS('Điều hàng调货'!F:F,'Điều hàng调货'!A:A,K492,'Điều hàng调货'!G:G,B492)*-1+SUMIFS('Điều hàng调货'!F:F,'Điều hàng调货'!A:A,K492,'Điều hàng调货'!H:H,B492)</f>
        <v>1</v>
      </c>
      <c r="J492" s="9">
        <f t="shared" si="25"/>
        <v>0</v>
      </c>
      <c r="K492" s="9">
        <f>VLOOKUP($D492,SKU!$A:$I,3,FALSE)</f>
        <v>10064</v>
      </c>
      <c r="L492" s="9" t="str">
        <f>VLOOKUP($D492,SKU!$A:$I,2,FALSE)</f>
        <v>源宇宙崩铁色纸</v>
      </c>
    </row>
    <row r="493" spans="2:12">
      <c r="B493" s="80" t="s">
        <v>90</v>
      </c>
      <c r="C493" s="23" t="s">
        <v>59</v>
      </c>
      <c r="D493" s="6" t="s">
        <v>317</v>
      </c>
      <c r="E493" s="8">
        <f>SUMIFS(Xuất出库!D:D,Xuất出库!G:G,B493,Xuất出库!C:C,D493)</f>
        <v>0</v>
      </c>
      <c r="F493" s="9">
        <f>SUMIFS(Xuất出库!E:E,Xuất出库!G:G,B493,Xuất出库!C:C,D493)+SUMIFS(Xuất出库!F:F,Xuất出库!G:G,B493,Xuất出库!C:C,D493)</f>
        <v>100</v>
      </c>
      <c r="G493" s="6">
        <f>0+2</f>
        <v>2</v>
      </c>
      <c r="H493" s="9">
        <f>SUMIFS(Hoàn回库!E:E,Hoàn回库!G:G,B493,Hoàn回库!C:C,D493)+SUMIFS(Hoàn回库!F:F,Hoàn回库!G:G,B493,Hoàn回库!C:C,D493)</f>
        <v>0</v>
      </c>
      <c r="I493" s="9">
        <f>SUMIFS('Điều hàng调货'!E:E,'Điều hàng调货'!A:A,K493,'Điều hàng调货'!G:G,B493)*-1+SUMIFS('Điều hàng调货'!E:E,'Điều hàng调货'!A:A,K493,'Điều hàng调货'!H:H,B493)+SUMIFS('Điều hàng调货'!F:F,'Điều hàng调货'!A:A,K493,'Điều hàng调货'!G:G,B493)*-1+SUMIFS('Điều hàng调货'!F:F,'Điều hàng调货'!A:A,K493,'Điều hàng调货'!H:H,B493)</f>
        <v>-40</v>
      </c>
      <c r="J493" s="9">
        <f t="shared" si="25"/>
        <v>58</v>
      </c>
      <c r="K493" s="9">
        <f>VLOOKUP($D493,SKU!$A:$I,3,FALSE)</f>
        <v>10085</v>
      </c>
      <c r="L493" s="9" t="str">
        <f>VLOOKUP($D493,SKU!$A:$I,2,FALSE)</f>
        <v>火影忍者·手绘复刻撕撕乐</v>
      </c>
    </row>
    <row r="494" spans="2:12">
      <c r="B494" s="80" t="s">
        <v>90</v>
      </c>
      <c r="C494" s="23" t="s">
        <v>59</v>
      </c>
      <c r="D494" s="6" t="s">
        <v>280</v>
      </c>
      <c r="E494" s="8">
        <f>SUMIFS(Xuất出库!D:D,Xuất出库!G:G,B494,Xuất出库!C:C,D494)</f>
        <v>5</v>
      </c>
      <c r="F494" s="9">
        <f>SUMIFS(Xuất出库!E:E,Xuất出库!G:G,B494,Xuất出库!C:C,D494)+SUMIFS(Xuất出库!F:F,Xuất出库!G:G,B494,Xuất出库!C:C,D494)</f>
        <v>90</v>
      </c>
      <c r="G494" s="6">
        <f>19+5+3</f>
        <v>27</v>
      </c>
      <c r="H494" s="9">
        <f>SUMIFS(Hoàn回库!E:E,Hoàn回库!G:G,B494,Hoàn回库!C:C,D494)+SUMIFS(Hoàn回库!F:F,Hoàn回库!G:G,B494,Hoàn回库!C:C,D494)</f>
        <v>0</v>
      </c>
      <c r="I494" s="9">
        <f>SUMIFS('Điều hàng调货'!E:E,'Điều hàng调货'!A:A,K494,'Điều hàng调货'!G:G,B494)*-1+SUMIFS('Điều hàng调货'!E:E,'Điều hàng调货'!A:A,K494,'Điều hàng调货'!H:H,B494)+SUMIFS('Điều hàng调货'!F:F,'Điều hàng调货'!A:A,K494,'Điều hàng调货'!G:G,B494)*-1+SUMIFS('Điều hàng调货'!F:F,'Điều hàng调货'!A:A,K494,'Điều hàng调货'!H:H,B494)</f>
        <v>-3</v>
      </c>
      <c r="J494" s="9">
        <f t="shared" si="25"/>
        <v>60</v>
      </c>
      <c r="K494" s="9">
        <f>VLOOKUP($D494,SKU!$A:$I,3,FALSE)</f>
        <v>10071</v>
      </c>
      <c r="L494" s="9" t="str">
        <f>VLOOKUP($D494,SKU!$A:$I,2,FALSE)</f>
        <v>咒术回战-术士收藏卡-高专篇</v>
      </c>
    </row>
    <row r="495" spans="2:12">
      <c r="B495" s="80" t="s">
        <v>90</v>
      </c>
      <c r="C495" s="23" t="s">
        <v>59</v>
      </c>
      <c r="D495" s="6" t="s">
        <v>266</v>
      </c>
      <c r="E495" s="8">
        <f>SUMIFS(Xuất出库!D:D,Xuất出库!G:G,B495,Xuất出库!C:C,D495)</f>
        <v>5</v>
      </c>
      <c r="F495" s="9">
        <f>SUMIFS(Xuất出库!E:E,Xuất出库!G:G,B495,Xuất出库!C:C,D495)+SUMIFS(Xuất出库!F:F,Xuất出库!G:G,B495,Xuất出库!C:C,D495)</f>
        <v>180</v>
      </c>
      <c r="G495" s="6">
        <f>10+11+222+15</f>
        <v>258</v>
      </c>
      <c r="H495" s="9">
        <f>SUMIFS(Hoàn回库!E:E,Hoàn回库!G:G,B495,Hoàn回库!C:C,D495)+SUMIFS(Hoàn回库!F:F,Hoàn回库!G:G,B495,Hoàn回库!C:C,D495)</f>
        <v>0</v>
      </c>
      <c r="I495" s="9">
        <f>SUMIFS('Điều hàng调货'!E:E,'Điều hàng调货'!A:A,K495,'Điều hàng调货'!G:G,B495)*-1+SUMIFS('Điều hàng调货'!E:E,'Điều hàng调货'!A:A,K495,'Điều hàng调货'!H:H,B495)+SUMIFS('Điều hàng调货'!F:F,'Điều hàng调货'!A:A,K495,'Điều hàng调货'!G:G,B495)*-1+SUMIFS('Điều hàng调货'!F:F,'Điều hàng调货'!A:A,K495,'Điều hàng调货'!H:H,B495)</f>
        <v>81</v>
      </c>
      <c r="J495" s="9">
        <f t="shared" si="25"/>
        <v>3</v>
      </c>
      <c r="K495" s="9">
        <f>VLOOKUP($D495,SKU!$A:$I,3,FALSE)</f>
        <v>10066</v>
      </c>
      <c r="L495" s="9" t="str">
        <f>VLOOKUP($D495,SKU!$A:$I,2,FALSE)</f>
        <v>卡游柯南揭秘包第2弹</v>
      </c>
    </row>
    <row r="496" spans="2:12">
      <c r="B496" s="80" t="s">
        <v>90</v>
      </c>
      <c r="C496" s="23" t="s">
        <v>59</v>
      </c>
      <c r="D496" s="6" t="s">
        <v>290</v>
      </c>
      <c r="E496" s="8">
        <f>SUMIFS(Xuất出库!D:D,Xuất出库!G:G,B496,Xuất出库!C:C,D496)</f>
        <v>0</v>
      </c>
      <c r="F496" s="9">
        <f>SUMIFS(Xuất出库!E:E,Xuất出库!G:G,B496,Xuất出库!C:C,D496)+SUMIFS(Xuất出库!F:F,Xuất出库!G:G,B496,Xuất出库!C:C,D496)</f>
        <v>0</v>
      </c>
      <c r="G496" s="6">
        <v>13</v>
      </c>
      <c r="H496" s="9">
        <f>SUMIFS(Hoàn回库!E:E,Hoàn回库!G:G,B496,Hoàn回库!C:C,D496)+SUMIFS(Hoàn回库!F:F,Hoàn回库!G:G,B496,Hoàn回库!C:C,D496)</f>
        <v>0</v>
      </c>
      <c r="I496" s="9">
        <f>SUMIFS('Điều hàng调货'!E:E,'Điều hàng调货'!A:A,K496,'Điều hàng调货'!G:G,B496)*-1+SUMIFS('Điều hàng调货'!E:E,'Điều hàng调货'!A:A,K496,'Điều hàng调货'!H:H,B496)+SUMIFS('Điều hàng调货'!F:F,'Điều hàng调货'!A:A,K496,'Điều hàng调货'!G:G,B496)*-1+SUMIFS('Điều hàng调货'!F:F,'Điều hàng调货'!A:A,K496,'Điều hàng调货'!H:H,B496)</f>
        <v>13</v>
      </c>
      <c r="J496" s="9">
        <f t="shared" si="25"/>
        <v>0</v>
      </c>
      <c r="K496" s="9">
        <f>VLOOKUP($D496,SKU!$A:$I,3,FALSE)</f>
        <v>10075</v>
      </c>
      <c r="L496" s="9" t="str">
        <f>VLOOKUP($D496,SKU!$A:$I,2,FALSE)</f>
        <v>《万卡卡文创》鬼灭之刃日轮破晓第一弹</v>
      </c>
    </row>
    <row r="497" spans="2:12">
      <c r="B497" s="80" t="s">
        <v>90</v>
      </c>
      <c r="C497" s="23" t="s">
        <v>59</v>
      </c>
      <c r="D497" s="6" t="s">
        <v>327</v>
      </c>
      <c r="E497" s="8">
        <f>SUMIFS(Xuất出库!D:D,Xuất出库!G:G,B497,Xuất出库!C:C,D497)</f>
        <v>0</v>
      </c>
      <c r="F497" s="9">
        <f>SUMIFS(Xuất出库!E:E,Xuất出库!G:G,B497,Xuất出库!C:C,D497)+SUMIFS(Xuất出库!F:F,Xuất出库!G:G,B497,Xuất出库!C:C,D497)</f>
        <v>0</v>
      </c>
      <c r="G497" s="6">
        <f>112+82</f>
        <v>194</v>
      </c>
      <c r="H497" s="9">
        <f>SUMIFS(Hoàn回库!E:E,Hoàn回库!G:G,B497,Hoàn回库!C:C,D497)+SUMIFS(Hoàn回库!F:F,Hoàn回库!G:G,B497,Hoàn回库!C:C,D497)</f>
        <v>0</v>
      </c>
      <c r="I497" s="9">
        <f>SUMIFS('Điều hàng调货'!E:E,'Điều hàng调货'!A:A,K497,'Điều hàng调货'!G:G,B497)*-1+SUMIFS('Điều hàng调货'!E:E,'Điều hàng调货'!A:A,K497,'Điều hàng调货'!H:H,B497)+SUMIFS('Điều hàng调货'!F:F,'Điều hàng调货'!A:A,K497,'Điều hàng调货'!G:G,B497)*-1+SUMIFS('Điều hàng调货'!F:F,'Điều hàng调货'!A:A,K497,'Điều hàng调货'!H:H,B497)</f>
        <v>194</v>
      </c>
      <c r="J497" s="9">
        <f t="shared" si="25"/>
        <v>0</v>
      </c>
      <c r="K497" s="9">
        <f>VLOOKUP($D497,SKU!$A:$I,3,FALSE)</f>
        <v>10089</v>
      </c>
      <c r="L497" s="9" t="str">
        <f>VLOOKUP($D497,SKU!$A:$I,2,FALSE)</f>
        <v>星火线条小狗</v>
      </c>
    </row>
    <row r="498" spans="2:12">
      <c r="B498" s="80" t="s">
        <v>90</v>
      </c>
      <c r="C498" s="23" t="s">
        <v>59</v>
      </c>
      <c r="D498" s="6" t="s">
        <v>322</v>
      </c>
      <c r="E498" s="8">
        <f>SUMIFS(Xuất出库!D:D,Xuất出库!G:G,B498,Xuất出库!C:C,D498)</f>
        <v>5</v>
      </c>
      <c r="F498" s="9">
        <f>SUMIFS(Xuất出库!E:E,Xuất出库!G:G,B498,Xuất出库!C:C,D498)+SUMIFS(Xuất出库!F:F,Xuất出库!G:G,B498,Xuất出库!C:C,D498)</f>
        <v>180</v>
      </c>
      <c r="G498" s="6">
        <f>0</f>
        <v>0</v>
      </c>
      <c r="H498" s="9">
        <f>SUMIFS(Hoàn回库!E:E,Hoàn回库!G:G,B498,Hoàn回库!C:C,D498)+SUMIFS(Hoàn回库!F:F,Hoàn回库!G:G,B498,Hoàn回库!C:C,D498)</f>
        <v>0</v>
      </c>
      <c r="I498" s="9">
        <f>SUMIFS('Điều hàng调货'!E:E,'Điều hàng调货'!A:A,K498,'Điều hàng调货'!G:G,B498)*-1+SUMIFS('Điều hàng调货'!E:E,'Điều hàng调货'!A:A,K498,'Điều hàng调货'!H:H,B498)+SUMIFS('Điều hàng调货'!F:F,'Điều hàng调货'!A:A,K498,'Điều hàng调货'!G:G,B498)*-1+SUMIFS('Điều hàng调货'!F:F,'Điều hàng调货'!A:A,K498,'Điều hàng调货'!H:H,B498)</f>
        <v>-10</v>
      </c>
      <c r="J498" s="9">
        <f t="shared" si="25"/>
        <v>170</v>
      </c>
      <c r="K498" s="9">
        <f>VLOOKUP($D498,SKU!$A:$I,3,FALSE)</f>
        <v>10087</v>
      </c>
      <c r="L498" s="9" t="str">
        <f>VLOOKUP($D498,SKU!$A:$I,2,FALSE)</f>
        <v>世界杯足球2026</v>
      </c>
    </row>
    <row r="499" spans="2:12">
      <c r="B499" s="80" t="s">
        <v>90</v>
      </c>
      <c r="C499" s="23" t="s">
        <v>59</v>
      </c>
      <c r="D499" s="6" t="s">
        <v>249</v>
      </c>
      <c r="E499" s="8">
        <f>SUMIFS(Xuất出库!D:D,Xuất出库!G:G,B499,Xuất出库!C:C,D499)</f>
        <v>5</v>
      </c>
      <c r="F499" s="9">
        <f>SUMIFS(Xuất出库!E:E,Xuất出库!G:G,B499,Xuất出库!C:C,D499)+SUMIFS(Xuất出库!F:F,Xuất出库!G:G,B499,Xuất出库!C:C,D499)</f>
        <v>65</v>
      </c>
      <c r="G499" s="6">
        <f>13+9</f>
        <v>22</v>
      </c>
      <c r="H499" s="9">
        <f>SUMIFS(Hoàn回库!E:E,Hoàn回库!G:G,B499,Hoàn回库!C:C,D499)+SUMIFS(Hoàn回库!F:F,Hoàn回库!G:G,B499,Hoàn回库!C:C,D499)</f>
        <v>0</v>
      </c>
      <c r="I499" s="9">
        <f>SUMIFS('Điều hàng调货'!E:E,'Điều hàng调货'!A:A,K499,'Điều hàng调货'!G:G,B499)*-1+SUMIFS('Điều hàng调货'!E:E,'Điều hàng调货'!A:A,K499,'Điều hàng调货'!H:H,B499)+SUMIFS('Điều hàng调货'!F:F,'Điều hàng调货'!A:A,K499,'Điều hàng调货'!G:G,B499)*-1+SUMIFS('Điều hàng调货'!F:F,'Điều hàng调货'!A:A,K499,'Điều hàng调货'!H:H,B499)</f>
        <v>-10</v>
      </c>
      <c r="J499" s="9">
        <f t="shared" si="25"/>
        <v>33</v>
      </c>
      <c r="K499" s="9">
        <f>VLOOKUP($D499,SKU!$A:$I,3,FALSE)</f>
        <v>10060</v>
      </c>
      <c r="L499" s="9" t="str">
        <f>VLOOKUP($D499,SKU!$A:$I,2,FALSE)</f>
        <v>漫の森《宫崎骏第三弹·奇幻之旅》</v>
      </c>
    </row>
    <row r="500" spans="2:12">
      <c r="B500" s="80" t="s">
        <v>90</v>
      </c>
      <c r="C500" s="23" t="s">
        <v>59</v>
      </c>
      <c r="D500" s="6" t="s">
        <v>299</v>
      </c>
      <c r="E500" s="8">
        <f>SUMIFS(Xuất出库!D:D,Xuất出库!G:G,B500,Xuất出库!C:C,D500)</f>
        <v>0</v>
      </c>
      <c r="F500" s="9">
        <f>SUMIFS(Xuất出库!E:E,Xuất出库!G:G,B500,Xuất出库!C:C,D500)+SUMIFS(Xuất出库!F:F,Xuất出库!G:G,B500,Xuất出库!C:C,D500)</f>
        <v>0</v>
      </c>
      <c r="G500" s="6">
        <v>1</v>
      </c>
      <c r="H500" s="9">
        <f>SUMIFS(Hoàn回库!E:E,Hoàn回库!G:G,B500,Hoàn回库!C:C,D500)+SUMIFS(Hoàn回库!F:F,Hoàn回库!G:G,B500,Hoàn回库!C:C,D500)</f>
        <v>0</v>
      </c>
      <c r="I500" s="9">
        <f>SUMIFS('Điều hàng调货'!E:E,'Điều hàng调货'!A:A,K500,'Điều hàng调货'!G:G,B500)*-1+SUMIFS('Điều hàng调货'!E:E,'Điều hàng调货'!A:A,K500,'Điều hàng调货'!H:H,B500)+SUMIFS('Điều hàng调货'!F:F,'Điều hàng调货'!A:A,K500,'Điều hàng调货'!G:G,B500)*-1+SUMIFS('Điều hàng调货'!F:F,'Điều hàng调货'!A:A,K500,'Điều hàng调货'!H:H,B500)</f>
        <v>3</v>
      </c>
      <c r="J500" s="9">
        <f t="shared" si="25"/>
        <v>2</v>
      </c>
      <c r="K500" s="9">
        <f>VLOOKUP($D500,SKU!$A:$I,3,FALSE)</f>
        <v>10078</v>
      </c>
      <c r="L500" s="9" t="str">
        <f>VLOOKUP($D500,SKU!$A:$I,2,FALSE)</f>
        <v>摩斯社×名侦探柯南-摩斯密码系列评级邮票</v>
      </c>
    </row>
    <row r="501" spans="2:12">
      <c r="B501" s="80" t="s">
        <v>90</v>
      </c>
      <c r="C501" s="23" t="s">
        <v>59</v>
      </c>
      <c r="D501" s="6" t="s">
        <v>358</v>
      </c>
      <c r="E501" s="8">
        <f>SUMIFS(Xuất出库!D:D,Xuất出库!G:G,B501,Xuất出库!C:C,D501)</f>
        <v>15</v>
      </c>
      <c r="F501" s="9">
        <f>SUMIFS(Xuất出库!E:E,Xuất出库!G:G,B501,Xuất出库!C:C,D501)+SUMIFS(Xuất出库!F:F,Xuất出库!G:G,B501,Xuất出库!C:C,D501)</f>
        <v>195</v>
      </c>
      <c r="G501" s="6">
        <f>32+13+32+13+13</f>
        <v>103</v>
      </c>
      <c r="H501" s="9">
        <f>SUMIFS(Hoàn回库!E:E,Hoàn回库!G:G,B501,Hoàn回库!C:C,D501)+SUMIFS(Hoàn回库!F:F,Hoàn回库!G:G,B501,Hoàn回库!C:C,D501)</f>
        <v>0</v>
      </c>
      <c r="I501" s="9">
        <f>SUMIFS('Điều hàng调货'!E:E,'Điều hàng调货'!A:A,K501,'Điều hàng调货'!G:G,B501)*-1+SUMIFS('Điều hàng调货'!E:E,'Điều hàng调货'!A:A,K501,'Điều hàng调货'!H:H,B501)+SUMIFS('Điều hàng调货'!F:F,'Điều hàng调货'!A:A,K501,'Điều hàng调货'!G:G,B501)*-1+SUMIFS('Điều hàng调货'!F:F,'Điều hàng调货'!A:A,K501,'Điều hàng调货'!H:H,B501)</f>
        <v>-19</v>
      </c>
      <c r="J501" s="9">
        <f t="shared" si="25"/>
        <v>73</v>
      </c>
      <c r="K501" s="9">
        <f>VLOOKUP($D501,SKU!$A:$I,3,FALSE)</f>
        <v>10100</v>
      </c>
      <c r="L501" s="9" t="str">
        <f>VLOOKUP($D501,SKU!$A:$I,2,FALSE)</f>
        <v>《意卡文创海贼王》第二弹</v>
      </c>
    </row>
    <row r="502" spans="2:12">
      <c r="B502" s="80" t="s">
        <v>90</v>
      </c>
      <c r="C502" s="23" t="s">
        <v>59</v>
      </c>
      <c r="D502" s="6" t="s">
        <v>364</v>
      </c>
      <c r="E502" s="8">
        <f>SUMIFS(Xuất出库!D:D,Xuất出库!G:G,B502,Xuất出库!C:C,D502)</f>
        <v>5</v>
      </c>
      <c r="F502" s="9">
        <f>SUMIFS(Xuất出库!E:E,Xuất出库!G:G,B502,Xuất出库!C:C,D502)+SUMIFS(Xuất出库!F:F,Xuất出库!G:G,B502,Xuất出库!C:C,D502)</f>
        <v>65</v>
      </c>
      <c r="G502" s="6">
        <v>26</v>
      </c>
      <c r="H502" s="9">
        <f>SUMIFS(Hoàn回库!E:E,Hoàn回库!G:G,B502,Hoàn回库!C:C,D502)+SUMIFS(Hoàn回库!F:F,Hoàn回库!G:G,B502,Hoàn回库!C:C,D502)</f>
        <v>0</v>
      </c>
      <c r="I502" s="9">
        <f>SUMIFS('Điều hàng调货'!E:E,'Điều hàng调货'!A:A,K502,'Điều hàng调货'!G:G,B502)*-1+SUMIFS('Điều hàng调货'!E:E,'Điều hàng调货'!A:A,K502,'Điều hàng调货'!H:H,B502)+SUMIFS('Điều hàng调货'!F:F,'Điều hàng调货'!A:A,K502,'Điều hàng调货'!G:G,B502)*-1+SUMIFS('Điều hàng调货'!F:F,'Điều hàng调货'!A:A,K502,'Điều hàng调货'!H:H,B502)</f>
        <v>0</v>
      </c>
      <c r="J502" s="9">
        <f t="shared" si="25"/>
        <v>39</v>
      </c>
      <c r="K502" s="9">
        <f>VLOOKUP($D502,SKU!$A:$I,3,FALSE)</f>
        <v>10102</v>
      </c>
      <c r="L502" s="9" t="str">
        <f>VLOOKUP($D502,SKU!$A:$I,2,FALSE)</f>
        <v>麒麟文创航海王第一弹-仙道天下</v>
      </c>
    </row>
    <row r="503" spans="2:12">
      <c r="B503" s="80" t="s">
        <v>90</v>
      </c>
      <c r="C503" s="23" t="s">
        <v>59</v>
      </c>
      <c r="D503" s="6" t="s">
        <v>325</v>
      </c>
      <c r="E503" s="8">
        <f>SUMIFS(Xuất出库!D:D,Xuất出库!G:G,B503,Xuất出库!C:C,D503)</f>
        <v>5</v>
      </c>
      <c r="F503" s="9">
        <f>SUMIFS(Xuất出库!E:E,Xuất出库!G:G,B503,Xuất出库!C:C,D503)+SUMIFS(Xuất出库!F:F,Xuất出库!G:G,B503,Xuất出库!C:C,D503)</f>
        <v>150</v>
      </c>
      <c r="G503" s="6">
        <v>3</v>
      </c>
      <c r="H503" s="9">
        <f>SUMIFS(Hoàn回库!E:E,Hoàn回库!G:G,B503,Hoàn回库!C:C,D503)+SUMIFS(Hoàn回库!F:F,Hoàn回库!G:G,B503,Hoàn回库!C:C,D503)</f>
        <v>0</v>
      </c>
      <c r="I503" s="9">
        <f>SUMIFS('Điều hàng调货'!E:E,'Điều hàng调货'!A:A,K503,'Điều hàng调货'!G:G,B503)*-1+SUMIFS('Điều hàng调货'!E:E,'Điều hàng调货'!A:A,K503,'Điều hàng调货'!H:H,B503)+SUMIFS('Điều hàng调货'!F:F,'Điều hàng调货'!A:A,K503,'Điều hàng调货'!G:G,B503)*-1+SUMIFS('Điều hàng调货'!F:F,'Điều hàng调货'!A:A,K503,'Điều hàng调货'!H:H,B503)</f>
        <v>0</v>
      </c>
      <c r="J503" s="9">
        <f t="shared" si="25"/>
        <v>147</v>
      </c>
      <c r="K503" s="9">
        <f>VLOOKUP($D503,SKU!$A:$I,3,FALSE)</f>
        <v>10088</v>
      </c>
      <c r="L503" s="9" t="str">
        <f>VLOOKUP($D503,SKU!$A:$I,2,FALSE)</f>
        <v>名侦探柯南-名推理收藏卡-觅影包-第3弹</v>
      </c>
    </row>
    <row r="504" spans="2:12">
      <c r="B504" s="80" t="s">
        <v>90</v>
      </c>
      <c r="C504" s="23" t="s">
        <v>59</v>
      </c>
      <c r="D504" s="29" t="s">
        <v>377</v>
      </c>
      <c r="E504" s="30">
        <f>SUMIFS(Xuất出库!D:D,Xuất出库!G:G,B504,Xuất出库!C:C,D504)</f>
        <v>0</v>
      </c>
      <c r="F504" s="31">
        <f>SUMIFS(Xuất出库!E:E,Xuất出库!G:G,B504,Xuất出库!C:C,D504)+SUMIFS(Xuất出库!F:F,Xuất出库!G:G,B504,Xuất出库!C:C,D504)</f>
        <v>0</v>
      </c>
      <c r="G504" s="29">
        <v>126</v>
      </c>
      <c r="H504" s="31">
        <f>SUMIFS(Hoàn回库!E:E,Hoàn回库!G:G,B504,Hoàn回库!C:C,D504)+SUMIFS(Hoàn回库!F:F,Hoàn回库!G:G,B504,Hoàn回库!C:C,D504)</f>
        <v>0</v>
      </c>
      <c r="I504" s="31">
        <f>SUMIFS('Điều hàng调货'!E:E,'Điều hàng调货'!A:A,K504,'Điều hàng调货'!G:G,B504)*-1+SUMIFS('Điều hàng调货'!E:E,'Điều hàng调货'!A:A,K504,'Điều hàng调货'!H:H,B504)+SUMIFS('Điều hàng调货'!F:F,'Điều hàng调货'!A:A,K504,'Điều hàng调货'!G:G,B504)*-1+SUMIFS('Điều hàng调货'!F:F,'Điều hàng调货'!A:A,K504,'Điều hàng调货'!H:H,B504)</f>
        <v>231</v>
      </c>
      <c r="J504" s="31">
        <f t="shared" si="25"/>
        <v>105</v>
      </c>
      <c r="K504" s="31">
        <f>VLOOKUP($D504,SKU!$A:$I,3,FALSE)</f>
        <v>10107</v>
      </c>
      <c r="L504" s="31" t="str">
        <f>VLOOKUP($D504,SKU!$A:$I,2,FALSE)</f>
        <v>Hi卡柯南第四弹《一切都会大白于天下》</v>
      </c>
    </row>
    <row r="505" spans="2:12">
      <c r="B505" s="80" t="s">
        <v>90</v>
      </c>
      <c r="C505" s="23" t="s">
        <v>59</v>
      </c>
      <c r="D505" s="29" t="s">
        <v>91</v>
      </c>
      <c r="E505" s="30">
        <f>SUMIFS(Xuất出库!D:D,Xuất出库!G:G,B505,Xuất出库!C:C,D505)</f>
        <v>0</v>
      </c>
      <c r="F505" s="31">
        <f>SUMIFS(Xuất出库!E:E,Xuất出库!G:G,B505,Xuất出库!C:C,D505)+SUMIFS(Xuất出库!F:F,Xuất出库!G:G,B505,Xuất出库!C:C,D505)</f>
        <v>0</v>
      </c>
      <c r="G505" s="29">
        <f>88</f>
        <v>88</v>
      </c>
      <c r="H505" s="31">
        <f>SUMIFS(Hoàn回库!E:E,Hoàn回库!G:G,B505,Hoàn回库!C:C,D505)+SUMIFS(Hoàn回库!F:F,Hoàn回库!G:G,B505,Hoàn回库!C:C,D505)</f>
        <v>0</v>
      </c>
      <c r="I505" s="31">
        <f>SUMIFS('Điều hàng调货'!E:E,'Điều hàng调货'!A:A,K505,'Điều hàng调货'!G:G,B505)*-1+SUMIFS('Điều hàng调货'!E:E,'Điều hàng调货'!A:A,K505,'Điều hàng调货'!H:H,B505)+SUMIFS('Điều hàng调货'!F:F,'Điều hàng调货'!A:A,K505,'Điều hàng调货'!G:G,B505)*-1+SUMIFS('Điều hàng调货'!F:F,'Điều hàng调货'!A:A,K505,'Điều hàng调货'!H:H,B505)</f>
        <v>101</v>
      </c>
      <c r="J505" s="31">
        <f t="shared" si="25"/>
        <v>13</v>
      </c>
      <c r="K505" s="31">
        <f>VLOOKUP($D505,SKU!$A:$I,3,FALSE)</f>
        <v>10016</v>
      </c>
      <c r="L505" s="31" t="str">
        <f>VLOOKUP($D505,SKU!$A:$I,2,FALSE)</f>
        <v>思梨普文创《hey!国王陛下》集换式艺术家典藏卡</v>
      </c>
    </row>
    <row r="506" spans="2:12">
      <c r="B506" s="80" t="s">
        <v>90</v>
      </c>
      <c r="C506" s="23" t="s">
        <v>59</v>
      </c>
      <c r="D506" s="29" t="s">
        <v>367</v>
      </c>
      <c r="E506" s="30">
        <f>SUMIFS(Xuất出库!D:D,Xuất出库!G:G,B506,Xuất出库!C:C,D506)</f>
        <v>0</v>
      </c>
      <c r="F506" s="31">
        <f>SUMIFS(Xuất出库!E:E,Xuất出库!G:G,B506,Xuất出库!C:C,D506)+SUMIFS(Xuất出库!F:F,Xuất出库!G:G,B506,Xuất出库!C:C,D506)</f>
        <v>0</v>
      </c>
      <c r="G506" s="29">
        <f>25+65</f>
        <v>90</v>
      </c>
      <c r="H506" s="31">
        <f>SUMIFS(Hoàn回库!E:E,Hoàn回库!G:G,B506,Hoàn回库!C:C,D506)+SUMIFS(Hoàn回库!F:F,Hoàn回库!G:G,B506,Hoàn回库!C:C,D506)</f>
        <v>0</v>
      </c>
      <c r="I506" s="31">
        <f>SUMIFS('Điều hàng调货'!E:E,'Điều hàng调货'!A:A,K506,'Điều hàng调货'!G:G,B506)*-1+SUMIFS('Điều hàng调货'!E:E,'Điều hàng调货'!A:A,K506,'Điều hàng调货'!H:H,B506)+SUMIFS('Điều hàng调货'!F:F,'Điều hàng调货'!A:A,K506,'Điều hàng调货'!G:G,B506)*-1+SUMIFS('Điều hàng调货'!F:F,'Điều hàng调货'!A:A,K506,'Điều hàng调货'!H:H,B506)</f>
        <v>105</v>
      </c>
      <c r="J506" s="31">
        <f t="shared" si="25"/>
        <v>15</v>
      </c>
      <c r="K506" s="31">
        <f>VLOOKUP($D506,SKU!$A:$I,3,FALSE)</f>
        <v>10103</v>
      </c>
      <c r="L506" s="31" t="str">
        <f>VLOOKUP($D506,SKU!$A:$I,2,FALSE)</f>
        <v>疯狂动物城白金收藏卡狐兔神探</v>
      </c>
    </row>
    <row r="507" spans="2:12">
      <c r="B507" s="80" t="s">
        <v>90</v>
      </c>
      <c r="C507" s="23" t="s">
        <v>59</v>
      </c>
      <c r="D507" s="29" t="s">
        <v>319</v>
      </c>
      <c r="E507" s="30">
        <f>SUMIFS(Xuất出库!D:D,Xuất出库!G:G,B507,Xuất出库!C:C,D507)</f>
        <v>0</v>
      </c>
      <c r="F507" s="31">
        <f>SUMIFS(Xuất出库!E:E,Xuất出库!G:G,B507,Xuất出库!C:C,D507)+SUMIFS(Xuất出库!F:F,Xuất出库!G:G,B507,Xuất出库!C:C,D507)</f>
        <v>18</v>
      </c>
      <c r="G507" s="29">
        <v>1</v>
      </c>
      <c r="H507" s="31">
        <f>SUMIFS(Hoàn回库!E:E,Hoàn回库!G:G,B507,Hoàn回库!C:C,D507)+SUMIFS(Hoàn回库!F:F,Hoàn回库!G:G,B507,Hoàn回库!C:C,D507)</f>
        <v>0</v>
      </c>
      <c r="I507" s="31">
        <f>SUMIFS('Điều hàng调货'!E:E,'Điều hàng调货'!A:A,K507,'Điều hàng调货'!G:G,B507)*-1+SUMIFS('Điều hàng调货'!E:E,'Điều hàng调货'!A:A,K507,'Điều hàng调货'!H:H,B507)+SUMIFS('Điều hàng调货'!F:F,'Điều hàng调货'!A:A,K507,'Điều hàng调货'!G:G,B507)*-1+SUMIFS('Điều hàng调货'!F:F,'Điều hàng调货'!A:A,K507,'Điều hàng调货'!H:H,B507)</f>
        <v>-17</v>
      </c>
      <c r="J507" s="31">
        <f t="shared" si="25"/>
        <v>0</v>
      </c>
      <c r="K507" s="31">
        <f>VLOOKUP($D507,SKU!$A:$I,3,FALSE)</f>
        <v>10086</v>
      </c>
      <c r="L507" s="31" t="str">
        <f>VLOOKUP($D507,SKU!$A:$I,2,FALSE)</f>
        <v>【潮迷文创】名侦探柯南-危险排队-周边创意艺术色纸</v>
      </c>
    </row>
    <row r="508" spans="2:12">
      <c r="B508" s="80" t="s">
        <v>90</v>
      </c>
      <c r="C508" s="23" t="s">
        <v>59</v>
      </c>
      <c r="D508" s="29" t="s">
        <v>371</v>
      </c>
      <c r="E508" s="30">
        <f>SUMIFS(Xuất出库!D:D,Xuất出库!G:G,B508,Xuất出库!C:C,D508)</f>
        <v>0</v>
      </c>
      <c r="F508" s="31">
        <f>SUMIFS(Xuất出库!E:E,Xuất出库!G:G,B508,Xuất出库!C:C,D508)+SUMIFS(Xuất出库!F:F,Xuất出库!G:G,B508,Xuất出库!C:C,D508)</f>
        <v>0</v>
      </c>
      <c r="G508" s="29">
        <v>1</v>
      </c>
      <c r="H508" s="31">
        <f>SUMIFS(Hoàn回库!E:E,Hoàn回库!G:G,B508,Hoàn回库!C:C,D508)+SUMIFS(Hoàn回库!F:F,Hoàn回库!G:G,B508,Hoàn回库!C:C,D508)</f>
        <v>0</v>
      </c>
      <c r="I508" s="31">
        <f>SUMIFS('Điều hàng调货'!E:E,'Điều hàng调货'!A:A,K508,'Điều hàng调货'!G:G,B508)*-1+SUMIFS('Điều hàng调货'!E:E,'Điều hàng调货'!A:A,K508,'Điều hàng调货'!H:H,B508)+SUMIFS('Điều hàng调货'!F:F,'Điều hàng调货'!A:A,K508,'Điều hàng调货'!G:G,B508)*-1+SUMIFS('Điều hàng调货'!F:F,'Điều hàng调货'!A:A,K508,'Điều hàng调货'!H:H,B508)</f>
        <v>1</v>
      </c>
      <c r="J508" s="31">
        <f t="shared" si="25"/>
        <v>0</v>
      </c>
      <c r="K508" s="31">
        <f>VLOOKUP($D508,SKU!$A:$I,3,FALSE)</f>
        <v>10105</v>
      </c>
      <c r="L508" s="31" t="str">
        <f>VLOOKUP($D508,SKU!$A:$I,2,FALSE)</f>
        <v>木木卡舍·鬼灭之刃无限城篇</v>
      </c>
    </row>
    <row r="509" spans="2:12">
      <c r="B509" s="108" t="s">
        <v>90</v>
      </c>
      <c r="C509" s="23" t="s">
        <v>59</v>
      </c>
      <c r="D509" s="6" t="s">
        <v>91</v>
      </c>
      <c r="E509" s="8">
        <f>SUMIFS(Xuất出库!D:D,Xuất出库!G:G,B509,Xuất出库!C:C,D509)</f>
        <v>0</v>
      </c>
      <c r="F509" s="9">
        <f>SUMIFS(Xuất出库!E:E,Xuất出库!G:G,B509,Xuất出库!C:C,D509)+SUMIFS(Xuất出库!F:F,Xuất出库!G:G,B509,Xuất出库!C:C,D509)</f>
        <v>0</v>
      </c>
      <c r="G509" s="6">
        <v>88</v>
      </c>
      <c r="H509" s="9">
        <f>SUMIFS(Hoàn回库!E:E,Hoàn回库!G:G,B509,Hoàn回库!C:C,D509)+SUMIFS(Hoàn回库!F:F,Hoàn回库!G:G,B509,Hoàn回库!C:C,D509)</f>
        <v>0</v>
      </c>
      <c r="I509" s="9">
        <f>SUMIFS('Điều hàng调货'!E:E,'Điều hàng调货'!A:A,K509,'Điều hàng调货'!G:G,B509)*-1+SUMIFS('Điều hàng调货'!E:E,'Điều hàng调货'!A:A,K509,'Điều hàng调货'!H:H,B509)+SUMIFS('Điều hàng调货'!F:F,'Điều hàng调货'!A:A,K509,'Điều hàng调货'!G:G,B509)*-1+SUMIFS('Điều hàng调货'!F:F,'Điều hàng调货'!A:A,K509,'Điều hàng调货'!H:H,B509)</f>
        <v>101</v>
      </c>
      <c r="J509" s="9">
        <f t="shared" si="25"/>
        <v>13</v>
      </c>
      <c r="K509" s="9">
        <f>VLOOKUP($D509,SKU!$A:$I,3,FALSE)</f>
        <v>10016</v>
      </c>
      <c r="L509" s="9" t="str">
        <f>VLOOKUP($D509,SKU!$A:$I,2,FALSE)</f>
        <v>思梨普文创《hey!国王陛下》集换式艺术家典藏卡</v>
      </c>
    </row>
    <row r="510" ht="15.75" spans="2:12">
      <c r="B510" s="93" t="s">
        <v>90</v>
      </c>
      <c r="C510" s="56" t="s">
        <v>59</v>
      </c>
      <c r="D510" s="43" t="s">
        <v>367</v>
      </c>
      <c r="E510" s="20">
        <f>SUMIFS(Xuất出库!D:D,Xuất出库!G:G,B510,Xuất出库!C:C,D510)</f>
        <v>0</v>
      </c>
      <c r="F510" s="21">
        <f>SUMIFS(Xuất出库!E:E,Xuất出库!G:G,B510,Xuất出库!C:C,D510)+SUMIFS(Xuất出库!F:F,Xuất出库!G:G,B510,Xuất出库!C:C,D510)</f>
        <v>0</v>
      </c>
      <c r="G510" s="43">
        <v>25</v>
      </c>
      <c r="H510" s="21">
        <f>SUMIFS(Hoàn回库!E:E,Hoàn回库!G:G,B510,Hoàn回库!C:C,D510)+SUMIFS(Hoàn回库!F:F,Hoàn回库!G:G,B510,Hoàn回库!C:C,D510)</f>
        <v>0</v>
      </c>
      <c r="I510" s="21">
        <f>SUMIFS('Điều hàng调货'!E:E,'Điều hàng调货'!A:A,K510,'Điều hàng调货'!G:G,B510)*-1+SUMIFS('Điều hàng调货'!E:E,'Điều hàng调货'!A:A,K510,'Điều hàng调货'!H:H,B510)+SUMIFS('Điều hàng调货'!F:F,'Điều hàng调货'!A:A,K510,'Điều hàng调货'!G:G,B510)*-1+SUMIFS('Điều hàng调货'!F:F,'Điều hàng调货'!A:A,K510,'Điều hàng调货'!H:H,B510)</f>
        <v>105</v>
      </c>
      <c r="J510" s="21">
        <f t="shared" ref="J510:J526" si="26">F510-G510-H510+I510</f>
        <v>80</v>
      </c>
      <c r="K510" s="21">
        <f>VLOOKUP($D510,SKU!$A:$I,3,FALSE)</f>
        <v>10103</v>
      </c>
      <c r="L510" s="21" t="str">
        <f>VLOOKUP($D510,SKU!$A:$I,2,FALSE)</f>
        <v>疯狂动物城白金收藏卡狐兔神探</v>
      </c>
    </row>
    <row r="511" ht="15.75" spans="2:12">
      <c r="B511" s="109" t="s">
        <v>158</v>
      </c>
      <c r="C511" s="45" t="s">
        <v>59</v>
      </c>
      <c r="D511" s="45" t="s">
        <v>18</v>
      </c>
      <c r="E511" s="46">
        <f>SUMIFS(Xuất出库!D:D,Xuất出库!G:G,B511,Xuất出库!C:C,D511)</f>
        <v>0</v>
      </c>
      <c r="F511" s="47">
        <f>SUMIFS(Xuất出库!E:E,Xuất出库!G:G,B511,Xuất出库!C:C,D511)+SUMIFS(Xuất出库!F:F,Xuất出库!G:G,B511,Xuất出库!C:C,D511)</f>
        <v>0</v>
      </c>
      <c r="G511" s="45">
        <f>0</f>
        <v>0</v>
      </c>
      <c r="H511" s="47">
        <f>SUMIFS(Hoàn回库!E:E,Hoàn回库!G:G,B511,Hoàn回库!C:C,D511)+SUMIFS(Hoàn回库!F:F,Hoàn回库!G:G,B511,Hoàn回库!C:C,D511)</f>
        <v>0</v>
      </c>
      <c r="I511" s="47">
        <f>SUMIFS('Điều hàng调货'!E:E,'Điều hàng调货'!A:A,K511,'Điều hàng调货'!G:G,B511)*-1+SUMIFS('Điều hàng调货'!E:E,'Điều hàng调货'!A:A,K511,'Điều hàng调货'!H:H,B511)+SUMIFS('Điều hàng调货'!F:F,'Điều hàng调货'!A:A,K511,'Điều hàng调货'!G:G,B511)*-1+SUMIFS('Điều hàng调货'!F:F,'Điều hàng调货'!A:A,K511,'Điều hàng调货'!H:H,B511)</f>
        <v>49</v>
      </c>
      <c r="J511" s="47">
        <f t="shared" si="26"/>
        <v>49</v>
      </c>
      <c r="K511" s="47">
        <f>VLOOKUP($D511,SKU!$A:$I,3,FALSE)</f>
        <v>10002</v>
      </c>
      <c r="L511" s="47" t="str">
        <f>VLOOKUP($D511,SKU!$A:$I,2,FALSE)</f>
        <v>MoonCard月卡《美少女战士》第三弹</v>
      </c>
    </row>
    <row r="512" spans="2:12">
      <c r="B512" s="110" t="s">
        <v>158</v>
      </c>
      <c r="C512" s="29" t="s">
        <v>59</v>
      </c>
      <c r="D512" s="29" t="s">
        <v>184</v>
      </c>
      <c r="E512" s="30">
        <f>SUMIFS(Xuất出库!D:D,Xuất出库!G:G,B512,Xuất出库!C:C,D512)</f>
        <v>12</v>
      </c>
      <c r="F512" s="31">
        <f>SUMIFS(Xuất出库!E:E,Xuất出库!G:G,B512,Xuất出库!C:C,D512)+SUMIFS(Xuất出库!F:F,Xuất出库!G:G,B512,Xuất出库!C:C,D512)</f>
        <v>240</v>
      </c>
      <c r="G512" s="29">
        <f>66+88+22+44+22+66+66+20+40</f>
        <v>434</v>
      </c>
      <c r="H512" s="31">
        <f>SUMIFS(Hoàn回库!E:E,Hoàn回库!G:G,B512,Hoàn回库!C:C,D512)+SUMIFS(Hoàn回库!F:F,Hoàn回库!G:G,B512,Hoàn回库!C:C,D512)</f>
        <v>0</v>
      </c>
      <c r="I512" s="31">
        <f>SUMIFS('Điều hàng调货'!E:E,'Điều hàng调货'!A:A,K512,'Điều hàng调货'!G:G,B512)*-1+SUMIFS('Điều hàng调货'!E:E,'Điều hàng调货'!A:A,K512,'Điều hàng调货'!H:H,B512)+SUMIFS('Điều hàng调货'!F:F,'Điều hàng调货'!A:A,K512,'Điều hàng调货'!G:G,B512)*-1+SUMIFS('Điều hàng调货'!F:F,'Điều hàng调货'!A:A,K512,'Điều hàng调货'!H:H,B512)</f>
        <v>194</v>
      </c>
      <c r="J512" s="31">
        <f t="shared" si="26"/>
        <v>0</v>
      </c>
      <c r="K512" s="31">
        <f>VLOOKUP($D512,SKU!$A:$I,3,FALSE)</f>
        <v>10039</v>
      </c>
      <c r="L512" s="31" t="str">
        <f>VLOOKUP($D512,SKU!$A:$I,2,FALSE)</f>
        <v>非凡航海王第五弹</v>
      </c>
    </row>
    <row r="513" spans="1:12">
      <c r="B513" s="110" t="s">
        <v>158</v>
      </c>
      <c r="C513" s="29" t="s">
        <v>59</v>
      </c>
      <c r="D513" s="34" t="s">
        <v>143</v>
      </c>
      <c r="E513" s="30">
        <f>SUMIFS(Xuất出库!D:D,Xuất出库!G:G,B513,Xuất出库!C:C,D513)</f>
        <v>0</v>
      </c>
      <c r="F513" s="31">
        <f>SUMIFS(Xuất出库!E:E,Xuất出库!G:G,B513,Xuất出库!C:C,D513)+SUMIFS(Xuất出库!F:F,Xuất出库!G:G,B513,Xuất出库!C:C,D513)</f>
        <v>0</v>
      </c>
      <c r="G513" s="29">
        <f>8</f>
        <v>8</v>
      </c>
      <c r="H513" s="31">
        <f>SUMIFS(Hoàn回库!E:E,Hoàn回库!G:G,B513,Hoàn回库!C:C,D513)+SUMIFS(Hoàn回库!F:F,Hoàn回库!G:G,B513,Hoàn回库!C:C,D513)</f>
        <v>0</v>
      </c>
      <c r="I513" s="31">
        <f>SUMIFS('Điều hàng调货'!E:E,'Điều hàng调货'!A:A,K513,'Điều hàng调货'!G:G,B513)*-1+SUMIFS('Điều hàng调货'!E:E,'Điều hàng调货'!A:A,K513,'Điều hàng调货'!H:H,B513)+SUMIFS('Điều hàng调货'!F:F,'Điều hàng调货'!A:A,K513,'Điều hàng调货'!G:G,B513)*-1+SUMIFS('Điều hàng调货'!F:F,'Điều hàng调货'!A:A,K513,'Điều hàng调货'!H:H,B513)</f>
        <v>31</v>
      </c>
      <c r="J513" s="31">
        <f t="shared" si="26"/>
        <v>23</v>
      </c>
      <c r="K513" s="31">
        <f>VLOOKUP($D513,SKU!$A:$I,3,FALSE)</f>
        <v>10029</v>
      </c>
      <c r="L513" s="31" t="str">
        <f>VLOOKUP($D513,SKU!$A:$I,2,FALSE)</f>
        <v>樱花屋魔卡少女樱</v>
      </c>
    </row>
    <row r="514" spans="1:12">
      <c r="B514" s="110" t="s">
        <v>158</v>
      </c>
      <c r="C514" s="29" t="s">
        <v>59</v>
      </c>
      <c r="D514" s="29" t="s">
        <v>99</v>
      </c>
      <c r="E514" s="30">
        <f>SUMIFS(Xuất出库!D:D,Xuất出库!G:G,B514,Xuất出库!C:C,D514)</f>
        <v>3</v>
      </c>
      <c r="F514" s="31">
        <f>SUMIFS(Xuất出库!E:E,Xuất出库!G:G,B514,Xuất出库!C:C,D514)+SUMIFS(Xuất出库!F:F,Xuất出库!G:G,B514,Xuất出库!C:C,D514)</f>
        <v>39</v>
      </c>
      <c r="G514" s="29">
        <f>0</f>
        <v>0</v>
      </c>
      <c r="H514" s="31">
        <f>SUMIFS(Hoàn回库!E:E,Hoàn回库!G:G,B514,Hoàn回库!C:C,D514)+SUMIFS(Hoàn回库!F:F,Hoàn回库!G:G,B514,Hoàn回库!C:C,D514)</f>
        <v>0</v>
      </c>
      <c r="I514" s="31">
        <f>SUMIFS('Điều hàng调货'!E:E,'Điều hàng调货'!A:A,K514,'Điều hàng调货'!G:G,B514)*-1+SUMIFS('Điều hàng调货'!E:E,'Điều hàng调货'!A:A,K514,'Điều hàng调货'!H:H,B514)+SUMIFS('Điều hàng调货'!F:F,'Điều hàng调货'!A:A,K514,'Điều hàng调货'!G:G,B514)*-1+SUMIFS('Điều hàng调货'!F:F,'Điều hàng调货'!A:A,K514,'Điều hàng调货'!H:H,B514)</f>
        <v>-26</v>
      </c>
      <c r="J514" s="31">
        <f t="shared" si="26"/>
        <v>13</v>
      </c>
      <c r="K514" s="31">
        <f>VLOOKUP($D514,SKU!$A:$I,3,FALSE)</f>
        <v>10018</v>
      </c>
      <c r="L514" s="31" t="str">
        <f>VLOOKUP($D514,SKU!$A:$I,2,FALSE)</f>
        <v>圣月美少女战士星尘协奏曲长卡</v>
      </c>
    </row>
    <row r="515" spans="1:12">
      <c r="B515" s="110" t="s">
        <v>158</v>
      </c>
      <c r="C515" s="29" t="s">
        <v>59</v>
      </c>
      <c r="D515" s="29" t="s">
        <v>327</v>
      </c>
      <c r="E515" s="30">
        <f>SUMIFS(Xuất出库!D:D,Xuất出库!G:G,B515,Xuất出库!C:C,D515)</f>
        <v>26</v>
      </c>
      <c r="F515" s="31">
        <f>SUMIFS(Xuất出库!E:E,Xuất出库!G:G,B515,Xuất出库!C:C,D515)+SUMIFS(Xuất出库!F:F,Xuất出库!G:G,B515,Xuất出库!C:C,D515)</f>
        <v>364</v>
      </c>
      <c r="G515" s="29">
        <f>14*4+14</f>
        <v>70</v>
      </c>
      <c r="H515" s="31">
        <f>SUMIFS(Hoàn回库!E:E,Hoàn回库!G:G,B515,Hoàn回库!C:C,D515)+SUMIFS(Hoàn回库!F:F,Hoàn回库!G:G,B515,Hoàn回库!C:C,D515)</f>
        <v>0</v>
      </c>
      <c r="I515" s="31">
        <f>SUMIFS('Điều hàng调货'!E:E,'Điều hàng调货'!A:A,K515,'Điều hàng调货'!G:G,B515)*-1+SUMIFS('Điều hàng调货'!E:E,'Điều hàng调货'!A:A,K515,'Điều hàng调货'!H:H,B515)+SUMIFS('Điều hàng调货'!F:F,'Điều hàng调货'!A:A,K515,'Điều hàng调货'!G:G,B515)*-1+SUMIFS('Điều hàng调货'!F:F,'Điều hàng调货'!A:A,K515,'Điều hàng调货'!H:H,B515)</f>
        <v>-294</v>
      </c>
      <c r="J515" s="31">
        <f t="shared" si="26"/>
        <v>0</v>
      </c>
      <c r="K515" s="31">
        <f>VLOOKUP($D515,SKU!$A:$I,3,FALSE)</f>
        <v>10089</v>
      </c>
      <c r="L515" s="31" t="str">
        <f>VLOOKUP($D515,SKU!$A:$I,2,FALSE)</f>
        <v>星火线条小狗</v>
      </c>
    </row>
    <row r="516" spans="1:12">
      <c r="B516" s="110" t="s">
        <v>158</v>
      </c>
      <c r="C516" s="29" t="s">
        <v>59</v>
      </c>
      <c r="D516" s="6" t="s">
        <v>266</v>
      </c>
      <c r="E516" s="30">
        <f>SUMIFS(Xuất出库!D:D,Xuất出库!G:G,B516,Xuất出库!C:C,D516)</f>
        <v>0</v>
      </c>
      <c r="F516" s="31">
        <f>SUMIFS(Xuất出库!E:E,Xuất出库!G:G,B516,Xuất出库!C:C,D516)+SUMIFS(Xuất出库!F:F,Xuất出库!G:G,B516,Xuất出库!C:C,D516)</f>
        <v>0</v>
      </c>
      <c r="G516" s="29">
        <f>25+55+6</f>
        <v>86</v>
      </c>
      <c r="H516" s="31">
        <f>SUMIFS(Hoàn回库!E:E,Hoàn回库!G:G,B516,Hoàn回库!C:C,D516)+SUMIFS(Hoàn回库!F:F,Hoàn回库!G:G,B516,Hoàn回库!C:C,D516)</f>
        <v>0</v>
      </c>
      <c r="I516" s="31">
        <f>SUMIFS('Điều hàng调货'!E:E,'Điều hàng调货'!A:A,K516,'Điều hàng调货'!G:G,B516)*-1+SUMIFS('Điều hàng调货'!E:E,'Điều hàng调货'!A:A,K516,'Điều hàng调货'!H:H,B516)+SUMIFS('Điều hàng调货'!F:F,'Điều hàng调货'!A:A,K516,'Điều hàng调货'!G:G,B516)*-1+SUMIFS('Điều hàng调货'!F:F,'Điều hàng调货'!A:A,K516,'Điều hàng调货'!H:H,B516)</f>
        <v>108</v>
      </c>
      <c r="J516" s="31">
        <f t="shared" si="26"/>
        <v>22</v>
      </c>
      <c r="K516" s="31">
        <f>VLOOKUP($D516,SKU!$A:$I,3,FALSE)</f>
        <v>10066</v>
      </c>
      <c r="L516" s="31" t="str">
        <f>VLOOKUP($D516,SKU!$A:$I,2,FALSE)</f>
        <v>卡游柯南揭秘包第2弹</v>
      </c>
    </row>
    <row r="517" spans="1:12">
      <c r="B517" s="110" t="s">
        <v>158</v>
      </c>
      <c r="C517" s="29" t="s">
        <v>59</v>
      </c>
      <c r="D517" s="6" t="s">
        <v>299</v>
      </c>
      <c r="E517" s="30">
        <f>SUMIFS(Xuất出库!D:D,Xuất出库!G:G,B517,Xuất出库!C:C,D517)</f>
        <v>0</v>
      </c>
      <c r="F517" s="31">
        <f>SUMIFS(Xuất出库!E:E,Xuất出库!G:G,B517,Xuất出库!C:C,D517)+SUMIFS(Xuất出库!F:F,Xuất出库!G:G,B517,Xuất出库!C:C,D517)</f>
        <v>0</v>
      </c>
      <c r="G517" s="29">
        <f>1+1</f>
        <v>2</v>
      </c>
      <c r="H517" s="31">
        <f>SUMIFS(Hoàn回库!E:E,Hoàn回库!G:G,B517,Hoàn回库!C:C,D517)+SUMIFS(Hoàn回库!F:F,Hoàn回库!G:G,B517,Hoàn回库!C:C,D517)</f>
        <v>0</v>
      </c>
      <c r="I517" s="31">
        <f>SUMIFS('Điều hàng调货'!E:E,'Điều hàng调货'!A:A,K517,'Điều hàng调货'!G:G,B517)*-1+SUMIFS('Điều hàng调货'!E:E,'Điều hàng调货'!A:A,K517,'Điều hàng调货'!H:H,B517)+SUMIFS('Điều hàng调货'!F:F,'Điều hàng调货'!A:A,K517,'Điều hàng调货'!G:G,B517)*-1+SUMIFS('Điều hàng调货'!F:F,'Điều hàng调货'!A:A,K517,'Điều hàng调货'!H:H,B517)</f>
        <v>2</v>
      </c>
      <c r="J517" s="31">
        <f t="shared" si="26"/>
        <v>0</v>
      </c>
      <c r="K517" s="31">
        <f>VLOOKUP($D517,SKU!$A:$I,3,FALSE)</f>
        <v>10078</v>
      </c>
      <c r="L517" s="31" t="str">
        <f>VLOOKUP($D517,SKU!$A:$I,2,FALSE)</f>
        <v>摩斯社×名侦探柯南-摩斯密码系列评级邮票</v>
      </c>
    </row>
    <row r="518" spans="1:12">
      <c r="B518" s="110" t="s">
        <v>158</v>
      </c>
      <c r="C518" s="29" t="s">
        <v>59</v>
      </c>
      <c r="D518" s="29" t="s">
        <v>55</v>
      </c>
      <c r="E518" s="30">
        <f>SUMIFS(Xuất出库!D:D,Xuất出库!G:G,B518,Xuất出库!C:C,D518)</f>
        <v>0</v>
      </c>
      <c r="F518" s="31">
        <f>SUMIFS(Xuất出库!E:E,Xuất出库!G:G,B518,Xuất出库!C:C,D518)+SUMIFS(Xuất出库!F:F,Xuất出库!G:G,B518,Xuất出库!C:C,D518)</f>
        <v>0</v>
      </c>
      <c r="G518" s="29">
        <f>2</f>
        <v>2</v>
      </c>
      <c r="H518" s="31">
        <f>SUMIFS(Hoàn回库!E:E,Hoàn回库!G:G,B518,Hoàn回库!C:C,D518)+SUMIFS(Hoàn回库!F:F,Hoàn回库!G:G,B518,Hoàn回库!C:C,D518)</f>
        <v>0</v>
      </c>
      <c r="I518" s="31">
        <f>SUMIFS('Điều hàng调货'!E:E,'Điều hàng调货'!A:A,K518,'Điều hàng调货'!G:G,B518)*-1+SUMIFS('Điều hàng调货'!E:E,'Điều hàng调货'!A:A,K518,'Điều hàng调货'!H:H,B518)+SUMIFS('Điều hàng调货'!F:F,'Điều hàng调货'!A:A,K518,'Điều hàng调货'!G:G,B518)*-1+SUMIFS('Điều hàng调货'!F:F,'Điều hàng调货'!A:A,K518,'Điều hàng调货'!H:H,B518)</f>
        <v>20</v>
      </c>
      <c r="J518" s="31">
        <f t="shared" si="26"/>
        <v>18</v>
      </c>
      <c r="K518" s="31">
        <f>VLOOKUP($D518,SKU!$A:$I,3,FALSE)</f>
        <v>10008</v>
      </c>
      <c r="L518" s="31" t="str">
        <f>VLOOKUP($D518,SKU!$A:$I,2,FALSE)</f>
        <v>XWork美少女战士-璀璨之梦</v>
      </c>
    </row>
    <row r="519" spans="1:12">
      <c r="B519" s="110" t="s">
        <v>158</v>
      </c>
      <c r="C519" s="29" t="s">
        <v>59</v>
      </c>
      <c r="D519" s="29" t="s">
        <v>91</v>
      </c>
      <c r="E519" s="30">
        <f>SUMIFS(Xuất出库!D:D,Xuất出库!G:G,B519,Xuất出库!C:C,D519)</f>
        <v>0</v>
      </c>
      <c r="F519" s="31">
        <f>SUMIFS(Xuất出库!E:E,Xuất出库!G:G,B519,Xuất出库!C:C,D519)+SUMIFS(Xuất出库!F:F,Xuất出库!G:G,B519,Xuất出库!C:C,D519)</f>
        <v>0</v>
      </c>
      <c r="G519" s="29">
        <f>3+3</f>
        <v>6</v>
      </c>
      <c r="H519" s="31">
        <f>SUMIFS(Hoàn回库!E:E,Hoàn回库!G:G,B519,Hoàn回库!C:C,D519)+SUMIFS(Hoàn回库!F:F,Hoàn回库!G:G,B519,Hoàn回库!C:C,D519)</f>
        <v>0</v>
      </c>
      <c r="I519" s="31">
        <f>SUMIFS('Điều hàng调货'!E:E,'Điều hàng调货'!A:A,K519,'Điều hàng调货'!G:G,B519)*-1+SUMIFS('Điều hàng调货'!E:E,'Điều hàng调货'!A:A,K519,'Điều hàng调货'!H:H,B519)+SUMIFS('Điều hàng调货'!F:F,'Điều hàng调货'!A:A,K519,'Điều hàng调货'!G:G,B519)*-1+SUMIFS('Điều hàng调货'!F:F,'Điều hàng调货'!A:A,K519,'Điều hàng调货'!H:H,B519)</f>
        <v>8</v>
      </c>
      <c r="J519" s="31">
        <f t="shared" si="26"/>
        <v>2</v>
      </c>
      <c r="K519" s="31">
        <f>VLOOKUP($D519,SKU!$A:$I,3,FALSE)</f>
        <v>10016</v>
      </c>
      <c r="L519" s="31" t="str">
        <f>VLOOKUP($D519,SKU!$A:$I,2,FALSE)</f>
        <v>思梨普文创《hey!国王陛下》集换式艺术家典藏卡</v>
      </c>
    </row>
    <row r="520" spans="1:12">
      <c r="B520" s="110" t="s">
        <v>158</v>
      </c>
      <c r="C520" s="29" t="s">
        <v>59</v>
      </c>
      <c r="D520" s="29" t="s">
        <v>367</v>
      </c>
      <c r="E520" s="30">
        <f>SUMIFS(Xuất出库!D:D,Xuất出库!G:G,B520,Xuất出库!C:C,D520)</f>
        <v>0</v>
      </c>
      <c r="F520" s="31">
        <f>SUMIFS(Xuất出库!E:E,Xuất出库!G:G,B520,Xuất出库!C:C,D520)+SUMIFS(Xuất出库!F:F,Xuất出库!G:G,B520,Xuất出库!C:C,D520)</f>
        <v>0</v>
      </c>
      <c r="G520" s="29">
        <f>19+34+7+6</f>
        <v>66</v>
      </c>
      <c r="H520" s="31">
        <f>SUMIFS(Hoàn回库!E:E,Hoàn回库!G:G,B520,Hoàn回库!C:C,D520)+SUMIFS(Hoàn回库!F:F,Hoàn回库!G:G,B520,Hoàn回库!C:C,D520)</f>
        <v>0</v>
      </c>
      <c r="I520" s="31">
        <f>SUMIFS('Điều hàng调货'!E:E,'Điều hàng调货'!A:A,K520,'Điều hàng调货'!G:G,B520)*-1+SUMIFS('Điều hàng调货'!E:E,'Điều hàng调货'!A:A,K520,'Điều hàng调货'!H:H,B520)+SUMIFS('Điều hàng调货'!F:F,'Điều hàng调货'!A:A,K520,'Điều hàng调货'!G:G,B520)*-1+SUMIFS('Điều hàng调货'!F:F,'Điều hàng调货'!A:A,K520,'Điều hàng调货'!H:H,B520)</f>
        <v>131</v>
      </c>
      <c r="J520" s="31">
        <f t="shared" si="26"/>
        <v>65</v>
      </c>
      <c r="K520" s="31">
        <f>VLOOKUP($D520,SKU!$A:$I,3,FALSE)</f>
        <v>10103</v>
      </c>
      <c r="L520" s="31" t="str">
        <f>VLOOKUP($D520,SKU!$A:$I,2,FALSE)</f>
        <v>疯狂动物城白金收藏卡狐兔神探</v>
      </c>
    </row>
    <row r="521" ht="15.75" spans="1:12">
      <c r="B521" s="111" t="s">
        <v>158</v>
      </c>
      <c r="C521" s="18" t="s">
        <v>59</v>
      </c>
      <c r="D521" s="18"/>
      <c r="E521" s="50">
        <f>SUMIFS(Xuất出库!D:D,Xuất出库!G:G,B521,Xuất出库!C:C,D521)</f>
        <v>0</v>
      </c>
      <c r="F521" s="51">
        <f>SUMIFS(Xuất出库!E:E,Xuất出库!G:G,B521,Xuất出库!C:C,D521)+SUMIFS(Xuất出库!F:F,Xuất出库!G:G,B521,Xuất出库!C:C,D521)</f>
        <v>0</v>
      </c>
      <c r="G521" s="18"/>
      <c r="H521" s="51">
        <f>SUMIFS(Hoàn回库!E:E,Hoàn回库!G:G,B521,Hoàn回库!C:C,D521)+SUMIFS(Hoàn回库!F:F,Hoàn回库!G:G,B521,Hoàn回库!C:C,D521)</f>
        <v>0</v>
      </c>
      <c r="I521" s="51">
        <f>SUMIFS('Điều hàng调货'!E:E,'Điều hàng调货'!A:A,K521,'Điều hàng调货'!G:G,B521)*-1+SUMIFS('Điều hàng调货'!E:E,'Điều hàng调货'!A:A,K521,'Điều hàng调货'!H:H,B521)+SUMIFS('Điều hàng调货'!F:F,'Điều hàng调货'!A:A,K521,'Điều hàng调货'!G:G,B521)*-1+SUMIFS('Điều hàng调货'!F:F,'Điều hàng调货'!A:A,K521,'Điều hàng调货'!H:H,B521)</f>
        <v>0</v>
      </c>
      <c r="J521" s="51">
        <f t="shared" si="26"/>
        <v>0</v>
      </c>
      <c r="K521" s="51" t="e">
        <f>VLOOKUP($D521,SKU!$A:$I,3,FALSE)</f>
        <v>#N/A</v>
      </c>
      <c r="L521" s="51" t="e">
        <f>VLOOKUP($D521,SKU!$A:$I,2,FALSE)</f>
        <v>#N/A</v>
      </c>
    </row>
    <row r="522" ht="15.75" spans="1:12">
      <c r="A522" s="6"/>
      <c r="B522" s="57" t="s">
        <v>102</v>
      </c>
      <c r="C522" s="53" t="s">
        <v>423</v>
      </c>
      <c r="D522" s="23" t="s">
        <v>184</v>
      </c>
      <c r="E522" s="24">
        <f>SUMIFS(Xuất出库!D:D,Xuất出库!G:G,B522,Xuất出库!C:C,D522)</f>
        <v>3</v>
      </c>
      <c r="F522" s="25">
        <f>SUMIFS(Xuất出库!E:E,Xuất出库!G:G,B522,Xuất出库!C:C,D522)+SUMIFS(Xuất出库!F:F,Xuất出库!G:G,B522,Xuất出库!C:C,D522)</f>
        <v>60</v>
      </c>
      <c r="G522" s="23">
        <f>20</f>
        <v>20</v>
      </c>
      <c r="H522" s="25">
        <f>SUMIFS(Hoàn回库!E:E,Hoàn回库!G:G,B522,Hoàn回库!C:C,D522)+SUMIFS(Hoàn回库!F:F,Hoàn回库!G:G,B522,Hoàn回库!C:C,D522)</f>
        <v>40</v>
      </c>
      <c r="I522" s="25">
        <f>SUMIFS('Điều hàng调货'!E:E,'Điều hàng调货'!A:A,K522,'Điều hàng调货'!G:G,B522)*-1+SUMIFS('Điều hàng调货'!E:E,'Điều hàng调货'!A:A,K522,'Điều hàng调货'!H:H,B522)+SUMIFS('Điều hàng调货'!F:F,'Điều hàng调货'!A:A,K522,'Điều hàng调货'!G:G,B522)*-1+SUMIFS('Điều hàng调货'!F:F,'Điều hàng调货'!A:A,K522,'Điều hàng调货'!H:H,B522)</f>
        <v>0</v>
      </c>
      <c r="J522" s="25">
        <f t="shared" si="26"/>
        <v>0</v>
      </c>
      <c r="K522" s="25">
        <f>VLOOKUP($D522,SKU!$A:$I,3,FALSE)</f>
        <v>10039</v>
      </c>
      <c r="L522" s="25" t="str">
        <f>VLOOKUP($D522,SKU!$A:$I,2,FALSE)</f>
        <v>非凡航海王第五弹</v>
      </c>
    </row>
    <row r="523" spans="1:12">
      <c r="A523" s="6"/>
      <c r="B523" s="7" t="s">
        <v>102</v>
      </c>
      <c r="C523" s="53" t="s">
        <v>423</v>
      </c>
      <c r="D523" s="6" t="s">
        <v>99</v>
      </c>
      <c r="E523" s="8">
        <f>SUMIFS(Xuất出库!D:D,Xuất出库!G:G,B523,Xuất出库!C:C,D523)</f>
        <v>5</v>
      </c>
      <c r="F523" s="9">
        <f>SUMIFS(Xuất出库!E:E,Xuất出库!G:G,B523,Xuất出库!C:C,D523)+SUMIFS(Xuất出库!F:F,Xuất出库!G:G,B523,Xuất出库!C:C,D523)</f>
        <v>65</v>
      </c>
      <c r="G523" s="6"/>
      <c r="H523" s="9">
        <f>SUMIFS(Hoàn回库!E:E,Hoàn回库!G:G,B523,Hoàn回库!C:C,D523)+SUMIFS(Hoàn回库!F:F,Hoàn回库!G:G,B523,Hoàn回库!C:C,D523)</f>
        <v>65</v>
      </c>
      <c r="I523" s="9">
        <f>SUMIFS('Điều hàng调货'!E:E,'Điều hàng调货'!A:A,K523,'Điều hàng调货'!G:G,B523)*-1+SUMIFS('Điều hàng调货'!E:E,'Điều hàng调货'!A:A,K523,'Điều hàng调货'!H:H,B523)+SUMIFS('Điều hàng调货'!F:F,'Điều hàng调货'!A:A,K523,'Điều hàng调货'!G:G,B523)*-1+SUMIFS('Điều hàng调货'!F:F,'Điều hàng调货'!A:A,K523,'Điều hàng调货'!H:H,B523)</f>
        <v>0</v>
      </c>
      <c r="J523" s="9">
        <f t="shared" si="26"/>
        <v>0</v>
      </c>
      <c r="K523" s="9">
        <f>VLOOKUP($D523,SKU!$A:$I,3,FALSE)</f>
        <v>10018</v>
      </c>
      <c r="L523" s="9" t="str">
        <f>VLOOKUP($D523,SKU!$A:$I,2,FALSE)</f>
        <v>圣月美少女战士星尘协奏曲长卡</v>
      </c>
    </row>
    <row r="524" spans="1:12">
      <c r="A524" s="6"/>
      <c r="B524" s="7" t="s">
        <v>102</v>
      </c>
      <c r="C524" s="53" t="s">
        <v>423</v>
      </c>
      <c r="D524" s="6" t="s">
        <v>131</v>
      </c>
      <c r="E524" s="8">
        <f>SUMIFS(Xuất出库!D:D,Xuất出库!G:G,B524,Xuất出库!C:C,D524)</f>
        <v>20</v>
      </c>
      <c r="F524" s="9">
        <f>SUMIFS(Xuất出库!E:E,Xuất出库!G:G,B524,Xuất出库!C:C,D524)+SUMIFS(Xuất出库!F:F,Xuất出库!G:G,B524,Xuất出库!C:C,D524)</f>
        <v>20</v>
      </c>
      <c r="G524" s="6"/>
      <c r="H524" s="9">
        <f>SUMIFS(Hoàn回库!E:E,Hoàn回库!G:G,B524,Hoàn回库!C:C,D524)+SUMIFS(Hoàn回库!F:F,Hoàn回库!G:G,B524,Hoàn回库!C:C,D524)</f>
        <v>20</v>
      </c>
      <c r="I524" s="9">
        <f>SUMIFS('Điều hàng调货'!E:E,'Điều hàng调货'!A:A,K524,'Điều hàng调货'!G:G,B524)*-1+SUMIFS('Điều hàng调货'!E:E,'Điều hàng调货'!A:A,K524,'Điều hàng调货'!H:H,B524)+SUMIFS('Điều hàng调货'!F:F,'Điều hàng调货'!A:A,K524,'Điều hàng调货'!G:G,B524)*-1+SUMIFS('Điều hàng调货'!F:F,'Điều hàng调货'!A:A,K524,'Điều hàng调货'!H:H,B524)</f>
        <v>0</v>
      </c>
      <c r="J524" s="9">
        <f t="shared" si="26"/>
        <v>0</v>
      </c>
      <c r="K524" s="9">
        <f>VLOOKUP($D524,SKU!$A:$I,3,FALSE)</f>
        <v>10026</v>
      </c>
      <c r="L524" s="9" t="str">
        <f>VLOOKUP($D524,SKU!$A:$I,2,FALSE)</f>
        <v>星恋文创·恋与深空《晦明交错之间》亚克力相框卡</v>
      </c>
    </row>
    <row r="525" spans="1:12">
      <c r="A525" s="6"/>
      <c r="B525" s="7" t="s">
        <v>102</v>
      </c>
      <c r="C525" s="53" t="s">
        <v>423</v>
      </c>
      <c r="D525" s="6" t="s">
        <v>222</v>
      </c>
      <c r="E525" s="8">
        <f>SUMIFS(Xuất出库!D:D,Xuất出库!G:G,B525,Xuất出库!C:C,D525)</f>
        <v>5</v>
      </c>
      <c r="F525" s="9">
        <f>SUMIFS(Xuất出库!E:E,Xuất出库!G:G,B525,Xuất出库!C:C,D525)+SUMIFS(Xuất出库!F:F,Xuất出库!G:G,B525,Xuất出库!C:C,D525)</f>
        <v>60</v>
      </c>
      <c r="G525" s="6"/>
      <c r="H525" s="9">
        <f>SUMIFS(Hoàn回库!E:E,Hoàn回库!G:G,B525,Hoàn回库!C:C,D525)+SUMIFS(Hoàn回库!F:F,Hoàn回库!G:G,B525,Hoàn回库!C:C,D525)</f>
        <v>60</v>
      </c>
      <c r="I525" s="9">
        <f>SUMIFS('Điều hàng调货'!E:E,'Điều hàng调货'!A:A,K525,'Điều hàng调货'!G:G,B525)*-1+SUMIFS('Điều hàng调货'!E:E,'Điều hàng调货'!A:A,K525,'Điều hàng调货'!H:H,B525)+SUMIFS('Điều hàng调货'!F:F,'Điều hàng调货'!A:A,K525,'Điều hàng调货'!G:G,B525)*-1+SUMIFS('Điều hàng调货'!F:F,'Điều hàng调货'!A:A,K525,'Điều hàng调货'!H:H,B525)</f>
        <v>0</v>
      </c>
      <c r="J525" s="9">
        <f t="shared" si="26"/>
        <v>0</v>
      </c>
      <c r="K525" s="9">
        <f>VLOOKUP($D525,SKU!$A:$I,3,FALSE)</f>
        <v>10051</v>
      </c>
      <c r="L525" s="9" t="str">
        <f>VLOOKUP($D525,SKU!$A:$I,2,FALSE)</f>
        <v>南卡《魔卡少女樱》</v>
      </c>
    </row>
    <row r="526" spans="1:12">
      <c r="A526" s="6"/>
      <c r="B526" s="7" t="s">
        <v>102</v>
      </c>
      <c r="C526" s="53" t="s">
        <v>423</v>
      </c>
      <c r="D526" s="6" t="s">
        <v>155</v>
      </c>
      <c r="E526" s="8">
        <f>SUMIFS(Xuất出库!D:D,Xuất出库!G:G,B526,Xuất出库!C:C,D526)</f>
        <v>10</v>
      </c>
      <c r="F526" s="9">
        <f>SUMIFS(Xuất出库!E:E,Xuất出库!G:G,B526,Xuất出库!C:C,D526)+SUMIFS(Xuất出库!F:F,Xuất出库!G:G,B526,Xuất出库!C:C,D526)</f>
        <v>10</v>
      </c>
      <c r="G526" s="6"/>
      <c r="H526" s="9">
        <f>SUMIFS(Hoàn回库!E:E,Hoàn回库!G:G,B526,Hoàn回库!C:C,D526)+SUMIFS(Hoàn回库!F:F,Hoàn回库!G:G,B526,Hoàn回库!C:C,D526)</f>
        <v>10</v>
      </c>
      <c r="I526" s="9">
        <f>SUMIFS('Điều hàng调货'!E:E,'Điều hàng调货'!A:A,K526,'Điều hàng调货'!G:G,B526)*-1+SUMIFS('Điều hàng调货'!E:E,'Điều hàng调货'!A:A,K526,'Điều hàng调货'!H:H,B526)+SUMIFS('Điều hàng调货'!F:F,'Điều hàng调货'!A:A,K526,'Điều hàng调货'!G:G,B526)*-1+SUMIFS('Điều hàng调货'!F:F,'Điều hàng调货'!A:A,K526,'Điều hàng调货'!H:H,B526)</f>
        <v>0</v>
      </c>
      <c r="J526" s="9">
        <f t="shared" si="26"/>
        <v>0</v>
      </c>
      <c r="K526" s="9">
        <f>VLOOKUP($D526,SKU!$A:$I,3,FALSE)</f>
        <v>10032</v>
      </c>
      <c r="L526" s="9" t="str">
        <f>VLOOKUP($D526,SKU!$A:$I,2,FALSE)</f>
        <v>绘心阁《魔道祖师—殊途同归》色纸卡牌</v>
      </c>
    </row>
    <row r="527" spans="1:12">
      <c r="B527" s="83" t="s">
        <v>118</v>
      </c>
      <c r="C527" s="53" t="s">
        <v>423</v>
      </c>
      <c r="D527" s="23" t="s">
        <v>222</v>
      </c>
      <c r="E527" s="24">
        <f>SUMIFS(Xuất出库!D:D,Xuất出库!G:G,B527,Xuất出库!C:C,D527)</f>
        <v>16</v>
      </c>
      <c r="F527" s="25">
        <f>SUMIFS(Xuất出库!E:E,Xuất出库!G:G,B527,Xuất出库!C:C,D527)+SUMIFS(Xuất出库!F:F,Xuất出库!G:G,B527,Xuất出库!C:C,D527)</f>
        <v>192</v>
      </c>
      <c r="G527" s="54">
        <f>37+48</f>
        <v>85</v>
      </c>
      <c r="H527" s="25">
        <f>SUMIFS(Hoàn回库!E:E,Hoàn回库!G:G,B527,Hoàn回库!C:C,D527)+SUMIFS(Hoàn回库!F:F,Hoàn回库!G:G,B527,Hoàn回库!C:C,D527)</f>
        <v>107</v>
      </c>
      <c r="I527" s="25">
        <f>SUMIFS('Điều hàng调货'!E:E,'Điều hàng调货'!A:A,K527,'Điều hàng调货'!G:G,B527)*-1+SUMIFS('Điều hàng调货'!E:E,'Điều hàng调货'!A:A,K527,'Điều hàng调货'!H:H,B527)+SUMIFS('Điều hàng调货'!F:F,'Điều hàng调货'!A:A,K527,'Điều hàng调货'!G:G,B527)*-1+SUMIFS('Điều hàng调货'!F:F,'Điều hàng调货'!A:A,K527,'Điều hàng调货'!H:H,B527)</f>
        <v>0</v>
      </c>
      <c r="J527" s="25">
        <f t="shared" ref="J527:J580" si="27">F527-G527-H527+I527</f>
        <v>0</v>
      </c>
      <c r="K527" s="25">
        <f>VLOOKUP($D527,SKU!$A:$I,3,FALSE)</f>
        <v>10051</v>
      </c>
      <c r="L527" s="25" t="str">
        <f>VLOOKUP($D527,SKU!$A:$I,2,FALSE)</f>
        <v>南卡《魔卡少女樱》</v>
      </c>
    </row>
    <row r="528" spans="1:12">
      <c r="B528" s="83" t="s">
        <v>118</v>
      </c>
      <c r="C528" s="53" t="s">
        <v>423</v>
      </c>
      <c r="D528" s="23" t="s">
        <v>212</v>
      </c>
      <c r="E528" s="24">
        <f>SUMIFS(Xuất出库!D:D,Xuất出库!G:G,B528,Xuất出库!C:C,D528)</f>
        <v>30</v>
      </c>
      <c r="F528" s="25">
        <f>SUMIFS(Xuất出库!E:E,Xuất出库!G:G,B528,Xuất出库!C:C,D528)+SUMIFS(Xuất出库!F:F,Xuất出库!G:G,B528,Xuất出库!C:C,D528)</f>
        <v>30</v>
      </c>
      <c r="G528" s="23"/>
      <c r="H528" s="25">
        <f>SUMIFS(Hoàn回库!E:E,Hoàn回库!G:G,B528,Hoàn回库!C:C,D528)+SUMIFS(Hoàn回库!F:F,Hoàn回库!G:G,B528,Hoàn回库!C:C,D528)</f>
        <v>30</v>
      </c>
      <c r="I528" s="9">
        <f>SUMIFS('Điều hàng调货'!E:E,'Điều hàng调货'!A:A,K528,'Điều hàng调货'!G:G,B528)*-1+SUMIFS('Điều hàng调货'!E:E,'Điều hàng调货'!A:A,K528,'Điều hàng调货'!H:H,B528)+SUMIFS('Điều hàng调货'!F:F,'Điều hàng调货'!A:A,K528,'Điều hàng调货'!G:G,B528)*-1+SUMIFS('Điều hàng调货'!F:F,'Điều hàng调货'!A:A,K528,'Điều hàng调货'!H:H,B528)</f>
        <v>0</v>
      </c>
      <c r="J528" s="9">
        <f t="shared" si="27"/>
        <v>0</v>
      </c>
      <c r="K528" s="25">
        <f>VLOOKUP($D528,SKU!$A:$I,3,FALSE)</f>
        <v>10048</v>
      </c>
      <c r="L528" s="25" t="str">
        <f>VLOOKUP($D528,SKU!$A:$I,2,FALSE)</f>
        <v>奈良社《极昼漫游》美少女战士撕撕乐+异形小卡</v>
      </c>
    </row>
    <row r="529" spans="2:12">
      <c r="B529" s="83" t="s">
        <v>118</v>
      </c>
      <c r="C529" s="53" t="s">
        <v>423</v>
      </c>
      <c r="D529" s="23" t="s">
        <v>83</v>
      </c>
      <c r="E529" s="24">
        <f>SUMIFS(Xuất出库!D:D,Xuất出库!G:G,B529,Xuất出库!C:C,D529)</f>
        <v>30</v>
      </c>
      <c r="F529" s="25">
        <f>SUMIFS(Xuất出库!E:E,Xuất出库!G:G,B529,Xuất出库!C:C,D529)+SUMIFS(Xuất出库!F:F,Xuất出库!G:G,B529,Xuất出库!C:C,D529)</f>
        <v>90</v>
      </c>
      <c r="G529" s="23"/>
      <c r="H529" s="25">
        <f>SUMIFS(Hoàn回库!E:E,Hoàn回库!G:G,B529,Hoàn回库!C:C,D529)+SUMIFS(Hoàn回库!F:F,Hoàn回库!G:G,B529,Hoàn回库!C:C,D529)</f>
        <v>90</v>
      </c>
      <c r="I529" s="9">
        <f>SUMIFS('Điều hàng调货'!E:E,'Điều hàng调货'!A:A,K529,'Điều hàng调货'!G:G,B529)*-1+SUMIFS('Điều hàng调货'!E:E,'Điều hàng调货'!A:A,K529,'Điều hàng调货'!H:H,B529)+SUMIFS('Điều hàng调货'!F:F,'Điều hàng调货'!A:A,K529,'Điều hàng调货'!G:G,B529)*-1+SUMIFS('Điều hàng调货'!F:F,'Điều hàng调货'!A:A,K529,'Điều hàng调货'!H:H,B529)</f>
        <v>0</v>
      </c>
      <c r="J529" s="9">
        <f t="shared" si="27"/>
        <v>0</v>
      </c>
      <c r="K529" s="25">
        <f>VLOOKUP($D529,SKU!$A:$I,3,FALSE)</f>
        <v>10014</v>
      </c>
      <c r="L529" s="25" t="str">
        <f>VLOOKUP($D529,SKU!$A:$I,2,FALSE)</f>
        <v>星梦文创-Studio Ghibli宫崎骏撕撕乐系列 </v>
      </c>
    </row>
    <row r="530" spans="2:12">
      <c r="B530" s="83" t="s">
        <v>118</v>
      </c>
      <c r="C530" s="53" t="s">
        <v>423</v>
      </c>
      <c r="D530" s="23" t="s">
        <v>184</v>
      </c>
      <c r="E530" s="24">
        <f>SUMIFS(Xuất出库!D:D,Xuất出库!G:G,B530,Xuất出库!C:C,D530)</f>
        <v>15</v>
      </c>
      <c r="F530" s="25">
        <f>SUMIFS(Xuất出库!E:E,Xuất出库!G:G,B530,Xuất出库!C:C,D530)+SUMIFS(Xuất出库!F:F,Xuất出库!G:G,B530,Xuất出库!C:C,D530)</f>
        <v>300</v>
      </c>
      <c r="G530" s="23">
        <f>13</f>
        <v>13</v>
      </c>
      <c r="H530" s="25">
        <f>SUMIFS(Hoàn回库!E:E,Hoàn回库!G:G,B530,Hoàn回库!C:C,D530)+SUMIFS(Hoàn回库!F:F,Hoàn回库!G:G,B530,Hoàn回库!C:C,D530)</f>
        <v>300</v>
      </c>
      <c r="I530" s="9">
        <f>SUMIFS('Điều hàng调货'!E:E,'Điều hàng调货'!A:A,K530,'Điều hàng调货'!G:G,B530)*-1+SUMIFS('Điều hàng调货'!E:E,'Điều hàng调货'!A:A,K530,'Điều hàng调货'!H:H,B530)+SUMIFS('Điều hàng调货'!F:F,'Điều hàng调货'!A:A,K530,'Điều hàng调货'!G:G,B530)*-1+SUMIFS('Điều hàng调货'!F:F,'Điều hàng调货'!A:A,K530,'Điều hàng调货'!H:H,B530)</f>
        <v>-65</v>
      </c>
      <c r="J530" s="9">
        <f t="shared" si="27"/>
        <v>-78</v>
      </c>
      <c r="K530" s="25">
        <f>VLOOKUP($D530,SKU!$A:$I,3,FALSE)</f>
        <v>10039</v>
      </c>
      <c r="L530" s="25" t="str">
        <f>VLOOKUP($D530,SKU!$A:$I,2,FALSE)</f>
        <v>非凡航海王第五弹</v>
      </c>
    </row>
    <row r="531" spans="2:12">
      <c r="B531" s="83" t="s">
        <v>118</v>
      </c>
      <c r="C531" s="53" t="s">
        <v>423</v>
      </c>
      <c r="D531" s="23" t="s">
        <v>199</v>
      </c>
      <c r="E531" s="24">
        <f>SUMIFS(Xuất出库!D:D,Xuất出库!G:G,B531,Xuất出库!C:C,D531)</f>
        <v>6</v>
      </c>
      <c r="F531" s="25">
        <f>SUMIFS(Xuất出库!E:E,Xuất出库!G:G,B531,Xuất出库!C:C,D531)+SUMIFS(Xuất出库!F:F,Xuất出库!G:G,B531,Xuất出库!C:C,D531)</f>
        <v>78</v>
      </c>
      <c r="G531" s="23"/>
      <c r="H531" s="25">
        <f>SUMIFS(Hoàn回库!E:E,Hoàn回库!G:G,B531,Hoàn回库!C:C,D531)+SUMIFS(Hoàn回库!F:F,Hoàn回库!G:G,B531,Hoàn回库!C:C,D531)</f>
        <v>78</v>
      </c>
      <c r="I531" s="9">
        <f>SUMIFS('Điều hàng调货'!E:E,'Điều hàng调货'!A:A,K531,'Điều hàng调货'!G:G,B531)*-1+SUMIFS('Điều hàng调货'!E:E,'Điều hàng调货'!A:A,K531,'Điều hàng调货'!H:H,B531)+SUMIFS('Điều hàng调货'!F:F,'Điều hàng调货'!A:A,K531,'Điều hàng调货'!G:G,B531)*-1+SUMIFS('Điều hàng调货'!F:F,'Điều hàng调货'!A:A,K531,'Điều hàng调货'!H:H,B531)</f>
        <v>0</v>
      </c>
      <c r="J531" s="9">
        <f t="shared" si="27"/>
        <v>0</v>
      </c>
      <c r="K531" s="25">
        <f>VLOOKUP($D531,SKU!$A:$I,3,FALSE)</f>
        <v>10043</v>
      </c>
      <c r="L531" s="25" t="str">
        <f>VLOOKUP($D531,SKU!$A:$I,2,FALSE)</f>
        <v>光恋XR-披荆斩棘-美少女战士</v>
      </c>
    </row>
    <row r="532" spans="2:12">
      <c r="B532" s="83" t="s">
        <v>118</v>
      </c>
      <c r="C532" s="53" t="s">
        <v>423</v>
      </c>
      <c r="D532" s="23" t="s">
        <v>99</v>
      </c>
      <c r="E532" s="24">
        <f>SUMIFS(Xuất出库!D:D,Xuất出库!G:G,B532,Xuất出库!C:C,D532)</f>
        <v>6</v>
      </c>
      <c r="F532" s="25">
        <f>SUMIFS(Xuất出库!E:E,Xuất出库!G:G,B532,Xuất出库!C:C,D532)+SUMIFS(Xuất出库!F:F,Xuất出库!G:G,B532,Xuất出库!C:C,D532)</f>
        <v>78</v>
      </c>
      <c r="G532" s="23"/>
      <c r="H532" s="25">
        <f>SUMIFS(Hoàn回库!E:E,Hoàn回库!G:G,B532,Hoàn回库!C:C,D532)+SUMIFS(Hoàn回库!F:F,Hoàn回库!G:G,B532,Hoàn回库!C:C,D532)</f>
        <v>78</v>
      </c>
      <c r="I532" s="9">
        <f>SUMIFS('Điều hàng调货'!E:E,'Điều hàng调货'!A:A,K532,'Điều hàng调货'!G:G,B532)*-1+SUMIFS('Điều hàng调货'!E:E,'Điều hàng调货'!A:A,K532,'Điều hàng调货'!H:H,B532)+SUMIFS('Điều hàng调货'!F:F,'Điều hàng调货'!A:A,K532,'Điều hàng调货'!G:G,B532)*-1+SUMIFS('Điều hàng调货'!F:F,'Điều hàng调货'!A:A,K532,'Điều hàng调货'!H:H,B532)</f>
        <v>0</v>
      </c>
      <c r="J532" s="9">
        <f t="shared" si="27"/>
        <v>0</v>
      </c>
      <c r="K532" s="25">
        <f>VLOOKUP($D532,SKU!$A:$I,3,FALSE)</f>
        <v>10018</v>
      </c>
      <c r="L532" s="25" t="str">
        <f>VLOOKUP($D532,SKU!$A:$I,2,FALSE)</f>
        <v>圣月美少女战士星尘协奏曲长卡</v>
      </c>
    </row>
    <row r="533" spans="2:12">
      <c r="B533" s="83" t="s">
        <v>118</v>
      </c>
      <c r="C533" s="112" t="s">
        <v>423</v>
      </c>
      <c r="D533" s="113" t="s">
        <v>155</v>
      </c>
      <c r="E533" s="114">
        <f>SUMIFS(Xuất出库!D:D,Xuất出库!G:G,B533,Xuất出库!C:C,D533)</f>
        <v>40</v>
      </c>
      <c r="F533" s="115">
        <f>SUMIFS(Xuất出库!E:E,Xuất出库!G:G,B533,Xuất出库!C:C,D533)+SUMIFS(Xuất出库!F:F,Xuất出库!G:G,B533,Xuất出库!C:C,D533)</f>
        <v>40</v>
      </c>
      <c r="G533" s="113"/>
      <c r="H533" s="115">
        <f>SUMIFS(Hoàn回库!E:E,Hoàn回库!G:G,B533,Hoàn回库!C:C,D533)+SUMIFS(Hoàn回库!F:F,Hoàn回库!G:G,B533,Hoàn回库!C:C,D533)</f>
        <v>40</v>
      </c>
      <c r="I533" s="9">
        <f>SUMIFS('Điều hàng调货'!E:E,'Điều hàng调货'!A:A,K533,'Điều hàng调货'!G:G,B533)*-1+SUMIFS('Điều hàng调货'!E:E,'Điều hàng调货'!A:A,K533,'Điều hàng调货'!H:H,B533)+SUMIFS('Điều hàng调货'!F:F,'Điều hàng调货'!A:A,K533,'Điều hàng调货'!G:G,B533)*-1+SUMIFS('Điều hàng调货'!F:F,'Điều hàng调货'!A:A,K533,'Điều hàng调货'!H:H,B533)</f>
        <v>0</v>
      </c>
      <c r="J533" s="9">
        <f t="shared" si="27"/>
        <v>0</v>
      </c>
      <c r="K533" s="115">
        <f>VLOOKUP($D533,SKU!$A:$I,3,FALSE)</f>
        <v>10032</v>
      </c>
      <c r="L533" s="115" t="str">
        <f>VLOOKUP($D533,SKU!$A:$I,2,FALSE)</f>
        <v>绘心阁《魔道祖师—殊途同归》色纸卡牌</v>
      </c>
    </row>
    <row r="534" spans="2:12">
      <c r="B534" s="83" t="s">
        <v>118</v>
      </c>
      <c r="C534" s="112" t="s">
        <v>428</v>
      </c>
      <c r="D534" s="113" t="s">
        <v>55</v>
      </c>
      <c r="E534" s="114">
        <f>SUMIFS(Xuất出库!D:D,Xuất出库!G:G,B534,Xuất出库!C:C,D534)</f>
        <v>5</v>
      </c>
      <c r="F534" s="115">
        <f>SUMIFS(Xuất出库!E:E,Xuất出库!G:G,B534,Xuất出库!C:C,D534)+SUMIFS(Xuất出库!F:F,Xuất出库!G:G,B534,Xuất出库!C:C,D534)</f>
        <v>50</v>
      </c>
      <c r="G534" s="113">
        <f>14</f>
        <v>14</v>
      </c>
      <c r="H534" s="115">
        <f>SUMIFS(Hoàn回库!E:E,Hoàn回库!G:G,B534,Hoàn回库!C:C,D534)+SUMIFS(Hoàn回库!F:F,Hoàn回库!G:G,B534,Hoàn回库!C:C,D534)</f>
        <v>0</v>
      </c>
      <c r="I534" s="9">
        <f>SUMIFS('Điều hàng调货'!E:E,'Điều hàng调货'!A:A,K534,'Điều hàng调货'!G:G,B534)*-1+SUMIFS('Điều hàng调货'!E:E,'Điều hàng调货'!A:A,K534,'Điều hàng调货'!H:H,B534)+SUMIFS('Điều hàng调货'!F:F,'Điều hàng调货'!A:A,K534,'Điều hàng调货'!G:G,B534)*-1+SUMIFS('Điều hàng调货'!F:F,'Điều hàng调货'!A:A,K534,'Điều hàng调货'!H:H,B534)</f>
        <v>-36</v>
      </c>
      <c r="J534" s="9">
        <f t="shared" si="27"/>
        <v>0</v>
      </c>
      <c r="K534" s="115">
        <f>VLOOKUP($D534,SKU!$A:$I,3,FALSE)</f>
        <v>10008</v>
      </c>
      <c r="L534" s="115" t="str">
        <f>VLOOKUP($D534,SKU!$A:$I,2,FALSE)</f>
        <v>XWork美少女战士-璀璨之梦</v>
      </c>
    </row>
    <row r="535" spans="2:12">
      <c r="B535" s="83" t="s">
        <v>118</v>
      </c>
      <c r="C535" s="112" t="s">
        <v>428</v>
      </c>
      <c r="D535" s="113"/>
      <c r="E535" s="114">
        <f>SUMIFS(Xuất出库!D:D,Xuất出库!G:G,B535,Xuất出库!C:C,D535)</f>
        <v>0</v>
      </c>
      <c r="F535" s="115">
        <f>SUMIFS(Xuất出库!E:E,Xuất出库!G:G,B535,Xuất出库!C:C,D535)+SUMIFS(Xuất出库!F:F,Xuất出库!G:G,B535,Xuất出库!C:C,D535)</f>
        <v>0</v>
      </c>
      <c r="G535" s="113"/>
      <c r="H535" s="115">
        <f>SUMIFS(Hoàn回库!E:E,Hoàn回库!G:G,B535,Hoàn回库!C:C,D535)+SUMIFS(Hoàn回库!F:F,Hoàn回库!G:G,B535,Hoàn回库!C:C,D535)</f>
        <v>0</v>
      </c>
      <c r="I535" s="9">
        <f>SUMIFS('Điều hàng调货'!E:E,'Điều hàng调货'!A:A,K535,'Điều hàng调货'!G:G,B535)*-1+SUMIFS('Điều hàng调货'!E:E,'Điều hàng调货'!A:A,K535,'Điều hàng调货'!H:H,B535)+SUMIFS('Điều hàng调货'!F:F,'Điều hàng调货'!A:A,K535,'Điều hàng调货'!G:G,B535)*-1+SUMIFS('Điều hàng调货'!F:F,'Điều hàng调货'!A:A,K535,'Điều hàng调货'!H:H,B535)</f>
        <v>0</v>
      </c>
      <c r="J535" s="9">
        <f t="shared" si="27"/>
        <v>0</v>
      </c>
      <c r="K535" s="115" t="e">
        <f>VLOOKUP($D535,SKU!$A:$I,3,FALSE)</f>
        <v>#N/A</v>
      </c>
      <c r="L535" s="115" t="e">
        <f>VLOOKUP($D535,SKU!$A:$I,2,FALSE)</f>
        <v>#N/A</v>
      </c>
    </row>
    <row r="536" spans="2:12">
      <c r="B536" s="83" t="s">
        <v>118</v>
      </c>
      <c r="C536" s="112" t="s">
        <v>428</v>
      </c>
      <c r="D536" s="113"/>
      <c r="E536" s="114">
        <f>SUMIFS(Xuất出库!D:D,Xuất出库!G:G,B536,Xuất出库!C:C,D536)</f>
        <v>0</v>
      </c>
      <c r="F536" s="115">
        <f>SUMIFS(Xuất出库!E:E,Xuất出库!G:G,B536,Xuất出库!C:C,D536)+SUMIFS(Xuất出库!F:F,Xuất出库!G:G,B536,Xuất出库!C:C,D536)</f>
        <v>0</v>
      </c>
      <c r="G536" s="113"/>
      <c r="H536" s="115">
        <f>SUMIFS(Hoàn回库!E:E,Hoàn回库!G:G,B536,Hoàn回库!C:C,D536)+SUMIFS(Hoàn回库!F:F,Hoàn回库!G:G,B536,Hoàn回库!C:C,D536)</f>
        <v>0</v>
      </c>
      <c r="I536" s="9">
        <f>SUMIFS('Điều hàng调货'!E:E,'Điều hàng调货'!A:A,K536,'Điều hàng调货'!G:G,B536)*-1+SUMIFS('Điều hàng调货'!E:E,'Điều hàng调货'!A:A,K536,'Điều hàng调货'!H:H,B536)+SUMIFS('Điều hàng调货'!F:F,'Điều hàng调货'!A:A,K536,'Điều hàng调货'!G:G,B536)*-1+SUMIFS('Điều hàng调货'!F:F,'Điều hàng调货'!A:A,K536,'Điều hàng调货'!H:H,B536)</f>
        <v>0</v>
      </c>
      <c r="J536" s="9">
        <f t="shared" si="27"/>
        <v>0</v>
      </c>
      <c r="K536" s="115" t="e">
        <f>VLOOKUP($D536,SKU!$A:$I,3,FALSE)</f>
        <v>#N/A</v>
      </c>
      <c r="L536" s="115" t="e">
        <f>VLOOKUP($D536,SKU!$A:$I,2,FALSE)</f>
        <v>#N/A</v>
      </c>
    </row>
    <row r="537" spans="2:12">
      <c r="B537" s="83" t="s">
        <v>118</v>
      </c>
      <c r="C537" s="112" t="s">
        <v>428</v>
      </c>
      <c r="D537" s="113"/>
      <c r="E537" s="114">
        <f>SUMIFS(Xuất出库!D:D,Xuất出库!G:G,B537,Xuất出库!C:C,D537)</f>
        <v>0</v>
      </c>
      <c r="F537" s="115">
        <f>SUMIFS(Xuất出库!E:E,Xuất出库!G:G,B537,Xuất出库!C:C,D537)+SUMIFS(Xuất出库!F:F,Xuất出库!G:G,B537,Xuất出库!C:C,D537)</f>
        <v>0</v>
      </c>
      <c r="G537" s="113"/>
      <c r="H537" s="115">
        <f>SUMIFS(Hoàn回库!E:E,Hoàn回库!G:G,B537,Hoàn回库!C:C,D537)+SUMIFS(Hoàn回库!F:F,Hoàn回库!G:G,B537,Hoàn回库!C:C,D537)</f>
        <v>0</v>
      </c>
      <c r="I537" s="9">
        <f>SUMIFS('Điều hàng调货'!E:E,'Điều hàng调货'!A:A,K537,'Điều hàng调货'!G:G,B537)*-1+SUMIFS('Điều hàng调货'!E:E,'Điều hàng调货'!A:A,K537,'Điều hàng调货'!H:H,B537)+SUMIFS('Điều hàng调货'!F:F,'Điều hàng调货'!A:A,K537,'Điều hàng调货'!G:G,B537)*-1+SUMIFS('Điều hàng调货'!F:F,'Điều hàng调货'!A:A,K537,'Điều hàng调货'!H:H,B537)</f>
        <v>0</v>
      </c>
      <c r="J537" s="9">
        <f t="shared" si="27"/>
        <v>0</v>
      </c>
      <c r="K537" s="115" t="e">
        <f>VLOOKUP($D537,SKU!$A:$I,3,FALSE)</f>
        <v>#N/A</v>
      </c>
      <c r="L537" s="115" t="e">
        <f>VLOOKUP($D537,SKU!$A:$I,2,FALSE)</f>
        <v>#N/A</v>
      </c>
    </row>
    <row r="538" ht="15.75" spans="2:12">
      <c r="B538" s="85" t="s">
        <v>118</v>
      </c>
      <c r="C538" s="56" t="s">
        <v>423</v>
      </c>
      <c r="D538" s="37" t="s">
        <v>225</v>
      </c>
      <c r="E538" s="38">
        <f>SUMIFS(Xuất出库!D:D,Xuất出库!G:G,B538,Xuất出库!C:C,D538)</f>
        <v>0</v>
      </c>
      <c r="F538" s="39">
        <f>SUMIFS(Xuất出库!E:E,Xuất出库!G:G,B538,Xuất出库!C:C,D538)+SUMIFS(Xuất出库!F:F,Xuất出库!G:G,B538,Xuất出库!C:C,D538)</f>
        <v>28</v>
      </c>
      <c r="G538" s="37">
        <v>3</v>
      </c>
      <c r="H538" s="39">
        <f>SUMIFS(Hoàn回库!E:E,Hoàn回库!G:G,B538,Hoàn回库!C:C,D538)+SUMIFS(Hoàn回库!F:F,Hoàn回库!G:G,B538,Hoàn回库!C:C,D538)</f>
        <v>25</v>
      </c>
      <c r="I538" s="21">
        <f>SUMIFS('Điều hàng调货'!E:E,'Điều hàng调货'!A:A,K538,'Điều hàng调货'!G:G,B538)*-1+SUMIFS('Điều hàng调货'!E:E,'Điều hàng调货'!A:A,K538,'Điều hàng调货'!H:H,B538)+SUMIFS('Điều hàng调货'!F:F,'Điều hàng调货'!A:A,K538,'Điều hàng调货'!G:G,B538)*-1+SUMIFS('Điều hàng调货'!F:F,'Điều hàng调货'!A:A,K538,'Điều hàng调货'!H:H,B538)</f>
        <v>0</v>
      </c>
      <c r="J538" s="21">
        <f t="shared" si="27"/>
        <v>0</v>
      </c>
      <c r="K538" s="39">
        <f>VLOOKUP($D538,SKU!$A:$I,3,FALSE)</f>
        <v>10052</v>
      </c>
      <c r="L538" s="39" t="str">
        <f>VLOOKUP($D538,SKU!$A:$I,2,FALSE)</f>
        <v>柯南洞悉包第五弹</v>
      </c>
    </row>
    <row r="539" ht="15.75" spans="2:12">
      <c r="B539" s="116" t="s">
        <v>134</v>
      </c>
      <c r="C539" s="53" t="s">
        <v>408</v>
      </c>
      <c r="D539" s="23" t="s">
        <v>167</v>
      </c>
      <c r="E539" s="25">
        <f>SUMIFS(Xuất出库!D:D,Xuất出库!G:G,B539,Xuất出库!C:C,D539)</f>
        <v>1</v>
      </c>
      <c r="F539" s="25">
        <f>SUMIFS(Xuất出库!E:E,Xuất出库!G:G,B539,Xuất出库!C:C,D539)+SUMIFS(Xuất出库!F:F,Xuất出库!G:G,B539,Xuất出库!C:C,D539)</f>
        <v>14</v>
      </c>
      <c r="G539" s="54"/>
      <c r="H539" s="25">
        <f>SUMIFS(Hoàn回库!E:E,Hoàn回库!G:G,B539,Hoàn回库!C:C,D539)+SUMIFS(Hoàn回库!F:F,Hoàn回库!G:G,B539,Hoàn回库!C:C,D539)</f>
        <v>0</v>
      </c>
      <c r="I539" s="25">
        <f>SUMIFS('Điều hàng调货'!E:E,'Điều hàng调货'!A:A,K539,'Điều hàng调货'!G:G,B539)*-1+SUMIFS('Điều hàng调货'!E:E,'Điều hàng调货'!A:A,K539,'Điều hàng调货'!H:H,B539)+SUMIFS('Điều hàng调货'!F:F,'Điều hàng调货'!A:A,K539,'Điều hàng调货'!G:G,B539)*-1+SUMIFS('Điều hàng调货'!F:F,'Điều hàng调货'!A:A,K539,'Điều hàng调货'!H:H,B539)</f>
        <v>-14</v>
      </c>
      <c r="J539" s="25">
        <f t="shared" si="27"/>
        <v>0</v>
      </c>
      <c r="K539" s="25">
        <f>VLOOKUP($D539,SKU!$A:$I,3,FALSE)</f>
        <v>10035</v>
      </c>
      <c r="L539" s="25" t="str">
        <f>VLOOKUP($D539,SKU!$A:$I,2,FALSE)</f>
        <v>KK CARD × 新海诚系列第一弹</v>
      </c>
    </row>
    <row r="540" spans="2:12">
      <c r="B540" s="116" t="s">
        <v>134</v>
      </c>
      <c r="C540" s="53" t="s">
        <v>408</v>
      </c>
      <c r="D540" s="23" t="s">
        <v>222</v>
      </c>
      <c r="E540" s="9">
        <f>SUMIFS(Xuất出库!D:D,Xuất出库!G:G,B540,Xuất出库!C:C,D540)</f>
        <v>0</v>
      </c>
      <c r="F540" s="9">
        <f>SUMIFS(Xuất出库!E:E,Xuất出库!G:G,B540,Xuất出库!C:C,D540)+SUMIFS(Xuất出库!F:F,Xuất出库!G:G,B540,Xuất出库!C:C,D540)</f>
        <v>48</v>
      </c>
      <c r="G540" s="54">
        <v>25</v>
      </c>
      <c r="H540" s="9">
        <f>SUMIFS(Hoàn回库!E:E,Hoàn回库!G:G,B540,Hoàn回库!C:C,D540)+SUMIFS(Hoàn回库!F:F,Hoàn回库!G:G,B540,Hoàn回库!C:C,D540)</f>
        <v>23</v>
      </c>
      <c r="I540" s="9">
        <f>SUMIFS('Điều hàng调货'!E:E,'Điều hàng调货'!A:A,K540,'Điều hàng调货'!G:G,B540)*-1+SUMIFS('Điều hàng调货'!E:E,'Điều hàng调货'!A:A,K540,'Điều hàng调货'!H:H,B540)+SUMIFS('Điều hàng调货'!F:F,'Điều hàng调货'!A:A,K540,'Điều hàng调货'!G:G,B540)*-1+SUMIFS('Điều hàng调货'!F:F,'Điều hàng调货'!A:A,K540,'Điều hàng调货'!H:H,B540)</f>
        <v>0</v>
      </c>
      <c r="J540" s="9">
        <f t="shared" si="27"/>
        <v>0</v>
      </c>
      <c r="K540" s="9">
        <f>VLOOKUP($D540,SKU!$A:$I,3,FALSE)</f>
        <v>10051</v>
      </c>
      <c r="L540" s="9" t="str">
        <f>VLOOKUP($D540,SKU!$A:$I,2,FALSE)</f>
        <v>南卡《魔卡少女樱》</v>
      </c>
    </row>
    <row r="541" spans="2:12">
      <c r="B541" s="116" t="s">
        <v>134</v>
      </c>
      <c r="C541" s="53" t="s">
        <v>408</v>
      </c>
      <c r="D541" s="23" t="s">
        <v>99</v>
      </c>
      <c r="E541" s="9">
        <f>SUMIFS(Xuất出库!D:D,Xuất出库!G:G,B541,Xuất出库!C:C,D541)</f>
        <v>2</v>
      </c>
      <c r="F541" s="9">
        <f>SUMIFS(Xuất出库!E:E,Xuất出库!G:G,B541,Xuất出库!C:C,D541)+SUMIFS(Xuất出库!F:F,Xuất出库!G:G,B541,Xuất出库!C:C,D541)</f>
        <v>26</v>
      </c>
      <c r="G541" s="54"/>
      <c r="H541" s="9">
        <f>SUMIFS(Hoàn回库!E:E,Hoàn回库!G:G,B541,Hoàn回库!C:C,D541)+SUMIFS(Hoàn回库!F:F,Hoàn回库!G:G,B541,Hoàn回库!C:C,D541)</f>
        <v>0</v>
      </c>
      <c r="I541" s="9">
        <f>SUMIFS('Điều hàng调货'!E:E,'Điều hàng调货'!A:A,K541,'Điều hàng调货'!G:G,B541)*-1+SUMIFS('Điều hàng调货'!E:E,'Điều hàng调货'!A:A,K541,'Điều hàng调货'!H:H,B541)+SUMIFS('Điều hàng调货'!F:F,'Điều hàng调货'!A:A,K541,'Điều hàng调货'!G:G,B541)*-1+SUMIFS('Điều hàng调货'!F:F,'Điều hàng调货'!A:A,K541,'Điều hàng调货'!H:H,B541)</f>
        <v>-26</v>
      </c>
      <c r="J541" s="9">
        <f t="shared" si="27"/>
        <v>0</v>
      </c>
      <c r="K541" s="9">
        <f>VLOOKUP($D541,SKU!$A:$I,3,FALSE)</f>
        <v>10018</v>
      </c>
      <c r="L541" s="9" t="str">
        <f>VLOOKUP($D541,SKU!$A:$I,2,FALSE)</f>
        <v>圣月美少女战士星尘协奏曲长卡</v>
      </c>
    </row>
    <row r="542" spans="2:12">
      <c r="B542" s="116" t="s">
        <v>134</v>
      </c>
      <c r="C542" s="53" t="s">
        <v>408</v>
      </c>
      <c r="D542" s="23" t="s">
        <v>212</v>
      </c>
      <c r="E542" s="9">
        <f>SUMIFS(Xuất出库!D:D,Xuất出库!G:G,B542,Xuất出库!C:C,D542)</f>
        <v>10</v>
      </c>
      <c r="F542" s="9">
        <f>SUMIFS(Xuất出库!E:E,Xuất出库!G:G,B542,Xuất出库!C:C,D542)+SUMIFS(Xuất出库!F:F,Xuất出库!G:G,B542,Xuất出库!C:C,D542)</f>
        <v>10</v>
      </c>
      <c r="G542" s="54">
        <v>7</v>
      </c>
      <c r="H542" s="9">
        <f>SUMIFS(Hoàn回库!E:E,Hoàn回库!G:G,B542,Hoàn回库!C:C,D542)+SUMIFS(Hoàn回库!F:F,Hoàn回库!G:G,B542,Hoàn回库!C:C,D542)</f>
        <v>3</v>
      </c>
      <c r="I542" s="9">
        <f>SUMIFS('Điều hàng调货'!E:E,'Điều hàng调货'!A:A,K542,'Điều hàng调货'!G:G,B542)*-1+SUMIFS('Điều hàng调货'!E:E,'Điều hàng调货'!A:A,K542,'Điều hàng调货'!H:H,B542)+SUMIFS('Điều hàng调货'!F:F,'Điều hàng调货'!A:A,K542,'Điều hàng调货'!G:G,B542)*-1+SUMIFS('Điều hàng调货'!F:F,'Điều hàng调货'!A:A,K542,'Điều hàng调货'!H:H,B542)</f>
        <v>0</v>
      </c>
      <c r="J542" s="9">
        <f t="shared" si="27"/>
        <v>0</v>
      </c>
      <c r="K542" s="9">
        <f>VLOOKUP($D542,SKU!$A:$I,3,FALSE)</f>
        <v>10048</v>
      </c>
      <c r="L542" s="9" t="str">
        <f>VLOOKUP($D542,SKU!$A:$I,2,FALSE)</f>
        <v>奈良社《极昼漫游》美少女战士撕撕乐+异形小卡</v>
      </c>
    </row>
    <row r="543" spans="2:12">
      <c r="B543" s="116" t="s">
        <v>134</v>
      </c>
      <c r="C543" s="53" t="s">
        <v>408</v>
      </c>
      <c r="D543" s="23" t="s">
        <v>184</v>
      </c>
      <c r="E543" s="9">
        <f>SUMIFS(Xuất出库!D:D,Xuất出库!G:G,B543,Xuất出库!C:C,D543)</f>
        <v>3</v>
      </c>
      <c r="F543" s="9">
        <f>SUMIFS(Xuất出库!E:E,Xuất出库!G:G,B543,Xuất出库!C:C,D543)+SUMIFS(Xuất出库!F:F,Xuất出库!G:G,B543,Xuất出库!C:C,D543)</f>
        <v>60</v>
      </c>
      <c r="G543" s="54">
        <f>40+13+20</f>
        <v>73</v>
      </c>
      <c r="H543" s="9">
        <f>SUMIFS(Hoàn回库!E:E,Hoàn回库!G:G,B543,Hoàn回库!C:C,D543)+SUMIFS(Hoàn回库!F:F,Hoàn回库!G:G,B543,Hoàn回库!C:C,D543)</f>
        <v>0</v>
      </c>
      <c r="I543" s="9">
        <f>SUMIFS('Điều hàng调货'!E:E,'Điều hàng调货'!A:A,K543,'Điều hàng调货'!G:G,B543)*-1+SUMIFS('Điều hàng调货'!E:E,'Điều hàng调货'!A:A,K543,'Điều hàng调货'!H:H,B543)+SUMIFS('Điều hàng调货'!F:F,'Điều hàng调货'!A:A,K543,'Điều hàng调货'!G:G,B543)*-1+SUMIFS('Điều hàng调货'!F:F,'Điều hàng调货'!A:A,K543,'Điều hàng调货'!H:H,B543)</f>
        <v>13</v>
      </c>
      <c r="J543" s="9">
        <f t="shared" si="27"/>
        <v>0</v>
      </c>
      <c r="K543" s="9">
        <f>VLOOKUP($D543,SKU!$A:$I,3,FALSE)</f>
        <v>10039</v>
      </c>
      <c r="L543" s="9" t="str">
        <f>VLOOKUP($D543,SKU!$A:$I,2,FALSE)</f>
        <v>非凡航海王第五弹</v>
      </c>
    </row>
    <row r="544" spans="2:12">
      <c r="B544" s="116" t="s">
        <v>134</v>
      </c>
      <c r="C544" s="53" t="s">
        <v>408</v>
      </c>
      <c r="D544" s="23" t="s">
        <v>55</v>
      </c>
      <c r="E544" s="9">
        <f>SUMIFS(Xuất出库!D:D,Xuất出库!G:G,B544,Xuất出库!C:C,D544)</f>
        <v>1</v>
      </c>
      <c r="F544" s="9">
        <f>SUMIFS(Xuất出库!E:E,Xuất出库!G:G,B544,Xuất出库!C:C,D544)+SUMIFS(Xuất出库!F:F,Xuất出库!G:G,B544,Xuất出库!C:C,D544)</f>
        <v>10</v>
      </c>
      <c r="G544" s="54"/>
      <c r="H544" s="9">
        <f>SUMIFS(Hoàn回库!E:E,Hoàn回库!G:G,B544,Hoàn回库!C:C,D544)+SUMIFS(Hoàn回库!F:F,Hoàn回库!G:G,B544,Hoàn回库!C:C,D544)</f>
        <v>0</v>
      </c>
      <c r="I544" s="9">
        <f>SUMIFS('Điều hàng调货'!E:E,'Điều hàng调货'!A:A,K544,'Điều hàng调货'!G:G,B544)*-1+SUMIFS('Điều hàng调货'!E:E,'Điều hàng调货'!A:A,K544,'Điều hàng调货'!H:H,B544)+SUMIFS('Điều hàng调货'!F:F,'Điều hàng调货'!A:A,K544,'Điều hàng调货'!G:G,B544)*-1+SUMIFS('Điều hàng调货'!F:F,'Điều hàng调货'!A:A,K544,'Điều hàng调货'!H:H,B544)</f>
        <v>-10</v>
      </c>
      <c r="J544" s="9">
        <f t="shared" si="27"/>
        <v>0</v>
      </c>
      <c r="K544" s="9">
        <f>VLOOKUP($D544,SKU!$A:$I,3,FALSE)</f>
        <v>10008</v>
      </c>
      <c r="L544" s="9" t="str">
        <f>VLOOKUP($D544,SKU!$A:$I,2,FALSE)</f>
        <v>XWork美少女战士-璀璨之梦</v>
      </c>
    </row>
    <row r="545" spans="1:12">
      <c r="B545" s="116" t="s">
        <v>134</v>
      </c>
      <c r="C545" s="53" t="s">
        <v>408</v>
      </c>
      <c r="D545" s="23" t="s">
        <v>199</v>
      </c>
      <c r="E545" s="9">
        <f>SUMIFS(Xuất出库!D:D,Xuất出库!G:G,B545,Xuất出库!C:C,D545)</f>
        <v>6</v>
      </c>
      <c r="F545" s="9">
        <f>SUMIFS(Xuất出库!E:E,Xuất出库!G:G,B545,Xuất出库!C:C,D545)+SUMIFS(Xuất出库!F:F,Xuất出库!G:G,B545,Xuất出库!C:C,D545)</f>
        <v>78</v>
      </c>
      <c r="G545" s="54">
        <f>43+6</f>
        <v>49</v>
      </c>
      <c r="H545" s="9">
        <f>SUMIFS(Hoàn回库!E:E,Hoàn回库!G:G,B545,Hoàn回库!C:C,D545)+SUMIFS(Hoàn回库!F:F,Hoàn回库!G:G,B545,Hoàn回库!C:C,D545)</f>
        <v>0</v>
      </c>
      <c r="I545" s="9">
        <f>SUMIFS('Điều hàng调货'!E:E,'Điều hàng调货'!A:A,K545,'Điều hàng调货'!G:G,B545)*-1+SUMIFS('Điều hàng调货'!E:E,'Điều hàng调货'!A:A,K545,'Điều hàng调货'!H:H,B545)+SUMIFS('Điều hàng调货'!F:F,'Điều hàng调货'!A:A,K545,'Điều hàng调货'!G:G,B545)*-1+SUMIFS('Điều hàng调货'!F:F,'Điều hàng调货'!A:A,K545,'Điều hàng调货'!H:H,B545)</f>
        <v>-29</v>
      </c>
      <c r="J545" s="9">
        <f t="shared" si="27"/>
        <v>0</v>
      </c>
      <c r="K545" s="9">
        <f>VLOOKUP($D545,SKU!$A:$I,3,FALSE)</f>
        <v>10043</v>
      </c>
      <c r="L545" s="9" t="str">
        <f>VLOOKUP($D545,SKU!$A:$I,2,FALSE)</f>
        <v>光恋XR-披荆斩棘-美少女战士</v>
      </c>
    </row>
    <row r="546" spans="1:12">
      <c r="B546" s="116" t="s">
        <v>134</v>
      </c>
      <c r="C546" s="53" t="s">
        <v>408</v>
      </c>
      <c r="D546" s="23" t="s">
        <v>207</v>
      </c>
      <c r="E546" s="9">
        <f>SUMIFS(Xuất出库!D:D,Xuất出库!G:G,B546,Xuất出库!C:C,D546)</f>
        <v>3</v>
      </c>
      <c r="F546" s="9">
        <f>SUMIFS(Xuất出库!E:E,Xuất出库!G:G,B546,Xuất出库!C:C,D546)+SUMIFS(Xuất出库!F:F,Xuất出库!G:G,B546,Xuất出库!C:C,D546)</f>
        <v>3</v>
      </c>
      <c r="G546" s="54"/>
      <c r="H546" s="9">
        <f>SUMIFS(Hoàn回库!E:E,Hoàn回库!G:G,B546,Hoàn回库!C:C,D546)+SUMIFS(Hoàn回库!F:F,Hoàn回库!G:G,B546,Hoàn回库!C:C,D546)</f>
        <v>0</v>
      </c>
      <c r="I546" s="9">
        <f>SUMIFS('Điều hàng调货'!E:E,'Điều hàng调货'!A:A,K546,'Điều hàng调货'!G:G,B546)*-1+SUMIFS('Điều hàng调货'!E:E,'Điều hàng调货'!A:A,K546,'Điều hàng调货'!H:H,B546)+SUMIFS('Điều hàng调货'!F:F,'Điều hàng调货'!A:A,K546,'Điều hàng调货'!G:G,B546)*-1+SUMIFS('Điều hàng调货'!F:F,'Điều hàng调货'!A:A,K546,'Điều hàng调货'!H:H,B546)</f>
        <v>-3</v>
      </c>
      <c r="J546" s="9">
        <f t="shared" si="27"/>
        <v>0</v>
      </c>
      <c r="K546" s="9">
        <f>VLOOKUP($D546,SKU!$A:$I,3,FALSE)</f>
        <v>10046</v>
      </c>
      <c r="L546" s="9" t="str">
        <f>VLOOKUP($D546,SKU!$A:$I,2,FALSE)</f>
        <v>夜灯</v>
      </c>
    </row>
    <row r="547" spans="1:12">
      <c r="B547" s="116" t="s">
        <v>134</v>
      </c>
      <c r="C547" s="53" t="s">
        <v>408</v>
      </c>
      <c r="D547" s="23" t="s">
        <v>91</v>
      </c>
      <c r="E547" s="9">
        <f>SUMIFS(Xuất出库!D:D,Xuất出库!G:G,B547,Xuất出库!C:C,D547)</f>
        <v>2</v>
      </c>
      <c r="F547" s="9">
        <f>SUMIFS(Xuất出库!E:E,Xuất出库!G:G,B547,Xuất出库!C:C,D547)+SUMIFS(Xuất出库!F:F,Xuất出库!G:G,B547,Xuất出库!C:C,D547)</f>
        <v>20</v>
      </c>
      <c r="G547" s="54">
        <f>3+6</f>
        <v>9</v>
      </c>
      <c r="H547" s="9">
        <f>SUMIFS(Hoàn回库!E:E,Hoàn回库!G:G,B547,Hoàn回库!C:C,D547)+SUMIFS(Hoàn回库!F:F,Hoàn回库!G:G,B547,Hoàn回库!C:C,D547)</f>
        <v>3</v>
      </c>
      <c r="I547" s="9">
        <f>SUMIFS('Điều hàng调货'!E:E,'Điều hàng调货'!A:A,K547,'Điều hàng调货'!G:G,B547)*-1+SUMIFS('Điều hàng调货'!E:E,'Điều hàng调货'!A:A,K547,'Điều hàng调货'!H:H,B547)+SUMIFS('Điều hàng调货'!F:F,'Điều hàng调货'!A:A,K547,'Điều hàng调货'!G:G,B547)*-1+SUMIFS('Điều hàng调货'!F:F,'Điều hàng调货'!A:A,K547,'Điều hàng调货'!H:H,B547)</f>
        <v>-8</v>
      </c>
      <c r="J547" s="9">
        <f t="shared" si="27"/>
        <v>0</v>
      </c>
      <c r="K547" s="9">
        <f>VLOOKUP($D547,SKU!$A:$I,3,FALSE)</f>
        <v>10016</v>
      </c>
      <c r="L547" s="9" t="str">
        <f>VLOOKUP($D547,SKU!$A:$I,2,FALSE)</f>
        <v>思梨普文创《hey!国王陛下》集换式艺术家典藏卡</v>
      </c>
    </row>
    <row r="548" spans="1:12">
      <c r="B548" s="116" t="s">
        <v>134</v>
      </c>
      <c r="C548" s="53" t="s">
        <v>408</v>
      </c>
      <c r="D548" s="23" t="s">
        <v>143</v>
      </c>
      <c r="E548" s="9">
        <f>SUMIFS(Xuất出库!D:D,Xuất出库!G:G,B548,Xuất出库!C:C,D548)</f>
        <v>1</v>
      </c>
      <c r="F548" s="9">
        <f>SUMIFS(Xuất出库!E:E,Xuất出库!G:G,B548,Xuất出库!C:C,D548)+SUMIFS(Xuất出库!F:F,Xuất出库!G:G,B548,Xuất出库!C:C,D548)</f>
        <v>12</v>
      </c>
      <c r="G548" s="54"/>
      <c r="H548" s="9">
        <f>SUMIFS(Hoàn回库!E:E,Hoàn回库!G:G,B548,Hoàn回库!C:C,D548)+SUMIFS(Hoàn回库!F:F,Hoàn回库!G:G,B548,Hoàn回库!C:C,D548)</f>
        <v>0</v>
      </c>
      <c r="I548" s="9">
        <f>SUMIFS('Điều hàng调货'!E:E,'Điều hàng调货'!A:A,K548,'Điều hàng调货'!G:G,B548)*-1+SUMIFS('Điều hàng调货'!E:E,'Điều hàng调货'!A:A,K548,'Điều hàng调货'!H:H,B548)+SUMIFS('Điều hàng调货'!F:F,'Điều hàng调货'!A:A,K548,'Điều hàng调货'!G:G,B548)*-1+SUMIFS('Điều hàng调货'!F:F,'Điều hàng调货'!A:A,K548,'Điều hàng调货'!H:H,B548)</f>
        <v>-12</v>
      </c>
      <c r="J548" s="9">
        <f t="shared" si="27"/>
        <v>0</v>
      </c>
      <c r="K548" s="9">
        <f>VLOOKUP($D548,SKU!$A:$I,3,FALSE)</f>
        <v>10029</v>
      </c>
      <c r="L548" s="9" t="str">
        <f>VLOOKUP($D548,SKU!$A:$I,2,FALSE)</f>
        <v>樱花屋魔卡少女樱</v>
      </c>
    </row>
    <row r="549" ht="15.75" spans="1:12">
      <c r="B549" s="117" t="s">
        <v>134</v>
      </c>
      <c r="C549" s="56" t="s">
        <v>408</v>
      </c>
      <c r="D549" s="37" t="s">
        <v>244</v>
      </c>
      <c r="E549" s="21">
        <f>SUMIFS(Xuất出库!D:D,Xuất出库!G:G,B549,Xuất出库!C:C,D549)</f>
        <v>0</v>
      </c>
      <c r="F549" s="21">
        <f>SUMIFS(Xuất出库!E:E,Xuất出库!G:G,B549,Xuất出库!C:C,D549)+SUMIFS(Xuất出库!F:F,Xuất出库!G:G,B549,Xuất出库!C:C,D549)</f>
        <v>11</v>
      </c>
      <c r="G549" s="118">
        <v>4</v>
      </c>
      <c r="H549" s="21">
        <f>SUMIFS(Hoàn回库!E:E,Hoàn回库!G:G,B549,Hoàn回库!C:C,D549)+SUMIFS(Hoàn回库!F:F,Hoàn回库!G:G,B549,Hoàn回库!C:C,D549)</f>
        <v>7</v>
      </c>
      <c r="I549" s="21">
        <f>SUMIFS('Điều hàng调货'!E:E,'Điều hàng调货'!A:A,K549,'Điều hàng调货'!G:G,B549)*-1+SUMIFS('Điều hàng调货'!E:E,'Điều hàng调货'!A:A,K549,'Điều hàng调货'!H:H,B549)+SUMIFS('Điều hàng调货'!F:F,'Điều hàng调货'!A:A,K549,'Điều hàng调货'!G:G,B549)*-1+SUMIFS('Điều hàng调货'!F:F,'Điều hàng调货'!A:A,K549,'Điều hàng调货'!H:H,B549)</f>
        <v>0</v>
      </c>
      <c r="J549" s="21">
        <f t="shared" si="27"/>
        <v>0</v>
      </c>
      <c r="K549" s="21">
        <f>VLOOKUP($D549,SKU!$A:$I,3,FALSE)</f>
        <v>10058</v>
      </c>
      <c r="L549" s="21" t="str">
        <f>VLOOKUP($D549,SKU!$A:$I,2,FALSE)</f>
        <v>三丽鸥家族hello kitty梦境巡礼</v>
      </c>
    </row>
    <row r="550" ht="15.75" spans="1:12">
      <c r="A550" s="6"/>
      <c r="B550" s="80" t="s">
        <v>122</v>
      </c>
      <c r="C550" s="53" t="s">
        <v>408</v>
      </c>
      <c r="D550" s="54" t="s">
        <v>184</v>
      </c>
      <c r="E550" s="24">
        <f>SUMIFS(Xuất出库!D:D,Xuất出库!G:G,B550,Xuất出库!C:C,D550)</f>
        <v>5</v>
      </c>
      <c r="F550" s="25">
        <f>SUMIFS(Xuất出库!E:E,Xuất出库!G:G,B550,Xuất出库!C:C,D550)+SUMIFS(Xuất出库!F:F,Xuất出库!G:G,B550,Xuất出库!C:C,D550)</f>
        <v>911</v>
      </c>
      <c r="G550" s="23">
        <v>60</v>
      </c>
      <c r="H550" s="25">
        <f>SUMIFS(Hoàn回库!E:E,Hoàn回库!G:G,B550,Hoàn回库!C:C,D550)+SUMIFS(Hoàn回库!F:F,Hoàn回库!G:G,B550,Hoàn回库!C:C,D550)</f>
        <v>80</v>
      </c>
      <c r="I550" s="25">
        <f>SUMIFS('Điều hàng调货'!E:E,'Điều hàng调货'!A:A,K550,'Điều hàng调货'!G:G,B550)*-1+SUMIFS('Điều hàng调货'!E:E,'Điều hàng调货'!A:A,K550,'Điều hàng调货'!H:H,B550)+SUMIFS('Điều hàng调货'!F:F,'Điều hàng调货'!A:A,K550,'Điều hàng调货'!G:G,B550)*-1+SUMIFS('Điều hàng调货'!F:F,'Điều hàng调货'!A:A,K550,'Điều hàng调货'!H:H,B550)</f>
        <v>-608</v>
      </c>
      <c r="J550" s="25">
        <f t="shared" si="27"/>
        <v>163</v>
      </c>
      <c r="K550" s="25">
        <f>VLOOKUP($D550,SKU!$A:$I,3,FALSE)</f>
        <v>10039</v>
      </c>
      <c r="L550" s="25" t="str">
        <f>VLOOKUP($D550,SKU!$A:$I,2,FALSE)</f>
        <v>非凡航海王第五弹</v>
      </c>
    </row>
    <row r="551" spans="1:12">
      <c r="A551" s="6"/>
      <c r="B551" s="80" t="s">
        <v>122</v>
      </c>
      <c r="C551" s="53" t="s">
        <v>408</v>
      </c>
      <c r="D551" s="6" t="s">
        <v>119</v>
      </c>
      <c r="E551" s="8">
        <f>SUMIFS(Xuất出库!D:D,Xuất出库!G:G,B551,Xuất出库!C:C,D551)</f>
        <v>0</v>
      </c>
      <c r="F551" s="9">
        <f>SUMIFS(Xuất出库!E:E,Xuất出库!G:G,B551,Xuất出库!C:C,D551)+SUMIFS(Xuất出库!F:F,Xuất出库!G:G,B551,Xuất出库!C:C,D551)</f>
        <v>7</v>
      </c>
      <c r="G551" s="6"/>
      <c r="H551" s="9">
        <f>SUMIFS(Hoàn回库!E:E,Hoàn回库!G:G,B551,Hoàn回库!C:C,D551)+SUMIFS(Hoàn回库!F:F,Hoàn回库!G:G,B551,Hoàn回库!C:C,D551)</f>
        <v>0</v>
      </c>
      <c r="I551" s="9">
        <f>SUMIFS('Điều hàng调货'!E:E,'Điều hàng调货'!A:A,K551,'Điều hàng调货'!G:G,B551)*-1+SUMIFS('Điều hàng调货'!E:E,'Điều hàng调货'!A:A,K551,'Điều hàng调货'!H:H,B551)+SUMIFS('Điều hàng调货'!F:F,'Điều hàng调货'!A:A,K551,'Điều hàng调货'!G:G,B551)*-1+SUMIFS('Điều hàng调货'!F:F,'Điều hàng调货'!A:A,K551,'Điều hàng调货'!H:H,B551)</f>
        <v>-7</v>
      </c>
      <c r="J551" s="9">
        <f t="shared" si="27"/>
        <v>0</v>
      </c>
      <c r="K551" s="9">
        <f>VLOOKUP($D551,SKU!$A:$I,3,FALSE)</f>
        <v>10023</v>
      </c>
      <c r="L551" s="9" t="str">
        <f>VLOOKUP($D551,SKU!$A:$I,2,FALSE)</f>
        <v>风信文创尘世相逢之约星光来信原神邮票第一弹</v>
      </c>
    </row>
    <row r="552" spans="1:12">
      <c r="A552" s="6"/>
      <c r="B552" s="80" t="s">
        <v>122</v>
      </c>
      <c r="C552" s="53" t="s">
        <v>408</v>
      </c>
      <c r="D552" s="6" t="s">
        <v>75</v>
      </c>
      <c r="E552" s="8">
        <f>SUMIFS(Xuất出库!D:D,Xuất出库!G:G,B552,Xuất出库!C:C,D552)</f>
        <v>5</v>
      </c>
      <c r="F552" s="9">
        <f>SUMIFS(Xuất出库!E:E,Xuất出库!G:G,B552,Xuất出库!C:C,D552)+SUMIFS(Xuất出库!F:F,Xuất出库!G:G,B552,Xuất出库!C:C,D552)</f>
        <v>150</v>
      </c>
      <c r="G552" s="6"/>
      <c r="H552" s="9">
        <f>SUMIFS(Hoàn回库!E:E,Hoàn回库!G:G,B552,Hoàn回库!C:C,D552)+SUMIFS(Hoàn回库!F:F,Hoàn回库!G:G,B552,Hoàn回库!C:C,D552)</f>
        <v>0</v>
      </c>
      <c r="I552" s="9">
        <f>SUMIFS('Điều hàng调货'!E:E,'Điều hàng调货'!A:A,K552,'Điều hàng调货'!G:G,B552)*-1+SUMIFS('Điều hàng调货'!E:E,'Điều hàng调货'!A:A,K552,'Điều hàng调货'!H:H,B552)+SUMIFS('Điều hàng调货'!F:F,'Điều hàng调货'!A:A,K552,'Điều hàng调货'!G:G,B552)*-1+SUMIFS('Điều hàng调货'!F:F,'Điều hàng调货'!A:A,K552,'Điều hàng调货'!H:H,B552)</f>
        <v>-90</v>
      </c>
      <c r="J552" s="9">
        <f t="shared" si="27"/>
        <v>60</v>
      </c>
      <c r="K552" s="9">
        <f>VLOOKUP($D552,SKU!$A:$I,3,FALSE)</f>
        <v>10012</v>
      </c>
      <c r="L552" s="9" t="str">
        <f>VLOOKUP($D552,SKU!$A:$I,2,FALSE)</f>
        <v>卡文化进击的巨人</v>
      </c>
    </row>
    <row r="553" spans="1:12">
      <c r="A553" s="6"/>
      <c r="B553" s="80" t="s">
        <v>122</v>
      </c>
      <c r="C553" s="53" t="s">
        <v>408</v>
      </c>
      <c r="D553" s="6" t="s">
        <v>83</v>
      </c>
      <c r="E553" s="8">
        <f>SUMIFS(Xuất出库!D:D,Xuất出库!G:G,B553,Xuất出库!C:C,D553)</f>
        <v>0</v>
      </c>
      <c r="F553" s="9">
        <f>SUMIFS(Xuất出库!E:E,Xuất出库!G:G,B553,Xuất出库!C:C,D553)+SUMIFS(Xuất出库!F:F,Xuất出库!G:G,B553,Xuất出库!C:C,D553)</f>
        <v>75</v>
      </c>
      <c r="G553" s="6"/>
      <c r="H553" s="9">
        <f>SUMIFS(Hoàn回库!E:E,Hoàn回库!G:G,B553,Hoàn回库!C:C,D553)+SUMIFS(Hoàn回库!F:F,Hoàn回库!G:G,B553,Hoàn回库!C:C,D553)</f>
        <v>0</v>
      </c>
      <c r="I553" s="9">
        <f>SUMIFS('Điều hàng调货'!E:E,'Điều hàng调货'!A:A,K553,'Điều hàng调货'!G:G,B553)*-1+SUMIFS('Điều hàng调货'!E:E,'Điều hàng调货'!A:A,K553,'Điều hàng调货'!H:H,B553)+SUMIFS('Điều hàng调货'!F:F,'Điều hàng调货'!A:A,K553,'Điều hàng调货'!G:G,B553)*-1+SUMIFS('Điều hàng调货'!F:F,'Điều hàng调货'!A:A,K553,'Điều hàng调货'!H:H,B553)</f>
        <v>-60</v>
      </c>
      <c r="J553" s="9">
        <f t="shared" si="27"/>
        <v>15</v>
      </c>
      <c r="K553" s="9">
        <f>VLOOKUP($D553,SKU!$A:$I,3,FALSE)</f>
        <v>10014</v>
      </c>
      <c r="L553" s="9" t="str">
        <f>VLOOKUP($D553,SKU!$A:$I,2,FALSE)</f>
        <v>星梦文创-Studio Ghibli宫崎骏撕撕乐系列 </v>
      </c>
    </row>
    <row r="554" spans="1:12">
      <c r="A554" s="6"/>
      <c r="B554" s="80" t="s">
        <v>122</v>
      </c>
      <c r="C554" s="53" t="s">
        <v>408</v>
      </c>
      <c r="D554" s="6" t="s">
        <v>244</v>
      </c>
      <c r="E554" s="8">
        <f>SUMIFS(Xuất出库!D:D,Xuất出库!G:G,B554,Xuất出库!C:C,D554)</f>
        <v>3</v>
      </c>
      <c r="F554" s="9">
        <f>SUMIFS(Xuất出库!E:E,Xuất出库!G:G,B554,Xuất出库!C:C,D554)+SUMIFS(Xuất出库!F:F,Xuất出库!G:G,B554,Xuất出库!C:C,D554)</f>
        <v>45</v>
      </c>
      <c r="G554" s="6">
        <f>14+5</f>
        <v>19</v>
      </c>
      <c r="H554" s="9">
        <f>SUMIFS(Hoàn回库!E:E,Hoàn回库!G:G,B554,Hoàn回库!C:C,D554)+SUMIFS(Hoàn回库!F:F,Hoàn回库!G:G,B554,Hoàn回库!C:C,D554)</f>
        <v>26</v>
      </c>
      <c r="I554" s="9">
        <f>SUMIFS('Điều hàng调货'!E:E,'Điều hàng调货'!A:A,K554,'Điều hàng调货'!G:G,B554)*-1+SUMIFS('Điều hàng调货'!E:E,'Điều hàng调货'!A:A,K554,'Điều hàng调货'!H:H,B554)+SUMIFS('Điều hàng调货'!F:F,'Điều hàng调货'!A:A,K554,'Điều hàng调货'!G:G,B554)*-1+SUMIFS('Điều hàng调货'!F:F,'Điều hàng调货'!A:A,K554,'Điều hàng调货'!H:H,B554)</f>
        <v>0</v>
      </c>
      <c r="J554" s="9">
        <f t="shared" si="27"/>
        <v>0</v>
      </c>
      <c r="K554" s="9">
        <f>VLOOKUP($D554,SKU!$A:$I,3,FALSE)</f>
        <v>10058</v>
      </c>
      <c r="L554" s="9" t="str">
        <f>VLOOKUP($D554,SKU!$A:$I,2,FALSE)</f>
        <v>三丽鸥家族hello kitty梦境巡礼</v>
      </c>
    </row>
    <row r="555" ht="15.75" spans="1:12">
      <c r="A555" s="6"/>
      <c r="B555" s="119" t="s">
        <v>122</v>
      </c>
      <c r="C555" s="56" t="s">
        <v>408</v>
      </c>
      <c r="D555" s="43" t="s">
        <v>196</v>
      </c>
      <c r="E555" s="20">
        <f>SUMIFS(Xuất出库!D:D,Xuất出库!G:G,B555,Xuất出库!C:C,D555)</f>
        <v>5</v>
      </c>
      <c r="F555" s="21">
        <f>SUMIFS(Xuất出库!E:E,Xuất出库!G:G,B555,Xuất出库!C:C,D555)+SUMIFS(Xuất出库!F:F,Xuất出库!G:G,B555,Xuất出库!C:C,D555)</f>
        <v>80</v>
      </c>
      <c r="G555" s="43">
        <f>16+33</f>
        <v>49</v>
      </c>
      <c r="H555" s="21">
        <f>SUMIFS(Hoàn回库!E:E,Hoàn回库!G:G,B555,Hoàn回库!C:C,D555)+SUMIFS(Hoàn回库!F:F,Hoàn回库!G:G,B555,Hoàn回库!C:C,D555)</f>
        <v>0</v>
      </c>
      <c r="I555" s="21">
        <f>SUMIFS('Điều hàng调货'!E:E,'Điều hàng调货'!A:A,K555,'Điều hàng调货'!G:G,B555)*-1+SUMIFS('Điều hàng调货'!E:E,'Điều hàng调货'!A:A,K555,'Điều hàng调货'!H:H,B555)+SUMIFS('Điều hàng调货'!F:F,'Điều hàng调货'!A:A,K555,'Điều hàng调货'!G:G,B555)*-1+SUMIFS('Điều hàng调货'!F:F,'Điều hàng调货'!A:A,K555,'Điều hàng调货'!H:H,B555)</f>
        <v>-31</v>
      </c>
      <c r="J555" s="21">
        <f t="shared" si="27"/>
        <v>0</v>
      </c>
      <c r="K555" s="21">
        <f>VLOOKUP($D555,SKU!$A:$I,3,FALSE)</f>
        <v>10042</v>
      </c>
      <c r="L555" s="21" t="str">
        <f>VLOOKUP($D555,SKU!$A:$I,2,FALSE)</f>
        <v>黄油小熊系列收藏卡第二弹 小熊的观察日记</v>
      </c>
    </row>
    <row r="556" ht="15.75" spans="1:12">
      <c r="B556" s="120" t="s">
        <v>170</v>
      </c>
      <c r="C556" s="53" t="s">
        <v>70</v>
      </c>
      <c r="D556" s="23" t="s">
        <v>167</v>
      </c>
      <c r="E556" s="25">
        <f>SUMIFS(Xuất出库!D:D,Xuất出库!G:G,B556,Xuất出库!C:C,D556)</f>
        <v>0</v>
      </c>
      <c r="F556" s="25">
        <f>SUMIFS(Xuất出库!E:E,Xuất出库!G:G,B556,Xuất出库!C:C,D556)+SUMIFS(Xuất出库!F:F,Xuất出库!G:G,B556,Xuất出库!C:C,D556)</f>
        <v>0</v>
      </c>
      <c r="G556" s="54"/>
      <c r="H556" s="25">
        <f>SUMIFS(Hoàn回库!E:E,Hoàn回库!G:G,B556,Hoàn回库!C:C,D556)+SUMIFS(Hoàn回库!F:F,Hoàn回库!G:G,B556,Hoàn回库!C:C,D556)</f>
        <v>0</v>
      </c>
      <c r="I556" s="25">
        <f>SUMIFS('Điều hàng调货'!E:E,'Điều hàng调货'!A:A,K556,'Điều hàng调货'!G:G,B556)*-1+SUMIFS('Điều hàng调货'!E:E,'Điều hàng调货'!A:A,K556,'Điều hàng调货'!H:H,B556)+SUMIFS('Điều hàng调货'!F:F,'Điều hàng调货'!A:A,K556,'Điều hàng调货'!G:G,B556)*-1+SUMIFS('Điều hàng调货'!F:F,'Điều hàng调货'!A:A,K556,'Điều hàng调货'!H:H,B556)</f>
        <v>0</v>
      </c>
      <c r="J556" s="25">
        <f t="shared" si="27"/>
        <v>0</v>
      </c>
      <c r="K556" s="25">
        <f>VLOOKUP($D556,SKU!$A:$I,3,FALSE)</f>
        <v>10035</v>
      </c>
      <c r="L556" s="25" t="str">
        <f>VLOOKUP($D556,SKU!$A:$I,2,FALSE)</f>
        <v>KK CARD × 新海诚系列第一弹</v>
      </c>
    </row>
    <row r="557" spans="1:12">
      <c r="B557" s="120" t="s">
        <v>170</v>
      </c>
      <c r="C557" s="53" t="s">
        <v>70</v>
      </c>
      <c r="D557" s="23" t="s">
        <v>99</v>
      </c>
      <c r="E557" s="9">
        <f>SUMIFS(Xuất出库!D:D,Xuất出库!G:G,B557,Xuất出库!C:C,D557)</f>
        <v>0</v>
      </c>
      <c r="F557" s="9">
        <f>SUMIFS(Xuất出库!E:E,Xuất出库!G:G,B557,Xuất出库!C:C,D557)+SUMIFS(Xuất出库!F:F,Xuất出库!G:G,B557,Xuất出库!C:C,D557)</f>
        <v>0</v>
      </c>
      <c r="G557" s="54"/>
      <c r="H557" s="9">
        <f>SUMIFS(Hoàn回库!E:E,Hoàn回库!G:G,B557,Hoàn回库!C:C,D557)+SUMIFS(Hoàn回库!F:F,Hoàn回库!G:G,B557,Hoàn回库!C:C,D557)</f>
        <v>0</v>
      </c>
      <c r="I557" s="9">
        <f>SUMIFS('Điều hàng调货'!E:E,'Điều hàng调货'!A:A,K557,'Điều hàng调货'!G:G,B557)*-1+SUMIFS('Điều hàng调货'!E:E,'Điều hàng调货'!A:A,K557,'Điều hàng调货'!H:H,B557)+SUMIFS('Điều hàng调货'!F:F,'Điều hàng调货'!A:A,K557,'Điều hàng调货'!G:G,B557)*-1+SUMIFS('Điều hàng调货'!F:F,'Điều hàng调货'!A:A,K557,'Điều hàng调货'!H:H,B557)</f>
        <v>26</v>
      </c>
      <c r="J557" s="9">
        <f t="shared" si="27"/>
        <v>26</v>
      </c>
      <c r="K557" s="9">
        <f>VLOOKUP($D557,SKU!$A:$I,3,FALSE)</f>
        <v>10018</v>
      </c>
      <c r="L557" s="9" t="str">
        <f>VLOOKUP($D557,SKU!$A:$I,2,FALSE)</f>
        <v>圣月美少女战士星尘协奏曲长卡</v>
      </c>
    </row>
    <row r="558" spans="1:12">
      <c r="B558" s="120" t="s">
        <v>170</v>
      </c>
      <c r="C558" s="53" t="s">
        <v>70</v>
      </c>
      <c r="D558" s="54" t="s">
        <v>184</v>
      </c>
      <c r="E558" s="9">
        <f>SUMIFS(Xuất出库!D:D,Xuất出库!G:G,B558,Xuất出库!C:C,D558)</f>
        <v>8</v>
      </c>
      <c r="F558" s="9">
        <f>SUMIFS(Xuất出库!E:E,Xuất出库!G:G,B558,Xuất出库!C:C,D558)+SUMIFS(Xuất出库!F:F,Xuất出库!G:G,B558,Xuất出库!C:C,D558)</f>
        <v>160</v>
      </c>
      <c r="G558" s="54">
        <f>13+20+40+20</f>
        <v>93</v>
      </c>
      <c r="H558" s="9">
        <f>SUMIFS(Hoàn回库!E:E,Hoàn回库!G:G,B558,Hoàn回库!C:C,D558)+SUMIFS(Hoàn回库!F:F,Hoàn回库!G:G,B558,Hoàn回库!C:C,D558)</f>
        <v>0</v>
      </c>
      <c r="I558" s="9">
        <f>SUMIFS('Điều hàng调货'!E:E,'Điều hàng调货'!A:A,K558,'Điều hàng调货'!G:G,B558)*-1+SUMIFS('Điều hàng调货'!E:E,'Điều hàng调货'!A:A,K558,'Điều hàng调货'!H:H,B558)+SUMIFS('Điều hàng调货'!F:F,'Điều hàng调货'!A:A,K558,'Điều hàng调货'!G:G,B558)*-1+SUMIFS('Điều hàng调货'!F:F,'Điều hàng调货'!A:A,K558,'Điều hàng调货'!H:H,B558)</f>
        <v>-46</v>
      </c>
      <c r="J558" s="9">
        <f t="shared" si="27"/>
        <v>21</v>
      </c>
      <c r="K558" s="9">
        <f>VLOOKUP($D558,SKU!$A:$I,3,FALSE)</f>
        <v>10039</v>
      </c>
      <c r="L558" s="9" t="str">
        <f>VLOOKUP($D558,SKU!$A:$I,2,FALSE)</f>
        <v>非凡航海王第五弹</v>
      </c>
    </row>
    <row r="559" spans="1:12">
      <c r="B559" s="120" t="s">
        <v>170</v>
      </c>
      <c r="C559" s="53" t="s">
        <v>70</v>
      </c>
      <c r="D559" s="23" t="s">
        <v>55</v>
      </c>
      <c r="E559" s="9">
        <f>SUMIFS(Xuất出库!D:D,Xuất出库!G:G,B559,Xuất出库!C:C,D559)</f>
        <v>0</v>
      </c>
      <c r="F559" s="9">
        <f>SUMIFS(Xuất出库!E:E,Xuất出库!G:G,B559,Xuất出库!C:C,D559)+SUMIFS(Xuất出库!F:F,Xuất出库!G:G,B559,Xuất出库!C:C,D559)</f>
        <v>0</v>
      </c>
      <c r="G559" s="54"/>
      <c r="H559" s="9">
        <f>SUMIFS(Hoàn回库!E:E,Hoàn回库!G:G,B559,Hoàn回库!C:C,D559)+SUMIFS(Hoàn回库!F:F,Hoàn回库!G:G,B559,Hoàn回库!C:C,D559)</f>
        <v>0</v>
      </c>
      <c r="I559" s="9">
        <f>SUMIFS('Điều hàng调货'!E:E,'Điều hàng调货'!A:A,K559,'Điều hàng调货'!G:G,B559)*-1+SUMIFS('Điều hàng调货'!E:E,'Điều hàng调货'!A:A,K559,'Điều hàng调货'!H:H,B559)+SUMIFS('Điều hàng调货'!F:F,'Điều hàng调货'!A:A,K559,'Điều hàng调货'!G:G,B559)*-1+SUMIFS('Điều hàng调货'!F:F,'Điều hàng调货'!A:A,K559,'Điều hàng调货'!H:H,B559)</f>
        <v>10</v>
      </c>
      <c r="J559" s="9">
        <f t="shared" si="27"/>
        <v>10</v>
      </c>
      <c r="K559" s="9">
        <f>VLOOKUP($D559,SKU!$A:$I,3,FALSE)</f>
        <v>10008</v>
      </c>
      <c r="L559" s="9" t="str">
        <f>VLOOKUP($D559,SKU!$A:$I,2,FALSE)</f>
        <v>XWork美少女战士-璀璨之梦</v>
      </c>
    </row>
    <row r="560" spans="1:12">
      <c r="B560" s="120" t="s">
        <v>170</v>
      </c>
      <c r="C560" s="53" t="s">
        <v>70</v>
      </c>
      <c r="D560" s="23" t="s">
        <v>199</v>
      </c>
      <c r="E560" s="9">
        <f>SUMIFS(Xuất出库!D:D,Xuất出库!G:G,B560,Xuất出库!C:C,D560)</f>
        <v>0</v>
      </c>
      <c r="F560" s="9">
        <f>SUMIFS(Xuất出库!E:E,Xuất出库!G:G,B560,Xuất出库!C:C,D560)+SUMIFS(Xuất出库!F:F,Xuất出库!G:G,B560,Xuất出库!C:C,D560)</f>
        <v>0</v>
      </c>
      <c r="G560" s="54"/>
      <c r="H560" s="9">
        <f>SUMIFS(Hoàn回库!E:E,Hoàn回库!G:G,B560,Hoàn回库!C:C,D560)+SUMIFS(Hoàn回库!F:F,Hoàn回库!G:G,B560,Hoàn回库!C:C,D560)</f>
        <v>0</v>
      </c>
      <c r="I560" s="9">
        <f>SUMIFS('Điều hàng调货'!E:E,'Điều hàng调货'!A:A,K560,'Điều hàng调货'!G:G,B560)*-1+SUMIFS('Điều hàng调货'!E:E,'Điều hàng调货'!A:A,K560,'Điều hàng调货'!H:H,B560)+SUMIFS('Điều hàng调货'!F:F,'Điều hàng调货'!A:A,K560,'Điều hàng调货'!G:G,B560)*-1+SUMIFS('Điều hàng调货'!F:F,'Điều hàng调货'!A:A,K560,'Điều hàng调货'!H:H,B560)</f>
        <v>29</v>
      </c>
      <c r="J560" s="9">
        <f t="shared" si="27"/>
        <v>29</v>
      </c>
      <c r="K560" s="9">
        <f>VLOOKUP($D560,SKU!$A:$I,3,FALSE)</f>
        <v>10043</v>
      </c>
      <c r="L560" s="9" t="str">
        <f>VLOOKUP($D560,SKU!$A:$I,2,FALSE)</f>
        <v>光恋XR-披荆斩棘-美少女战士</v>
      </c>
    </row>
    <row r="561" spans="2:12">
      <c r="B561" s="120" t="s">
        <v>170</v>
      </c>
      <c r="C561" s="53" t="s">
        <v>70</v>
      </c>
      <c r="D561" s="23" t="s">
        <v>207</v>
      </c>
      <c r="E561" s="9">
        <f>SUMIFS(Xuất出库!D:D,Xuất出库!G:G,B561,Xuất出库!C:C,D561)</f>
        <v>0</v>
      </c>
      <c r="F561" s="9">
        <f>SUMIFS(Xuất出库!E:E,Xuất出库!G:G,B561,Xuất出库!C:C,D561)+SUMIFS(Xuất出库!F:F,Xuất出库!G:G,B561,Xuất出库!C:C,D561)</f>
        <v>0</v>
      </c>
      <c r="G561" s="54"/>
      <c r="H561" s="9">
        <f>SUMIFS(Hoàn回库!E:E,Hoàn回库!G:G,B561,Hoàn回库!C:C,D561)+SUMIFS(Hoàn回库!F:F,Hoàn回库!G:G,B561,Hoàn回库!C:C,D561)</f>
        <v>0</v>
      </c>
      <c r="I561" s="9">
        <f>SUMIFS('Điều hàng调货'!E:E,'Điều hàng调货'!A:A,K561,'Điều hàng调货'!G:G,B561)*-1+SUMIFS('Điều hàng调货'!E:E,'Điều hàng调货'!A:A,K561,'Điều hàng调货'!H:H,B561)+SUMIFS('Điều hàng调货'!F:F,'Điều hàng调货'!A:A,K561,'Điều hàng调货'!G:G,B561)*-1+SUMIFS('Điều hàng调货'!F:F,'Điều hàng调货'!A:A,K561,'Điều hàng调货'!H:H,B561)</f>
        <v>3</v>
      </c>
      <c r="J561" s="9">
        <f t="shared" si="27"/>
        <v>3</v>
      </c>
      <c r="K561" s="9">
        <f>VLOOKUP($D561,SKU!$A:$I,3,FALSE)</f>
        <v>10046</v>
      </c>
      <c r="L561" s="9" t="str">
        <f>VLOOKUP($D561,SKU!$A:$I,2,FALSE)</f>
        <v>夜灯</v>
      </c>
    </row>
    <row r="562" spans="2:12">
      <c r="B562" s="120" t="s">
        <v>170</v>
      </c>
      <c r="C562" s="53" t="s">
        <v>70</v>
      </c>
      <c r="D562" s="23" t="s">
        <v>91</v>
      </c>
      <c r="E562" s="9">
        <f>SUMIFS(Xuất出库!D:D,Xuất出库!G:G,B562,Xuất出库!C:C,D562)</f>
        <v>0</v>
      </c>
      <c r="F562" s="9">
        <f>SUMIFS(Xuất出库!E:E,Xuất出库!G:G,B562,Xuất出库!C:C,D562)+SUMIFS(Xuất出库!F:F,Xuất出库!G:G,B562,Xuất出库!C:C,D562)</f>
        <v>0</v>
      </c>
      <c r="G562" s="54"/>
      <c r="H562" s="9">
        <f>SUMIFS(Hoàn回库!E:E,Hoàn回库!G:G,B562,Hoàn回库!C:C,D562)+SUMIFS(Hoàn回库!F:F,Hoàn回库!G:G,B562,Hoàn回库!C:C,D562)</f>
        <v>0</v>
      </c>
      <c r="I562" s="9">
        <f>SUMIFS('Điều hàng调货'!E:E,'Điều hàng调货'!A:A,K562,'Điều hàng调货'!G:G,B562)*-1+SUMIFS('Điều hàng调货'!E:E,'Điều hàng调货'!A:A,K562,'Điều hàng调货'!H:H,B562)+SUMIFS('Điều hàng调货'!F:F,'Điều hàng调货'!A:A,K562,'Điều hàng调货'!G:G,B562)*-1+SUMIFS('Điều hàng调货'!F:F,'Điều hàng调货'!A:A,K562,'Điều hàng调货'!H:H,B562)</f>
        <v>3</v>
      </c>
      <c r="J562" s="9">
        <f t="shared" si="27"/>
        <v>3</v>
      </c>
      <c r="K562" s="9">
        <f>VLOOKUP($D562,SKU!$A:$I,3,FALSE)</f>
        <v>10016</v>
      </c>
      <c r="L562" s="9" t="str">
        <f>VLOOKUP($D562,SKU!$A:$I,2,FALSE)</f>
        <v>思梨普文创《hey!国王陛下》集换式艺术家典藏卡</v>
      </c>
    </row>
    <row r="563" spans="2:12">
      <c r="B563" s="120" t="s">
        <v>170</v>
      </c>
      <c r="C563" s="53" t="s">
        <v>70</v>
      </c>
      <c r="D563" s="32" t="s">
        <v>143</v>
      </c>
      <c r="E563" s="14">
        <f>SUMIFS(Xuất出库!D:D,Xuất出库!G:G,B563,Xuất出库!C:C,D563)</f>
        <v>0</v>
      </c>
      <c r="F563" s="14">
        <f>SUMIFS(Xuất出库!E:E,Xuất出库!G:G,B563,Xuất出库!C:C,D563)+SUMIFS(Xuất出库!F:F,Xuất出库!G:G,B563,Xuất出库!C:C,D563)</f>
        <v>0</v>
      </c>
      <c r="G563" s="121"/>
      <c r="H563" s="14">
        <f>SUMIFS(Hoàn回库!E:E,Hoàn回库!G:G,B563,Hoàn回库!C:C,D563)+SUMIFS(Hoàn回库!F:F,Hoàn回库!G:G,B563,Hoàn回库!C:C,D563)</f>
        <v>0</v>
      </c>
      <c r="I563" s="14">
        <f>SUMIFS('Điều hàng调货'!E:E,'Điều hàng调货'!A:A,K563,'Điều hàng调货'!G:G,B563)*-1+SUMIFS('Điều hàng调货'!E:E,'Điều hàng调货'!A:A,K563,'Điều hàng调货'!H:H,B563)+SUMIFS('Điều hàng调货'!F:F,'Điều hàng调货'!A:A,K563,'Điều hàng调货'!G:G,B563)*-1+SUMIFS('Điều hàng调货'!F:F,'Điều hàng调货'!A:A,K563,'Điều hàng调货'!H:H,B563)</f>
        <v>0</v>
      </c>
      <c r="J563" s="14">
        <f t="shared" si="27"/>
        <v>0</v>
      </c>
      <c r="K563" s="14">
        <f>VLOOKUP($D563,SKU!$A:$I,3,FALSE)</f>
        <v>10029</v>
      </c>
      <c r="L563" s="14" t="str">
        <f>VLOOKUP($D563,SKU!$A:$I,2,FALSE)</f>
        <v>樱花屋魔卡少女樱</v>
      </c>
    </row>
    <row r="564" spans="2:12">
      <c r="B564" s="120" t="s">
        <v>170</v>
      </c>
      <c r="C564" s="53" t="s">
        <v>70</v>
      </c>
      <c r="D564" s="29" t="s">
        <v>49</v>
      </c>
      <c r="E564" s="31">
        <f>SUMIFS(Xuất出库!D:D,Xuất出库!G:G,B564,Xuất出库!C:C,D564)</f>
        <v>0</v>
      </c>
      <c r="F564" s="31">
        <f>SUMIFS(Xuất出库!E:E,Xuất出库!G:G,B564,Xuất出库!C:C,D564)+SUMIFS(Xuất出库!F:F,Xuất出库!G:G,B564,Xuất出库!C:C,D564)</f>
        <v>0</v>
      </c>
      <c r="G564" s="34"/>
      <c r="H564" s="31">
        <f>SUMIFS(Hoàn回库!E:E,Hoàn回库!G:G,B564,Hoàn回库!C:C,D564)+SUMIFS(Hoàn回库!F:F,Hoàn回库!G:G,B564,Hoàn回库!C:C,D564)</f>
        <v>0</v>
      </c>
      <c r="I564" s="31">
        <f>SUMIFS('Điều hàng调货'!E:E,'Điều hàng调货'!A:A,K564,'Điều hàng调货'!G:G,B564)*-1+SUMIFS('Điều hàng调货'!E:E,'Điều hàng调货'!A:A,K564,'Điều hàng调货'!H:H,B564)+SUMIFS('Điều hàng调货'!F:F,'Điều hàng调货'!A:A,K564,'Điều hàng调货'!G:G,B564)*-1+SUMIFS('Điều hàng调货'!F:F,'Điều hàng调货'!A:A,K564,'Điều hàng调货'!H:H,B564)</f>
        <v>33</v>
      </c>
      <c r="J564" s="31">
        <f t="shared" si="27"/>
        <v>33</v>
      </c>
      <c r="K564" s="31">
        <f>VLOOKUP($D564,SKU!$A:$I,3,FALSE)</f>
        <v>10007</v>
      </c>
      <c r="L564" s="31" t="str">
        <f>VLOOKUP($D564,SKU!$A:$I,2,FALSE)</f>
        <v>kawaii宫崎骏梦幻之国</v>
      </c>
    </row>
    <row r="565" spans="2:12">
      <c r="B565" s="122" t="s">
        <v>170</v>
      </c>
      <c r="C565" s="53" t="s">
        <v>70</v>
      </c>
      <c r="D565" s="29" t="s">
        <v>83</v>
      </c>
      <c r="E565" s="31">
        <f>SUMIFS(Xuất出库!D:D,Xuất出库!G:G,B565,Xuất出库!C:C,D565)</f>
        <v>5</v>
      </c>
      <c r="F565" s="31">
        <f>SUMIFS(Xuất出库!E:E,Xuất出库!G:G,B565,Xuất出库!C:C,D565)+SUMIFS(Xuất出库!F:F,Xuất出库!G:G,B565,Xuất出库!C:C,D565)</f>
        <v>15</v>
      </c>
      <c r="G565" s="34"/>
      <c r="H565" s="31">
        <f>SUMIFS(Hoàn回库!E:E,Hoàn回库!G:G,B565,Hoàn回库!C:C,D565)+SUMIFS(Hoàn回库!F:F,Hoàn回库!G:G,B565,Hoàn回库!C:C,D565)</f>
        <v>0</v>
      </c>
      <c r="I565" s="31">
        <f>SUMIFS('Điều hàng调货'!E:E,'Điều hàng调货'!A:A,K565,'Điều hàng调货'!G:G,B565)*-1+SUMIFS('Điều hàng调货'!E:E,'Điều hàng调货'!A:A,K565,'Điều hàng调货'!H:H,B565)+SUMIFS('Điều hàng调货'!F:F,'Điều hàng调货'!A:A,K565,'Điều hàng调货'!G:G,B565)*-1+SUMIFS('Điều hàng调货'!F:F,'Điều hàng调货'!A:A,K565,'Điều hàng调货'!H:H,B565)</f>
        <v>0</v>
      </c>
      <c r="J565" s="31">
        <f t="shared" si="27"/>
        <v>15</v>
      </c>
      <c r="K565" s="31">
        <f>VLOOKUP($D565,SKU!$A:$I,3,FALSE)</f>
        <v>10014</v>
      </c>
      <c r="L565" s="31" t="str">
        <f>VLOOKUP($D565,SKU!$A:$I,2,FALSE)</f>
        <v>星梦文创-Studio Ghibli宫崎骏撕撕乐系列 </v>
      </c>
    </row>
    <row r="566" spans="2:12">
      <c r="B566" s="123" t="s">
        <v>170</v>
      </c>
      <c r="C566" s="53" t="s">
        <v>70</v>
      </c>
      <c r="D566" s="29" t="s">
        <v>317</v>
      </c>
      <c r="E566" s="31">
        <f>SUMIFS(Xuất出库!D:D,Xuất出库!G:G,B566,Xuất出库!C:C,D566)</f>
        <v>0</v>
      </c>
      <c r="F566" s="31">
        <f>SUMIFS(Xuất出库!E:E,Xuất出库!G:G,B566,Xuất出库!C:C,D566)+SUMIFS(Xuất出库!F:F,Xuất出库!G:G,B566,Xuất出库!C:C,D566)</f>
        <v>60</v>
      </c>
      <c r="G566" s="34"/>
      <c r="H566" s="31">
        <f>SUMIFS(Hoàn回库!E:E,Hoàn回库!G:G,B566,Hoàn回库!C:C,D566)+SUMIFS(Hoàn回库!F:F,Hoàn回库!G:G,B566,Hoàn回库!C:C,D566)</f>
        <v>0</v>
      </c>
      <c r="I566" s="31">
        <f>SUMIFS('Điều hàng调货'!E:E,'Điều hàng调货'!A:A,K566,'Điều hàng调货'!G:G,B566)*-1+SUMIFS('Điều hàng调货'!E:E,'Điều hàng调货'!A:A,K566,'Điều hàng调货'!H:H,B566)+SUMIFS('Điều hàng调货'!F:F,'Điều hàng调货'!A:A,K566,'Điều hàng调货'!G:G,B566)*-1+SUMIFS('Điều hàng调货'!F:F,'Điều hàng调货'!A:A,K566,'Điều hàng调货'!H:H,B566)</f>
        <v>0</v>
      </c>
      <c r="J566" s="31">
        <f t="shared" si="27"/>
        <v>60</v>
      </c>
      <c r="K566" s="31">
        <f>VLOOKUP($D566,SKU!$A:$I,3,FALSE)</f>
        <v>10085</v>
      </c>
      <c r="L566" s="31" t="str">
        <f>VLOOKUP($D566,SKU!$A:$I,2,FALSE)</f>
        <v>火影忍者·手绘复刻撕撕乐</v>
      </c>
    </row>
    <row r="567" spans="2:12">
      <c r="B567" s="123" t="s">
        <v>170</v>
      </c>
      <c r="C567" s="53" t="s">
        <v>70</v>
      </c>
      <c r="D567" s="29" t="s">
        <v>249</v>
      </c>
      <c r="E567" s="31">
        <f>SUMIFS(Xuất出库!D:D,Xuất出库!G:G,B567,Xuất出库!C:C,D567)</f>
        <v>3</v>
      </c>
      <c r="F567" s="31">
        <f>SUMIFS(Xuất出库!E:E,Xuất出库!G:G,B567,Xuất出库!C:C,D567)+SUMIFS(Xuất出库!F:F,Xuất出库!G:G,B567,Xuất出库!C:C,D567)</f>
        <v>39</v>
      </c>
      <c r="G567" s="34"/>
      <c r="H567" s="31">
        <f>SUMIFS(Hoàn回库!E:E,Hoàn回库!G:G,B567,Hoàn回库!C:C,D567)+SUMIFS(Hoàn回库!F:F,Hoàn回库!G:G,B567,Hoàn回库!C:C,D567)</f>
        <v>0</v>
      </c>
      <c r="I567" s="31">
        <f>SUMIFS('Điều hàng调货'!E:E,'Điều hàng调货'!A:A,K567,'Điều hàng调货'!G:G,B567)*-1+SUMIFS('Điều hàng调货'!E:E,'Điều hàng调货'!A:A,K567,'Điều hàng调货'!H:H,B567)+SUMIFS('Điều hàng调货'!F:F,'Điều hàng调货'!A:A,K567,'Điều hàng调货'!G:G,B567)*-1+SUMIFS('Điều hàng调货'!F:F,'Điều hàng调货'!A:A,K567,'Điều hàng调货'!H:H,B567)</f>
        <v>0</v>
      </c>
      <c r="J567" s="31">
        <f t="shared" si="27"/>
        <v>39</v>
      </c>
      <c r="K567" s="31">
        <f>VLOOKUP($D567,SKU!$A:$I,3,FALSE)</f>
        <v>10060</v>
      </c>
      <c r="L567" s="31" t="str">
        <f>VLOOKUP($D567,SKU!$A:$I,2,FALSE)</f>
        <v>漫の森《宫崎骏第三弹·奇幻之旅》</v>
      </c>
    </row>
    <row r="568" ht="15.75" spans="2:12">
      <c r="B568" s="124" t="s">
        <v>170</v>
      </c>
      <c r="C568" s="56" t="s">
        <v>70</v>
      </c>
      <c r="D568" s="18" t="s">
        <v>327</v>
      </c>
      <c r="E568" s="51">
        <f>SUMIFS(Xuất出库!D:D,Xuất出库!G:G,B568,Xuất出库!C:C,D568)</f>
        <v>0</v>
      </c>
      <c r="F568" s="51">
        <f>SUMIFS(Xuất出库!E:E,Xuất出库!G:G,B568,Xuất出库!C:C,D568)+SUMIFS(Xuất出库!F:F,Xuất出库!G:G,B568,Xuất出库!C:C,D568)</f>
        <v>0</v>
      </c>
      <c r="G568" s="19"/>
      <c r="H568" s="51">
        <f>SUMIFS(Hoàn回库!E:E,Hoàn回库!G:G,B568,Hoàn回库!C:C,D568)+SUMIFS(Hoàn回库!F:F,Hoàn回库!G:G,B568,Hoàn回库!C:C,D568)</f>
        <v>0</v>
      </c>
      <c r="I568" s="51">
        <f>SUMIFS('Điều hàng调货'!E:E,'Điều hàng调货'!A:A,K568,'Điều hàng调货'!G:G,B568)*-1+SUMIFS('Điều hàng调货'!E:E,'Điều hàng调货'!A:A,K568,'Điều hàng调货'!H:H,B568)+SUMIFS('Điều hàng调货'!F:F,'Điều hàng调货'!A:A,K568,'Điều hàng调货'!G:G,B568)*-1+SUMIFS('Điều hàng调货'!F:F,'Điều hàng调货'!A:A,K568,'Điều hàng调货'!H:H,B568)</f>
        <v>0</v>
      </c>
      <c r="J568" s="51">
        <f t="shared" si="27"/>
        <v>0</v>
      </c>
      <c r="K568" s="51">
        <f>VLOOKUP($D568,SKU!$A:$I,3,FALSE)</f>
        <v>10089</v>
      </c>
      <c r="L568" s="51" t="str">
        <f>VLOOKUP($D568,SKU!$A:$I,2,FALSE)</f>
        <v>星火线条小狗</v>
      </c>
    </row>
    <row r="569" ht="15.75" spans="2:12">
      <c r="B569" s="83" t="s">
        <v>174</v>
      </c>
      <c r="C569" s="53" t="s">
        <v>70</v>
      </c>
      <c r="D569" s="54" t="s">
        <v>184</v>
      </c>
      <c r="E569" s="25">
        <f>SUMIFS(Xuất出库!D:D,Xuất出库!G:G,B569,Xuất出库!C:C,D569)</f>
        <v>0</v>
      </c>
      <c r="F569" s="25">
        <f>SUMIFS(Xuất出库!E:E,Xuất出库!G:G,B569,Xuất出库!C:C,D569)+SUMIFS(Xuất出库!F:F,Xuất出库!G:G,B569,Xuất出库!C:C,D569)</f>
        <v>0</v>
      </c>
      <c r="G569" s="54">
        <f>34+20+40+20</f>
        <v>114</v>
      </c>
      <c r="H569" s="25">
        <f>SUMIFS(Hoàn回库!E:E,Hoàn回库!G:G,B569,Hoàn回库!C:C,D569)+SUMIFS(Hoàn回库!F:F,Hoàn回库!G:G,B569,Hoàn回库!C:C,D569)</f>
        <v>0</v>
      </c>
      <c r="I569" s="25">
        <f>SUMIFS('Điều hàng调货'!E:E,'Điều hàng调货'!A:A,K569,'Điều hàng调货'!G:G,B569)*-1+SUMIFS('Điều hàng调货'!E:E,'Điều hàng调货'!A:A,K569,'Điều hàng调货'!H:H,B569)+SUMIFS('Điều hàng调货'!F:F,'Điều hàng调货'!A:A,K569,'Điều hàng调货'!G:G,B569)*-1+SUMIFS('Điều hàng调货'!F:F,'Điều hàng调货'!A:A,K569,'Điều hàng调货'!H:H,B569)</f>
        <v>114</v>
      </c>
      <c r="J569" s="25">
        <f t="shared" si="27"/>
        <v>0</v>
      </c>
      <c r="K569" s="25">
        <f>VLOOKUP($D569,SKU!$A:$I,3,FALSE)</f>
        <v>10039</v>
      </c>
      <c r="L569" s="25" t="str">
        <f>VLOOKUP($D569,SKU!$A:$I,2,FALSE)</f>
        <v>非凡航海王第五弹</v>
      </c>
    </row>
    <row r="570" spans="2:12">
      <c r="B570" s="83" t="s">
        <v>174</v>
      </c>
      <c r="C570" s="53" t="s">
        <v>70</v>
      </c>
      <c r="D570" s="54" t="s">
        <v>119</v>
      </c>
      <c r="E570" s="9">
        <f>SUMIFS(Xuất出库!D:D,Xuất出库!G:G,B570,Xuất出库!C:C,D570)</f>
        <v>0</v>
      </c>
      <c r="F570" s="9">
        <f>SUMIFS(Xuất出库!E:E,Xuất出库!G:G,B570,Xuất出库!C:C,D570)+SUMIFS(Xuất出库!F:F,Xuất出库!G:G,B570,Xuất出库!C:C,D570)</f>
        <v>0</v>
      </c>
      <c r="G570" s="54"/>
      <c r="H570" s="9">
        <f>SUMIFS(Hoàn回库!E:E,Hoàn回库!G:G,B570,Hoàn回库!C:C,D570)+SUMIFS(Hoàn回库!F:F,Hoàn回库!G:G,B570,Hoàn回库!C:C,D570)</f>
        <v>0</v>
      </c>
      <c r="I570" s="9">
        <f>SUMIFS('Điều hàng调货'!E:E,'Điều hàng调货'!A:A,K570,'Điều hàng调货'!G:G,B570)*-1+SUMIFS('Điều hàng调货'!E:E,'Điều hàng调货'!A:A,K570,'Điều hàng调货'!H:H,B570)+SUMIFS('Điều hàng调货'!F:F,'Điều hàng调货'!A:A,K570,'Điều hàng调货'!G:G,B570)*-1+SUMIFS('Điều hàng调货'!F:F,'Điều hàng调货'!A:A,K570,'Điều hàng调货'!H:H,B570)</f>
        <v>7</v>
      </c>
      <c r="J570" s="9">
        <f t="shared" si="27"/>
        <v>7</v>
      </c>
      <c r="K570" s="9">
        <f>VLOOKUP($D570,SKU!$A:$I,3,FALSE)</f>
        <v>10023</v>
      </c>
      <c r="L570" s="9" t="str">
        <f>VLOOKUP($D570,SKU!$A:$I,2,FALSE)</f>
        <v>风信文创尘世相逢之约星光来信原神邮票第一弹</v>
      </c>
    </row>
    <row r="571" spans="2:12">
      <c r="B571" s="83" t="s">
        <v>174</v>
      </c>
      <c r="C571" s="53" t="s">
        <v>70</v>
      </c>
      <c r="D571" s="23" t="s">
        <v>75</v>
      </c>
      <c r="E571" s="9">
        <f>SUMIFS(Xuất出库!D:D,Xuất出库!G:G,B571,Xuất出库!C:C,D571)</f>
        <v>3</v>
      </c>
      <c r="F571" s="9">
        <f>SUMIFS(Xuất出库!E:E,Xuất出库!G:G,B571,Xuất出库!C:C,D571)+SUMIFS(Xuất出库!F:F,Xuất出库!G:G,B571,Xuất出库!C:C,D571)</f>
        <v>90</v>
      </c>
      <c r="G571" s="54">
        <f>30+30+30+10</f>
        <v>100</v>
      </c>
      <c r="H571" s="9">
        <f>SUMIFS(Hoàn回库!E:E,Hoàn回库!G:G,B571,Hoàn回库!C:C,D571)+SUMIFS(Hoàn回库!F:F,Hoàn回库!G:G,B571,Hoàn回库!C:C,D571)</f>
        <v>0</v>
      </c>
      <c r="I571" s="9">
        <f>SUMIFS('Điều hàng调货'!E:E,'Điều hàng调货'!A:A,K571,'Điều hàng调货'!G:G,B571)*-1+SUMIFS('Điều hàng调货'!E:E,'Điều hàng调货'!A:A,K571,'Điều hàng调货'!H:H,B571)+SUMIFS('Điều hàng调货'!F:F,'Điều hàng调货'!A:A,K571,'Điều hàng调货'!G:G,B571)*-1+SUMIFS('Điều hàng调货'!F:F,'Điều hàng调货'!A:A,K571,'Điều hàng调货'!H:H,B571)</f>
        <v>90</v>
      </c>
      <c r="J571" s="9">
        <f t="shared" si="27"/>
        <v>80</v>
      </c>
      <c r="K571" s="9">
        <f>VLOOKUP($D571,SKU!$A:$I,3,FALSE)</f>
        <v>10012</v>
      </c>
      <c r="L571" s="9" t="str">
        <f>VLOOKUP($D571,SKU!$A:$I,2,FALSE)</f>
        <v>卡文化进击的巨人</v>
      </c>
    </row>
    <row r="572" spans="2:12">
      <c r="B572" s="83" t="s">
        <v>174</v>
      </c>
      <c r="C572" s="53" t="s">
        <v>70</v>
      </c>
      <c r="D572" s="23" t="s">
        <v>83</v>
      </c>
      <c r="E572" s="9">
        <f>SUMIFS(Xuất出库!D:D,Xuất出库!G:G,B572,Xuất出库!C:C,D572)</f>
        <v>0</v>
      </c>
      <c r="F572" s="9">
        <f>SUMIFS(Xuất出库!E:E,Xuất出库!G:G,B572,Xuất出库!C:C,D572)+SUMIFS(Xuất出库!F:F,Xuất出库!G:G,B572,Xuất出库!C:C,D572)</f>
        <v>0</v>
      </c>
      <c r="G572" s="54">
        <f>10+6</f>
        <v>16</v>
      </c>
      <c r="H572" s="9">
        <f>SUMIFS(Hoàn回库!E:E,Hoàn回库!G:G,B572,Hoàn回库!C:C,D572)+SUMIFS(Hoàn回库!F:F,Hoàn回库!G:G,B572,Hoàn回库!C:C,D572)</f>
        <v>0</v>
      </c>
      <c r="I572" s="9">
        <f>SUMIFS('Điều hàng调货'!E:E,'Điều hàng调货'!A:A,K572,'Điều hàng调货'!G:G,B572)*-1+SUMIFS('Điều hàng调货'!E:E,'Điều hàng调货'!A:A,K572,'Điều hàng调货'!H:H,B572)+SUMIFS('Điều hàng调货'!F:F,'Điều hàng调货'!A:A,K572,'Điều hàng调货'!G:G,B572)*-1+SUMIFS('Điều hàng调货'!F:F,'Điều hàng调货'!A:A,K572,'Điều hàng调货'!H:H,B572)</f>
        <v>60</v>
      </c>
      <c r="J572" s="9">
        <f t="shared" si="27"/>
        <v>44</v>
      </c>
      <c r="K572" s="9">
        <f>VLOOKUP($D572,SKU!$A:$I,3,FALSE)</f>
        <v>10014</v>
      </c>
      <c r="L572" s="9" t="str">
        <f>VLOOKUP($D572,SKU!$A:$I,2,FALSE)</f>
        <v>星梦文创-Studio Ghibli宫崎骏撕撕乐系列 </v>
      </c>
    </row>
    <row r="573" spans="2:12">
      <c r="B573" s="83" t="s">
        <v>174</v>
      </c>
      <c r="C573" s="53" t="s">
        <v>70</v>
      </c>
      <c r="D573" s="23" t="s">
        <v>196</v>
      </c>
      <c r="E573" s="9">
        <f>SUMIFS(Xuất出库!D:D,Xuất出库!G:G,B573,Xuất出库!C:C,D573)</f>
        <v>0</v>
      </c>
      <c r="F573" s="9">
        <f>SUMIFS(Xuất出库!E:E,Xuất出库!G:G,B573,Xuất出库!C:C,D573)+SUMIFS(Xuất出库!F:F,Xuất出库!G:G,B573,Xuất出库!C:C,D573)</f>
        <v>0</v>
      </c>
      <c r="G573" s="54">
        <f>3</f>
        <v>3</v>
      </c>
      <c r="H573" s="9">
        <f>SUMIFS(Hoàn回库!E:E,Hoàn回库!G:G,B573,Hoàn回库!C:C,D573)+SUMIFS(Hoàn回库!F:F,Hoàn回库!G:G,B573,Hoàn回库!C:C,D573)</f>
        <v>0</v>
      </c>
      <c r="I573" s="9">
        <f>SUMIFS('Điều hàng调货'!E:E,'Điều hàng调货'!A:A,K573,'Điều hàng调货'!G:G,B573)*-1+SUMIFS('Điều hàng调货'!E:E,'Điều hàng调货'!A:A,K573,'Điều hàng调货'!H:H,B573)+SUMIFS('Điều hàng调货'!F:F,'Điều hàng调货'!A:A,K573,'Điều hàng调货'!G:G,B573)*-1+SUMIFS('Điều hàng调货'!F:F,'Điều hàng调货'!A:A,K573,'Điều hàng调货'!H:H,B573)</f>
        <v>31</v>
      </c>
      <c r="J573" s="9">
        <f t="shared" si="27"/>
        <v>28</v>
      </c>
      <c r="K573" s="9">
        <f>VLOOKUP($D573,SKU!$A:$I,3,FALSE)</f>
        <v>10042</v>
      </c>
      <c r="L573" s="9" t="str">
        <f>VLOOKUP($D573,SKU!$A:$I,2,FALSE)</f>
        <v>黄油小熊系列收藏卡第二弹 小熊的观察日记</v>
      </c>
    </row>
    <row r="574" spans="2:12">
      <c r="B574" s="83" t="s">
        <v>174</v>
      </c>
      <c r="C574" s="53" t="s">
        <v>70</v>
      </c>
      <c r="D574" s="23" t="s">
        <v>49</v>
      </c>
      <c r="E574" s="9">
        <f>SUMIFS(Xuất出库!D:D,Xuất出库!G:G,B574,Xuất出库!C:C,D574)</f>
        <v>0</v>
      </c>
      <c r="F574" s="9">
        <f>SUMIFS(Xuất出库!E:E,Xuất出库!G:G,B574,Xuất出库!C:C,D574)+SUMIFS(Xuất出库!F:F,Xuất出库!G:G,B574,Xuất出库!C:C,D574)</f>
        <v>9</v>
      </c>
      <c r="G574" s="54"/>
      <c r="H574" s="9">
        <f>SUMIFS(Hoàn回库!E:E,Hoàn回库!G:G,B574,Hoàn回库!C:C,D574)+SUMIFS(Hoàn回库!F:F,Hoàn回库!G:G,B574,Hoàn回库!C:C,D574)</f>
        <v>0</v>
      </c>
      <c r="I574" s="9">
        <f>SUMIFS('Điều hàng调货'!E:E,'Điều hàng调货'!A:A,K574,'Điều hàng调货'!G:G,B574)*-1+SUMIFS('Điều hàng调货'!E:E,'Điều hàng调货'!A:A,K574,'Điều hàng调货'!H:H,B574)+SUMIFS('Điều hàng调货'!F:F,'Điều hàng调货'!A:A,K574,'Điều hàng调货'!G:G,B574)*-1+SUMIFS('Điều hàng调货'!F:F,'Điều hàng调货'!A:A,K574,'Điều hàng调货'!H:H,B574)</f>
        <v>-9</v>
      </c>
      <c r="J574" s="9">
        <f t="shared" si="27"/>
        <v>0</v>
      </c>
      <c r="K574" s="9">
        <f>VLOOKUP($D574,SKU!$A:$I,3,FALSE)</f>
        <v>10007</v>
      </c>
      <c r="L574" s="9" t="str">
        <f>VLOOKUP($D574,SKU!$A:$I,2,FALSE)</f>
        <v>kawaii宫崎骏梦幻之国</v>
      </c>
    </row>
    <row r="575" spans="2:12">
      <c r="B575" s="83" t="s">
        <v>174</v>
      </c>
      <c r="C575" s="53" t="s">
        <v>70</v>
      </c>
      <c r="D575" s="23" t="s">
        <v>296</v>
      </c>
      <c r="E575" s="9">
        <f>SUMIFS(Xuất出库!D:D,Xuất出库!G:G,B575,Xuất出库!C:C,D575)</f>
        <v>0</v>
      </c>
      <c r="F575" s="9">
        <f>SUMIFS(Xuất出库!E:E,Xuất出库!G:G,B575,Xuất出库!C:C,D575)+SUMIFS(Xuất出库!F:F,Xuất出库!G:G,B575,Xuất出库!C:C,D575)</f>
        <v>10</v>
      </c>
      <c r="G575" s="54">
        <f>5</f>
        <v>5</v>
      </c>
      <c r="H575" s="9">
        <f>SUMIFS(Hoàn回库!E:E,Hoàn回库!G:G,B575,Hoàn回库!C:C,D575)+SUMIFS(Hoàn回库!F:F,Hoàn回库!G:G,B575,Hoàn回库!C:C,D575)</f>
        <v>0</v>
      </c>
      <c r="I575" s="9">
        <f>SUMIFS('Điều hàng调货'!E:E,'Điều hàng调货'!A:A,K575,'Điều hàng调货'!G:G,B575)*-1+SUMIFS('Điều hàng调货'!E:E,'Điều hàng调货'!A:A,K575,'Điều hàng调货'!H:H,B575)+SUMIFS('Điều hàng调货'!F:F,'Điều hàng调货'!A:A,K575,'Điều hàng调货'!G:G,B575)*-1+SUMIFS('Điều hàng调货'!F:F,'Điều hàng调货'!A:A,K575,'Điều hàng调货'!H:H,B575)</f>
        <v>-5</v>
      </c>
      <c r="J575" s="9">
        <f t="shared" si="27"/>
        <v>0</v>
      </c>
      <c r="K575" s="9">
        <f>VLOOKUP($D575,SKU!$A:$I,3,FALSE)</f>
        <v>10077</v>
      </c>
      <c r="L575" s="9" t="str">
        <f>VLOOKUP($D575,SKU!$A:$I,2,FALSE)</f>
        <v>多多文创原神第二弹卡砖—神眸再现</v>
      </c>
    </row>
    <row r="576" spans="2:12">
      <c r="B576" s="83" t="s">
        <v>174</v>
      </c>
      <c r="C576" s="53" t="s">
        <v>70</v>
      </c>
      <c r="D576" s="23" t="s">
        <v>367</v>
      </c>
      <c r="E576" s="9">
        <f>SUMIFS(Xuất出库!D:D,Xuất出库!G:G,B576,Xuất出库!C:C,D576)</f>
        <v>0</v>
      </c>
      <c r="F576" s="9">
        <f>SUMIFS(Xuất出库!E:E,Xuất出库!G:G,B576,Xuất出库!C:C,D576)+SUMIFS(Xuất出库!F:F,Xuất出库!G:G,B576,Xuất出库!C:C,D576)</f>
        <v>0</v>
      </c>
      <c r="G576" s="54">
        <f>24</f>
        <v>24</v>
      </c>
      <c r="H576" s="9">
        <f>SUMIFS(Hoàn回库!E:E,Hoàn回库!G:G,B576,Hoàn回库!C:C,D576)+SUMIFS(Hoàn回库!F:F,Hoàn回库!G:G,B576,Hoàn回库!C:C,D576)</f>
        <v>0</v>
      </c>
      <c r="I576" s="9">
        <f>SUMIFS('Điều hàng调货'!E:E,'Điều hàng调货'!A:A,K576,'Điều hàng调货'!G:G,B576)*-1+SUMIFS('Điều hàng调货'!E:E,'Điều hàng调货'!A:A,K576,'Điều hàng调货'!H:H,B576)+SUMIFS('Điều hàng调货'!F:F,'Điều hàng调货'!A:A,K576,'Điều hàng调货'!G:G,B576)*-1+SUMIFS('Điều hàng调货'!F:F,'Điều hàng调货'!A:A,K576,'Điều hàng调货'!H:H,B576)</f>
        <v>24</v>
      </c>
      <c r="J576" s="9">
        <f t="shared" si="27"/>
        <v>0</v>
      </c>
      <c r="K576" s="9">
        <f>VLOOKUP($D576,SKU!$A:$I,3,FALSE)</f>
        <v>10103</v>
      </c>
      <c r="L576" s="9" t="str">
        <f>VLOOKUP($D576,SKU!$A:$I,2,FALSE)</f>
        <v>疯狂动物城白金收藏卡狐兔神探</v>
      </c>
    </row>
    <row r="577" ht="15.75" spans="2:12">
      <c r="B577" s="85" t="s">
        <v>174</v>
      </c>
      <c r="C577" s="56" t="s">
        <v>70</v>
      </c>
      <c r="D577" s="37" t="s">
        <v>167</v>
      </c>
      <c r="E577" s="21">
        <f>SUMIFS(Xuất出库!D:D,Xuất出库!G:G,B577,Xuất出库!C:C,D577)</f>
        <v>0</v>
      </c>
      <c r="F577" s="21">
        <f>SUMIFS(Xuất出库!E:E,Xuất出库!G:G,B577,Xuất出库!C:C,D577)+SUMIFS(Xuất出库!F:F,Xuất出库!G:G,B577,Xuất出库!C:C,D577)</f>
        <v>0</v>
      </c>
      <c r="G577" s="118">
        <f>4</f>
        <v>4</v>
      </c>
      <c r="H577" s="21">
        <f>SUMIFS(Hoàn回库!E:E,Hoàn回库!G:G,B577,Hoàn回库!C:C,D577)+SUMIFS(Hoàn回库!F:F,Hoàn回库!G:G,B577,Hoàn回库!C:C,D577)</f>
        <v>0</v>
      </c>
      <c r="I577" s="21">
        <f>SUMIFS('Điều hàng调货'!E:E,'Điều hàng调货'!A:A,K577,'Điều hàng调货'!G:G,B577)*-1+SUMIFS('Điều hàng调货'!E:E,'Điều hàng调货'!A:A,K577,'Điều hàng调货'!H:H,B577)+SUMIFS('Điều hàng调货'!F:F,'Điều hàng调货'!A:A,K577,'Điều hàng调货'!G:G,B577)*-1+SUMIFS('Điều hàng调货'!F:F,'Điều hàng调货'!A:A,K577,'Điều hàng调货'!H:H,B577)</f>
        <v>14</v>
      </c>
      <c r="J577" s="21">
        <f t="shared" si="27"/>
        <v>10</v>
      </c>
      <c r="K577" s="21">
        <f>VLOOKUP($D577,SKU!$A:$I,3,FALSE)</f>
        <v>10035</v>
      </c>
      <c r="L577" s="21" t="str">
        <f>VLOOKUP($D577,SKU!$A:$I,2,FALSE)</f>
        <v>KK CARD × 新海诚系列第一弹</v>
      </c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E$1:F$1048576" name="Range1"/>
    <protectedRange sqref="H$1:L$1048576" name="Range2"/>
  </protectedRanges>
  <autoFilter xmlns:etc="http://www.wps.cn/officeDocument/2017/etCustomData" ref="A1:L577" etc:filterBottomFollowUsedRange="1">
    <extLst/>
  </autoFilter>
  <dataValidations count="3">
    <dataValidation type="list" allowBlank="1" showInputMessage="1" showErrorMessage="1" sqref="B2:B1048576">
      <formula1>主播</formula1>
    </dataValidation>
    <dataValidation type="list" allowBlank="1" showInputMessage="1" showErrorMessage="1" sqref="C2:C1048576">
      <formula1>运营</formula1>
    </dataValidation>
    <dataValidation type="list" allowBlank="1" showInputMessage="1" showErrorMessage="1" sqref="D2:D1048576">
      <formula1>英文_越文名_Tên_SP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1627598036" otherUserPermission="edit">
    <arrUserId title="Range1" rangeCreator="" othersAccessPermission="visible">
      <userID accessPermission="edit">1627598036</userID>
      <userID accessPermission="edit">1755214373</userID>
    </arrUserId>
  </rangeList>
  <rangeList sheetStid="2" master="1627598036" otherUserPermission="visible">
    <arrUserId title="Range1" rangeCreator="" othersAccessPermission="visible">
      <userID accessPermission="edit">1627598036</userID>
    </arrUserId>
  </rangeList>
  <rangeList sheetStid="3" master="1627598036" otherUserPermission="edit">
    <arrUserId title="Range1" rangeCreator="1627598036" othersAccessPermission="visible">
      <userID accessPermission="edit">1627598036</userID>
    </arrUserId>
    <arrUserId title="Range2" rangeCreator="1627598036" othersAccessPermission="visible">
      <userID accessPermission="edit">1627598036</userID>
    </arrUserId>
    <arrUserId title="Range3" rangeCreator="1627598036" othersAccessPermission="visible">
      <userID accessPermission="edit">1627598036</userID>
    </arrUserId>
    <arrUserId title="Range4" rangeCreator="1627598036" othersAccessPermission="visible">
      <userID accessPermission="edit">1627598036</userID>
    </arrUserId>
    <arrUserId title="Range5" rangeCreator="1627598036" othersAccessPermission="visible">
      <userID accessPermission="edit">1627598036</userID>
    </arrUserId>
    <arrUserId title="Range6" rangeCreator="1627598036" othersAccessPermission="visible">
      <userID accessPermission="edit">1627598036</userID>
    </arrUserId>
    <arrUserId title="Range7" rangeCreator="1627598036" othersAccessPermission="visible">
      <userID accessPermission="edit">1627598036</userID>
    </arrUserId>
    <arrUserId title="Range8" rangeCreator="1627598036" othersAccessPermission="visible">
      <userID accessPermission="edit">1627598036</userID>
    </arrUserId>
    <arrUserId title="Range9" rangeCreator="1627598036" othersAccessPermission="visible">
      <userID accessPermission="edit">1627598036</userID>
    </arrUserId>
    <arrUserId title="Range10" rangeCreator="1627598036" othersAccessPermission="visible">
      <userID accessPermission="edit">1627598036</userID>
    </arrUserId>
    <arrUserId title="Range11" rangeCreator="1627598036" othersAccessPermission="visible">
      <userID accessPermission="edit">1627598036</userID>
    </arrUserId>
    <arrUserId title="Range12" rangeCreator="1627598036" othersAccessPermission="visible">
      <userID accessPermission="edit">1627598036</userID>
    </arrUserId>
    <arrUserId title="Range13" rangeCreator="1627598036" othersAccessPermission="visible">
      <userID accessPermission="edit">1627598036</userID>
    </arrUserId>
    <arrUserId title="Range14" rangeCreator="1627598036" othersAccessPermission="visible">
      <userID accessPermission="edit">1627598036</userID>
    </arrUserId>
    <arrUserId title="Range15" rangeCreator="1627598036" othersAccessPermission="visible">
      <userID accessPermission="edit">1627598036</userID>
    </arrUserId>
    <arrUserId title="Range16" rangeCreator="1627598036" othersAccessPermission="visible">
      <userID accessPermission="edit">1627598036</userID>
    </arrUserId>
    <arrUserId title="Range17" rangeCreator="1627598036" othersAccessPermission="visible">
      <userID accessPermission="edit">1627598036</userID>
    </arrUserId>
    <arrUserId title="Range18" rangeCreator="1627598036" othersAccessPermission="visible">
      <userID accessPermission="edit">1627598036</userID>
    </arrUserId>
  </rangeList>
  <rangeList sheetStid="4" master="1627598036" otherUserPermission="edit">
    <arrUserId title="Range1" rangeCreator="1627598036" othersAccessPermission="visible">
      <userID accessPermission="edit">1627598036</userID>
    </arrUserId>
    <arrUserId title="Range2" rangeCreator="1627598036" othersAccessPermission="visible">
      <userID accessPermission="edit">1627598036</userID>
    </arrUserId>
    <arrUserId title="Range3" rangeCreator="" othersAccessPermission="visible">
      <userID accessPermission="edit">1627598036</userID>
    </arrUserId>
    <arrUserId title="Range4" rangeCreator="1627598036" othersAccessPermission="visible">
      <userID accessPermission="edit">1627598036</userID>
    </arrUserId>
    <arrUserId title="Range5" rangeCreator="1627598036" othersAccessPermission="visible">
      <userID accessPermission="edit">1627598036</userID>
    </arrUserId>
    <arrUserId title="Range6" rangeCreator="1627598036" othersAccessPermission="visible">
      <userID accessPermission="edit">1627598036</userID>
    </arrUserId>
    <arrUserId title="Range7" rangeCreator="1627598036" othersAccessPermission="visible">
      <userID accessPermission="edit">1627598036</userID>
    </arrUserId>
    <arrUserId title="Range8" rangeCreator="1627598036" othersAccessPermission="visible">
      <userID accessPermission="edit">1627598036</userID>
    </arrUserId>
    <arrUserId title="Range9" rangeCreator="1627598036" othersAccessPermission="visible">
      <userID accessPermission="edit">1627598036</userID>
    </arrUserId>
    <arrUserId title="Range10" rangeCreator="1627598036" othersAccessPermission="visible">
      <userID accessPermission="edit">1627598036</userID>
    </arrUserId>
    <arrUserId title="Range11" rangeCreator="1627598036" othersAccessPermission="visible">
      <userID accessPermission="edit">1627598036</userID>
    </arrUserId>
    <arrUserId title="Range12" rangeCreator="1627598036" othersAccessPermission="visible">
      <userID accessPermission="edit">1627598036</userID>
    </arrUserId>
    <arrUserId title="Range13" rangeCreator="1627598036" othersAccessPermission="visible">
      <userID accessPermission="edit">1627598036</userID>
    </arrUserId>
    <arrUserId title="Range14" rangeCreator="1627598036" othersAccessPermission="visible">
      <userID accessPermission="edit">1627598036</userID>
    </arrUserId>
    <arrUserId title="Range15" rangeCreator="1627598036" othersAccessPermission="visible">
      <userID accessPermission="edit">1627598036</userID>
    </arrUserId>
    <arrUserId title="Range16" rangeCreator="1627598036" othersAccessPermission="visible">
      <userID accessPermission="edit">1627598036</userID>
    </arrUserId>
    <arrUserId title="Range17" rangeCreator="1627598036" othersAccessPermission="visible">
      <userID accessPermission="edit">1627598036</userID>
    </arrUserId>
    <arrUserId title="Range18" rangeCreator="1627598036" othersAccessPermission="visible">
      <userID accessPermission="edit">1627598036</userID>
    </arrUserId>
  </rangeList>
  <rangeList sheetStid="8" master="1627598036" otherUserPermission="edit">
    <arrUserId title="Range1" rangeCreator="1627598036" othersAccessPermission="visible">
      <userID accessPermission="edit">1627598036</userID>
    </arrUserId>
    <arrUserId title="Range2" rangeCreator="1627598036" othersAccessPermission="visible">
      <userID accessPermission="edit">1627598036</userID>
    </arrUserId>
    <arrUserId title="Range3" rangeCreator="1627598036" othersAccessPermission="visible">
      <userID accessPermission="edit">1627598036</userID>
    </arrUserId>
    <arrUserId title="Range4" rangeCreator="1627598036" othersAccessPermission="visible">
      <userID accessPermission="edit">1627598036</userID>
    </arrUserId>
    <arrUserId title="Range5" rangeCreator="1627598036" othersAccessPermission="visible">
      <userID accessPermission="edit">1627598036</userID>
    </arrUserId>
    <arrUserId title="Range6" rangeCreator="1627598036" othersAccessPermission="visible">
      <userID accessPermission="edit">1627598036</userID>
    </arrUserId>
    <arrUserId title="Range7" rangeCreator="1627598036" othersAccessPermission="visible">
      <userID accessPermission="edit">1627598036</userID>
    </arrUserId>
    <arrUserId title="Range8" rangeCreator="1627598036" othersAccessPermission="visible">
      <userID accessPermission="edit">1627598036</userID>
    </arrUserId>
  </rangeList>
  <rangeList sheetStid="6" master="1627598036" otherUserPermission="edit">
    <arrUserId title="Range1" rangeCreator="" othersAccessPermission="visible">
      <userID accessPermission="edit">1627598036</userID>
      <userID accessPermission="edit">1755214373</userID>
    </arrUserId>
    <arrUserId title="Range2" rangeCreator="" othersAccessPermission="visible">
      <userID accessPermission="edit">1627598036</userID>
      <userID accessPermission="edit">1755214373</userID>
    </arrUserId>
  </rangeList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</woSheetsProps>
  <woBookProps>
    <bookSettings fileId="458412682582" isFilterShared="1" woEtMtcEnabled="0" coreConquerUserId="" isAutoUpdatePaused="0" filterType="user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8"/>
  <pixelatorList sheetStid="6"/>
  <pixelatorList sheetStid="9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WWO_wpscloud_20251224173010-b51a25e58c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SKU</vt:lpstr>
      <vt:lpstr>Nhập入库</vt:lpstr>
      <vt:lpstr>Xuất出库</vt:lpstr>
      <vt:lpstr>Hoàn回库</vt:lpstr>
      <vt:lpstr>Điều hàng调货</vt:lpstr>
      <vt:lpstr>Host主播库存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Gavin</cp:lastModifiedBy>
  <dcterms:created xsi:type="dcterms:W3CDTF">2025-12-19T19:19:00Z</dcterms:created>
  <dcterms:modified xsi:type="dcterms:W3CDTF">2026-01-12T17:32:00Z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70718355CE2A48328375A15B2653387E_13</vt:lpwstr>
  </property>
  <property fmtid="{D5CDD505-2E9C-101B-9397-08002B2CF9AE}" pid="3" name="KSOProductBuildVer">
    <vt:lpwstr>2052-12.9.0.24678</vt:lpwstr>
  </property>
  <property fmtid="{D5CDD505-2E9C-101B-9397-08002B2CF9AE}" pid="4" name="CalculationRule">
    <vt:i4>0</vt:i4>
  </property>
</Properties>
</file>