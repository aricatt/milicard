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2025" sheetId="1" r:id="rId4"/>
    <sheet state="visible" name="12026" sheetId="2" r:id="rId5"/>
  </sheets>
  <definedNames/>
  <calcPr/>
</workbook>
</file>

<file path=xl/sharedStrings.xml><?xml version="1.0" encoding="utf-8"?>
<sst xmlns="http://schemas.openxmlformats.org/spreadsheetml/2006/main" count="251" uniqueCount="29">
  <si>
    <t>Host
主播</t>
  </si>
  <si>
    <t>Tổng GMV
总GMV</t>
  </si>
  <si>
    <t>Tổng chạy ads
投流总额</t>
  </si>
  <si>
    <t>Tỷ lệ chạy ads
投流占比</t>
  </si>
  <si>
    <t>Ngày công
绩效</t>
  </si>
  <si>
    <t>GMV trung bình
日均GMV</t>
  </si>
  <si>
    <t>GMV</t>
  </si>
  <si>
    <t>ADS</t>
  </si>
  <si>
    <t>Thùy 阿锤</t>
  </si>
  <si>
    <t>OFF</t>
  </si>
  <si>
    <t>Bội Anh 倍英</t>
  </si>
  <si>
    <t>Thành Đạt 成达</t>
  </si>
  <si>
    <t>Uyên Mai 媛梅</t>
  </si>
  <si>
    <t>Mimi</t>
  </si>
  <si>
    <t>Thúy Phụng 翠凤</t>
  </si>
  <si>
    <t>Thanh Vy 清薇</t>
  </si>
  <si>
    <t>Kiều Ngân 桥银</t>
  </si>
  <si>
    <t>Kim Ngân 金银</t>
  </si>
  <si>
    <t>Như 小如</t>
  </si>
  <si>
    <t>Vi 小薇</t>
  </si>
  <si>
    <t>Thanh 阿青</t>
  </si>
  <si>
    <t>Thúy Vy 翠薇</t>
  </si>
  <si>
    <t>Thanh Hằng 青姮</t>
  </si>
  <si>
    <t>Mỹ Nhàn 美嫻</t>
  </si>
  <si>
    <t>Hồng Nhung 红蓉</t>
  </si>
  <si>
    <t>Lệ Quyên 丽娟</t>
  </si>
  <si>
    <t>Phước 小福</t>
  </si>
  <si>
    <t>Minh Thư 明书</t>
  </si>
  <si>
    <t>Tổng 合计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</si>
</sst>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Times New Roman"/>
    </font>
    <font/>
    <font>
      <sz val="11.0"/>
      <color rgb="FF000000"/>
      <name val="Times New Roman"/>
    </font>
    <font>
      <sz val="11.0"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3" xfId="0" applyAlignment="1" applyBorder="1" applyFont="1" applyNumberForma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2" fontId="1" numFmtId="4" xfId="0" applyAlignment="1" applyBorder="1" applyFont="1" applyNumberFormat="1">
      <alignment horizontal="center" readingOrder="0" shrinkToFit="0" vertical="center" wrapText="0"/>
    </xf>
    <xf borderId="4" fillId="2" fontId="1" numFmtId="3" xfId="0" applyAlignment="1" applyBorder="1" applyFont="1" applyNumberForma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3" xfId="0" applyAlignment="1" applyBorder="1" applyFont="1" applyNumberFormat="1">
      <alignment horizontal="center" readingOrder="0" shrinkToFit="0" vertical="center" wrapText="0"/>
    </xf>
    <xf borderId="11" fillId="2" fontId="1" numFmtId="3" xfId="0" applyAlignment="1" applyBorder="1" applyFont="1" applyNumberFormat="1">
      <alignment horizontal="center" readingOrder="0" shrinkToFit="0" vertical="center" wrapText="0"/>
    </xf>
    <xf borderId="12" fillId="3" fontId="3" numFmtId="0" xfId="0" applyAlignment="1" applyBorder="1" applyFill="1" applyFont="1">
      <alignment horizontal="center" readingOrder="0" shrinkToFit="0" wrapText="0"/>
    </xf>
    <xf borderId="13" fillId="3" fontId="3" numFmtId="3" xfId="0" applyAlignment="1" applyBorder="1" applyFont="1" applyNumberFormat="1">
      <alignment horizontal="center" readingOrder="0" shrinkToFit="0" wrapText="0"/>
    </xf>
    <xf borderId="12" fillId="3" fontId="3" numFmtId="3" xfId="0" applyAlignment="1" applyBorder="1" applyFont="1" applyNumberFormat="1">
      <alignment horizontal="center" readingOrder="0" shrinkToFit="0" wrapText="0"/>
    </xf>
    <xf borderId="12" fillId="3" fontId="3" numFmtId="10" xfId="0" applyAlignment="1" applyBorder="1" applyFont="1" applyNumberFormat="1">
      <alignment horizontal="center" readingOrder="0" shrinkToFit="0" wrapText="0"/>
    </xf>
    <xf borderId="14" fillId="3" fontId="3" numFmtId="4" xfId="0" applyAlignment="1" applyBorder="1" applyFont="1" applyNumberFormat="1">
      <alignment horizontal="center" readingOrder="0" shrinkToFit="0" wrapText="0"/>
    </xf>
    <xf borderId="13" fillId="4" fontId="3" numFmtId="0" xfId="0" applyAlignment="1" applyBorder="1" applyFill="1" applyFont="1">
      <alignment horizontal="center" readingOrder="0" shrinkToFit="0" wrapText="0"/>
    </xf>
    <xf borderId="13" fillId="3" fontId="3" numFmtId="10" xfId="0" applyAlignment="1" applyBorder="1" applyFont="1" applyNumberFormat="1">
      <alignment horizontal="center" readingOrder="0" shrinkToFit="0" wrapText="0"/>
    </xf>
    <xf borderId="13" fillId="3" fontId="3" numFmtId="0" xfId="0" applyAlignment="1" applyBorder="1" applyFont="1">
      <alignment horizontal="center" readingOrder="0" shrinkToFit="0" wrapText="0"/>
    </xf>
    <xf borderId="15" fillId="3" fontId="3" numFmtId="4" xfId="0" applyAlignment="1" applyBorder="1" applyFont="1" applyNumberFormat="1">
      <alignment horizontal="center" readingOrder="0" shrinkToFit="0" wrapText="0"/>
    </xf>
    <xf borderId="13" fillId="0" fontId="3" numFmtId="3" xfId="0" applyAlignment="1" applyBorder="1" applyFont="1" applyNumberFormat="1">
      <alignment horizontal="center" readingOrder="0" shrinkToFit="0" wrapText="0"/>
    </xf>
    <xf borderId="13" fillId="5" fontId="4" numFmtId="3" xfId="0" applyAlignment="1" applyBorder="1" applyFill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13" fillId="0" fontId="4" numFmtId="0" xfId="0" applyBorder="1" applyFont="1"/>
    <xf borderId="13" fillId="0" fontId="4" numFmtId="3" xfId="0" applyBorder="1" applyFont="1" applyNumberFormat="1"/>
    <xf borderId="15" fillId="0" fontId="4" numFmtId="4" xfId="0" applyBorder="1" applyFont="1" applyNumberFormat="1"/>
    <xf borderId="13" fillId="6" fontId="3" numFmtId="0" xfId="0" applyAlignment="1" applyBorder="1" applyFill="1" applyFont="1">
      <alignment horizontal="center" readingOrder="0" shrinkToFit="0" wrapText="0"/>
    </xf>
    <xf borderId="0" fillId="0" fontId="4" numFmtId="3" xfId="0" applyFont="1" applyNumberFormat="1"/>
    <xf borderId="13" fillId="0" fontId="3" numFmtId="3" xfId="0" applyAlignment="1" applyBorder="1" applyFont="1" applyNumberFormat="1">
      <alignment horizontal="center" readingOrder="0" shrinkToFit="0" wrapText="0"/>
    </xf>
    <xf borderId="13" fillId="7" fontId="3" numFmtId="0" xfId="0" applyAlignment="1" applyBorder="1" applyFill="1" applyFont="1">
      <alignment horizontal="center" readingOrder="0" shrinkToFit="0" wrapText="0"/>
    </xf>
    <xf borderId="13" fillId="0" fontId="5" numFmtId="0" xfId="0" applyBorder="1" applyFont="1"/>
    <xf borderId="13" fillId="0" fontId="4" numFmtId="3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readingOrder="0" shrinkToFit="0" wrapText="0"/>
    </xf>
    <xf borderId="13" fillId="0" fontId="1" numFmtId="3" xfId="0" applyAlignment="1" applyBorder="1" applyFont="1" applyNumberFormat="1">
      <alignment horizontal="center" readingOrder="0" shrinkToFit="0" wrapText="0"/>
    </xf>
    <xf borderId="13" fillId="0" fontId="1" numFmtId="10" xfId="0" applyAlignment="1" applyBorder="1" applyFont="1" applyNumberFormat="1">
      <alignment horizontal="center" readingOrder="0" shrinkToFit="0" wrapText="0"/>
    </xf>
    <xf borderId="15" fillId="0" fontId="1" numFmtId="4" xfId="0" applyAlignment="1" applyBorder="1" applyFont="1" applyNumberFormat="1">
      <alignment horizontal="center" readingOrder="0" shrinkToFit="0" wrapText="0"/>
    </xf>
    <xf borderId="13" fillId="4" fontId="3" numFmtId="0" xfId="0" applyAlignment="1" applyBorder="1" applyFont="1">
      <alignment horizontal="center" readingOrder="0" shrinkToFit="0" wrapText="0"/>
    </xf>
    <xf borderId="13" fillId="4" fontId="3" numFmtId="3" xfId="0" applyAlignment="1" applyBorder="1" applyFont="1" applyNumberFormat="1">
      <alignment horizontal="center" readingOrder="0" shrinkToFit="0" wrapText="0"/>
    </xf>
    <xf borderId="15" fillId="4" fontId="3" numFmtId="4" xfId="0" applyAlignment="1" applyBorder="1" applyFont="1" applyNumberFormat="1">
      <alignment horizontal="center" readingOrder="0" shrinkToFit="0" wrapText="0"/>
    </xf>
    <xf borderId="13" fillId="0" fontId="3" numFmtId="0" xfId="0" applyAlignment="1" applyBorder="1" applyFont="1">
      <alignment horizontal="center" readingOrder="0" shrinkToFit="0" wrapText="0"/>
    </xf>
    <xf borderId="15" fillId="0" fontId="3" numFmtId="4" xfId="0" applyAlignment="1" applyBorder="1" applyFont="1" applyNumberFormat="1">
      <alignment horizontal="center" readingOrder="0" shrinkToFit="0" wrapText="0"/>
    </xf>
    <xf borderId="16" fillId="2" fontId="1" numFmtId="3" xfId="0" applyAlignment="1" applyBorder="1" applyFont="1" applyNumberFormat="1">
      <alignment horizontal="center" readingOrder="0" shrinkToFit="0" vertical="center" wrapText="0"/>
    </xf>
    <xf borderId="13" fillId="0" fontId="5" numFmtId="0" xfId="0" applyAlignment="1" applyBorder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2" pivot="0" name="122025-style">
      <tableStyleElement dxfId="1" type="firstRowStripe"/>
      <tableStyleElement dxfId="2" type="secondRowStripe"/>
    </tableStyle>
    <tableStyle count="2" pivot="0" name="122025-style 2">
      <tableStyleElement dxfId="3" type="firstRowStripe"/>
      <tableStyleElement dxfId="4" type="secondRowStripe"/>
    </tableStyle>
    <tableStyle count="2" pivot="0" name="122025-style 3">
      <tableStyleElement dxfId="5" type="firstRowStripe"/>
      <tableStyleElement dxfId="4" type="secondRowStripe"/>
    </tableStyle>
    <tableStyle count="2" pivot="0" name="122025-style 4">
      <tableStyleElement dxfId="6" type="firstRowStripe"/>
      <tableStyleElement dxfId="7" type="secondRowStripe"/>
    </tableStyle>
    <tableStyle count="2" pivot="0" name="12026-style">
      <tableStyleElement dxfId="1" type="firstRowStripe"/>
      <tableStyleElement dxfId="2" type="secondRowStripe"/>
    </tableStyle>
    <tableStyle count="2" pivot="0" name="12026-style 2">
      <tableStyleElement dxfId="3" type="firstRowStripe"/>
      <tableStyleElement dxfId="4" type="secondRowStripe"/>
    </tableStyle>
    <tableStyle count="2" pivot="0" name="12026-style 3">
      <tableStyleElement dxfId="5" type="firstRowStripe"/>
      <tableStyleElement dxfId="4" type="secondRowStripe"/>
    </tableStyle>
    <tableStyle count="2" pivot="0" name="12026-style 4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BP20" displayName="Table_1" name="Table_1" id="1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21:BP36" displayName="Table_2" name="Table_2" id="2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7:BP39" displayName="Table_3" name="Table_3" id="3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2025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0:BP41" displayName="Table_4" name="Table_4" id="4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:BP14" displayName="Table_5" name="Table_5" id="5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026-style" showColumnStripes="0" showFirstColumn="1" showLastColumn="1" showRowStripes="1"/>
</table>
</file>

<file path=xl/tables/table6.xml><?xml version="1.0" encoding="utf-8"?>
<table xmlns="http://schemas.openxmlformats.org/spreadsheetml/2006/main" headerRowCount="0" ref="A15:BP22" displayName="Table_6" name="Table_6" id="6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026-style 2" showColumnStripes="0" showFirstColumn="1" showLastColumn="1" showRowStripes="1"/>
</table>
</file>

<file path=xl/tables/table7.xml><?xml version="1.0" encoding="utf-8"?>
<table xmlns="http://schemas.openxmlformats.org/spreadsheetml/2006/main" headerRowCount="0" ref="A23:BP25" displayName="Table_7" name="Table_7" id="7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026-style 3" showColumnStripes="0" showFirstColumn="1" showLastColumn="1" showRowStripes="1"/>
</table>
</file>

<file path=xl/tables/table8.xml><?xml version="1.0" encoding="utf-8"?>
<table xmlns="http://schemas.openxmlformats.org/spreadsheetml/2006/main" headerRowCount="0" ref="A26:BP26" displayName="Table_8" name="Table_8" id="8">
  <tableColumns count="6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</tableColumns>
  <tableStyleInfo name="12026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88"/>
    <col customWidth="1" min="2" max="3" width="15.13"/>
    <col customWidth="1" min="4" max="4" width="12.25"/>
    <col customWidth="1" min="5" max="5" width="10.25"/>
    <col customWidth="1" min="6" max="6" width="1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>
        <v>1.0</v>
      </c>
      <c r="H1" s="6"/>
      <c r="I1" s="5">
        <v>2.0</v>
      </c>
      <c r="J1" s="6"/>
      <c r="K1" s="5">
        <v>3.0</v>
      </c>
      <c r="L1" s="6"/>
      <c r="M1" s="5">
        <v>4.0</v>
      </c>
      <c r="N1" s="6"/>
      <c r="O1" s="5">
        <v>5.0</v>
      </c>
      <c r="P1" s="6"/>
      <c r="Q1" s="5">
        <v>6.0</v>
      </c>
      <c r="R1" s="6"/>
      <c r="S1" s="5">
        <v>7.0</v>
      </c>
      <c r="T1" s="6"/>
      <c r="U1" s="5">
        <v>8.0</v>
      </c>
      <c r="V1" s="6"/>
      <c r="W1" s="5">
        <v>9.0</v>
      </c>
      <c r="X1" s="6"/>
      <c r="Y1" s="5">
        <v>10.0</v>
      </c>
      <c r="Z1" s="6"/>
      <c r="AA1" s="5">
        <v>11.0</v>
      </c>
      <c r="AB1" s="6"/>
      <c r="AC1" s="5">
        <v>12.0</v>
      </c>
      <c r="AD1" s="6"/>
      <c r="AE1" s="5">
        <v>13.0</v>
      </c>
      <c r="AF1" s="6"/>
      <c r="AG1" s="5">
        <v>14.0</v>
      </c>
      <c r="AH1" s="6"/>
      <c r="AI1" s="5">
        <v>15.0</v>
      </c>
      <c r="AJ1" s="6"/>
      <c r="AK1" s="5">
        <v>16.0</v>
      </c>
      <c r="AL1" s="6"/>
      <c r="AM1" s="5">
        <v>17.0</v>
      </c>
      <c r="AN1" s="6"/>
      <c r="AO1" s="5">
        <v>18.0</v>
      </c>
      <c r="AP1" s="6"/>
      <c r="AQ1" s="5">
        <v>19.0</v>
      </c>
      <c r="AR1" s="6"/>
      <c r="AS1" s="5">
        <v>20.0</v>
      </c>
      <c r="AT1" s="6"/>
      <c r="AU1" s="5">
        <v>21.0</v>
      </c>
      <c r="AV1" s="6"/>
      <c r="AW1" s="5">
        <v>22.0</v>
      </c>
      <c r="AX1" s="6"/>
      <c r="AY1" s="5">
        <v>23.0</v>
      </c>
      <c r="AZ1" s="6"/>
      <c r="BA1" s="5">
        <v>24.0</v>
      </c>
      <c r="BB1" s="6"/>
      <c r="BC1" s="5">
        <v>25.0</v>
      </c>
      <c r="BD1" s="6"/>
      <c r="BE1" s="5">
        <v>26.0</v>
      </c>
      <c r="BF1" s="6"/>
      <c r="BG1" s="5">
        <v>27.0</v>
      </c>
      <c r="BH1" s="6"/>
      <c r="BI1" s="5">
        <v>28.0</v>
      </c>
      <c r="BJ1" s="6"/>
      <c r="BK1" s="5">
        <v>29.0</v>
      </c>
      <c r="BL1" s="6"/>
      <c r="BM1" s="5">
        <v>30.0</v>
      </c>
      <c r="BN1" s="6"/>
      <c r="BO1" s="5">
        <v>31.0</v>
      </c>
      <c r="BP1" s="7"/>
    </row>
    <row r="2">
      <c r="A2" s="8"/>
      <c r="B2" s="9"/>
      <c r="C2" s="9"/>
      <c r="D2" s="9"/>
      <c r="E2" s="9"/>
      <c r="F2" s="10"/>
      <c r="G2" s="11" t="s">
        <v>6</v>
      </c>
      <c r="H2" s="11" t="s">
        <v>7</v>
      </c>
      <c r="I2" s="11" t="s">
        <v>6</v>
      </c>
      <c r="J2" s="11" t="s">
        <v>7</v>
      </c>
      <c r="K2" s="11" t="s">
        <v>6</v>
      </c>
      <c r="L2" s="11" t="s">
        <v>7</v>
      </c>
      <c r="M2" s="11" t="s">
        <v>6</v>
      </c>
      <c r="N2" s="11" t="s">
        <v>7</v>
      </c>
      <c r="O2" s="11" t="s">
        <v>6</v>
      </c>
      <c r="P2" s="11" t="s">
        <v>7</v>
      </c>
      <c r="Q2" s="11" t="s">
        <v>6</v>
      </c>
      <c r="R2" s="11" t="s">
        <v>7</v>
      </c>
      <c r="S2" s="11" t="s">
        <v>6</v>
      </c>
      <c r="T2" s="11" t="s">
        <v>7</v>
      </c>
      <c r="U2" s="11" t="s">
        <v>6</v>
      </c>
      <c r="V2" s="11" t="s">
        <v>7</v>
      </c>
      <c r="W2" s="11" t="s">
        <v>6</v>
      </c>
      <c r="X2" s="11" t="s">
        <v>7</v>
      </c>
      <c r="Y2" s="11" t="s">
        <v>6</v>
      </c>
      <c r="Z2" s="11" t="s">
        <v>7</v>
      </c>
      <c r="AA2" s="11" t="s">
        <v>6</v>
      </c>
      <c r="AB2" s="11" t="s">
        <v>7</v>
      </c>
      <c r="AC2" s="11" t="s">
        <v>6</v>
      </c>
      <c r="AD2" s="11" t="s">
        <v>7</v>
      </c>
      <c r="AE2" s="11" t="s">
        <v>6</v>
      </c>
      <c r="AF2" s="11" t="s">
        <v>7</v>
      </c>
      <c r="AG2" s="11" t="s">
        <v>6</v>
      </c>
      <c r="AH2" s="11" t="s">
        <v>7</v>
      </c>
      <c r="AI2" s="11" t="s">
        <v>6</v>
      </c>
      <c r="AJ2" s="11" t="s">
        <v>7</v>
      </c>
      <c r="AK2" s="11" t="s">
        <v>6</v>
      </c>
      <c r="AL2" s="11" t="s">
        <v>7</v>
      </c>
      <c r="AM2" s="11" t="s">
        <v>6</v>
      </c>
      <c r="AN2" s="11" t="s">
        <v>7</v>
      </c>
      <c r="AO2" s="11" t="s">
        <v>6</v>
      </c>
      <c r="AP2" s="11" t="s">
        <v>7</v>
      </c>
      <c r="AQ2" s="11" t="s">
        <v>6</v>
      </c>
      <c r="AR2" s="11" t="s">
        <v>7</v>
      </c>
      <c r="AS2" s="11" t="s">
        <v>6</v>
      </c>
      <c r="AT2" s="11" t="s">
        <v>7</v>
      </c>
      <c r="AU2" s="11" t="s">
        <v>6</v>
      </c>
      <c r="AV2" s="11" t="s">
        <v>7</v>
      </c>
      <c r="AW2" s="11" t="s">
        <v>6</v>
      </c>
      <c r="AX2" s="11" t="s">
        <v>7</v>
      </c>
      <c r="AY2" s="11" t="s">
        <v>6</v>
      </c>
      <c r="AZ2" s="11" t="s">
        <v>7</v>
      </c>
      <c r="BA2" s="11" t="s">
        <v>6</v>
      </c>
      <c r="BB2" s="11" t="s">
        <v>7</v>
      </c>
      <c r="BC2" s="11" t="s">
        <v>6</v>
      </c>
      <c r="BD2" s="11" t="s">
        <v>7</v>
      </c>
      <c r="BE2" s="11" t="s">
        <v>6</v>
      </c>
      <c r="BF2" s="11" t="s">
        <v>7</v>
      </c>
      <c r="BG2" s="11" t="s">
        <v>6</v>
      </c>
      <c r="BH2" s="11" t="s">
        <v>7</v>
      </c>
      <c r="BI2" s="11" t="s">
        <v>6</v>
      </c>
      <c r="BJ2" s="11" t="s">
        <v>7</v>
      </c>
      <c r="BK2" s="11" t="s">
        <v>6</v>
      </c>
      <c r="BL2" s="11" t="s">
        <v>7</v>
      </c>
      <c r="BM2" s="11" t="s">
        <v>6</v>
      </c>
      <c r="BN2" s="11" t="s">
        <v>7</v>
      </c>
      <c r="BO2" s="11" t="s">
        <v>6</v>
      </c>
      <c r="BP2" s="12" t="s">
        <v>7</v>
      </c>
    </row>
    <row r="3">
      <c r="A3" s="13" t="s">
        <v>8</v>
      </c>
      <c r="B3" s="14">
        <f>IFERROR(__xludf.DUMMYFUNCTION("SUM(FILTER(G3:BP3,ISNUMBER(G3:BP3),MOD(COLUMN(G3:BP3)-COLUMN(G3),2)=0))"),1.504522E8)</f>
        <v>150452200</v>
      </c>
      <c r="C3" s="15">
        <f>IFERROR(__xludf.DUMMYFUNCTION("SUM(FILTER(G3:BP3,ISNUMBER(G3:BP3),MOD(COLUMN(G3:BP3)-COLUMN(G3),2)=1))"),4444700.0)</f>
        <v>4444700</v>
      </c>
      <c r="D3" s="16">
        <f>C3/B3</f>
        <v>0.02954227323</v>
      </c>
      <c r="E3" s="13">
        <f>IFERROR(__xludf.DUMMYFUNCTION("COUNT(FILTER(G3:BP3,ISNUMBER(G3:BP3),MOD(COLUMN(G3:BP3)-COLUMN(G3),2)=0))
"),22.0)</f>
        <v>22</v>
      </c>
      <c r="F3" s="17">
        <f>B3/E3</f>
        <v>6838736.364</v>
      </c>
      <c r="G3" s="15"/>
      <c r="H3" s="15"/>
      <c r="I3" s="15">
        <v>1.3507E7</v>
      </c>
      <c r="J3" s="15">
        <v>337270.0</v>
      </c>
      <c r="K3" s="15">
        <v>3056200.0</v>
      </c>
      <c r="L3" s="15">
        <v>0.0</v>
      </c>
      <c r="M3" s="15">
        <v>4818000.0</v>
      </c>
      <c r="N3" s="15">
        <v>115250.0</v>
      </c>
      <c r="O3" s="15">
        <v>3915000.0</v>
      </c>
      <c r="P3" s="15">
        <v>0.0</v>
      </c>
      <c r="Q3" s="15">
        <v>4383000.0</v>
      </c>
      <c r="R3" s="15">
        <v>67750.0</v>
      </c>
      <c r="S3" s="15"/>
      <c r="T3" s="15"/>
      <c r="U3" s="15">
        <v>1715000.0</v>
      </c>
      <c r="V3" s="15">
        <v>0.0</v>
      </c>
      <c r="W3" s="15">
        <v>2069000.0</v>
      </c>
      <c r="X3" s="15">
        <v>0.0</v>
      </c>
      <c r="Y3" s="15">
        <v>5053000.0</v>
      </c>
      <c r="Z3" s="15"/>
      <c r="AA3" s="15">
        <v>2.1889E7</v>
      </c>
      <c r="AB3" s="15">
        <v>72640.0</v>
      </c>
      <c r="AC3" s="15"/>
      <c r="AD3" s="15"/>
      <c r="AE3" s="15" t="s">
        <v>9</v>
      </c>
      <c r="AF3" s="15" t="s">
        <v>9</v>
      </c>
      <c r="AG3" s="15" t="s">
        <v>9</v>
      </c>
      <c r="AH3" s="15" t="s">
        <v>9</v>
      </c>
      <c r="AI3" s="15" t="s">
        <v>9</v>
      </c>
      <c r="AJ3" s="15" t="s">
        <v>9</v>
      </c>
      <c r="AK3" s="15" t="s">
        <v>9</v>
      </c>
      <c r="AL3" s="15" t="s">
        <v>9</v>
      </c>
      <c r="AM3" s="15">
        <v>9355000.0</v>
      </c>
      <c r="AN3" s="15">
        <v>377000.0</v>
      </c>
      <c r="AO3" s="15">
        <v>5115000.0</v>
      </c>
      <c r="AP3" s="15">
        <v>288110.0</v>
      </c>
      <c r="AQ3" s="15">
        <v>1.3829E7</v>
      </c>
      <c r="AR3" s="15">
        <v>574000.0</v>
      </c>
      <c r="AS3" s="15">
        <v>6048000.0</v>
      </c>
      <c r="AT3" s="15">
        <v>238920.0</v>
      </c>
      <c r="AU3" s="15">
        <v>1.1505E7</v>
      </c>
      <c r="AV3" s="15">
        <v>514420.0</v>
      </c>
      <c r="AW3" s="15">
        <v>3949000.0</v>
      </c>
      <c r="AX3" s="15">
        <v>55260.0</v>
      </c>
      <c r="AY3" s="15">
        <v>8453000.0</v>
      </c>
      <c r="AZ3" s="15">
        <v>503620.0</v>
      </c>
      <c r="BA3" s="15" t="s">
        <v>9</v>
      </c>
      <c r="BB3" s="15" t="s">
        <v>9</v>
      </c>
      <c r="BC3" s="15">
        <v>1.2344E7</v>
      </c>
      <c r="BD3" s="15">
        <v>517190.0</v>
      </c>
      <c r="BE3" s="15">
        <v>7699000.0</v>
      </c>
      <c r="BF3" s="15">
        <v>29460.0</v>
      </c>
      <c r="BG3" s="15">
        <v>2150000.0</v>
      </c>
      <c r="BH3" s="15">
        <v>319960.0</v>
      </c>
      <c r="BI3" s="15">
        <v>3256000.0</v>
      </c>
      <c r="BJ3" s="15">
        <v>148280.0</v>
      </c>
      <c r="BK3" s="15"/>
      <c r="BL3" s="15"/>
      <c r="BM3" s="15">
        <v>2947000.0</v>
      </c>
      <c r="BN3" s="15">
        <v>99090.0</v>
      </c>
      <c r="BO3" s="15">
        <v>3397000.0</v>
      </c>
      <c r="BP3" s="15">
        <v>186480.0</v>
      </c>
    </row>
    <row r="4">
      <c r="A4" s="18"/>
      <c r="B4" s="14"/>
      <c r="C4" s="14"/>
      <c r="D4" s="19"/>
      <c r="E4" s="20"/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15"/>
      <c r="AJ4" s="15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15"/>
      <c r="BB4" s="15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>
      <c r="A5" s="20" t="s">
        <v>10</v>
      </c>
      <c r="B5" s="14">
        <f>IFERROR(__xludf.DUMMYFUNCTION("SUM(FILTER(G5:BP5,ISNUMBER(G5:BP5),MOD(COLUMN(G5:BP5)-COLUMN(G5),2)=0))"),7.60997E7)</f>
        <v>76099700</v>
      </c>
      <c r="C5" s="14">
        <f>IFERROR(__xludf.DUMMYFUNCTION("SUM(FILTER(G5:BP5,ISNUMBER(G5:BP5),MOD(COLUMN(G5:BP5)-COLUMN(G5),2)=1))"),2123603.0)</f>
        <v>2123603</v>
      </c>
      <c r="D5" s="19">
        <f>C5/B5</f>
        <v>0.02790553708</v>
      </c>
      <c r="E5" s="20">
        <f>IFERROR(__xludf.DUMMYFUNCTION("COUNT(FILTER(G5:BP5,ISNUMBER(G5:BP5),MOD(COLUMN(G5:BP5)-COLUMN(G5),2)=0))
"),25.0)</f>
        <v>25</v>
      </c>
      <c r="F5" s="21">
        <f>B5/E5</f>
        <v>3043988</v>
      </c>
      <c r="G5" s="14"/>
      <c r="H5" s="14"/>
      <c r="I5" s="14">
        <v>2270000.0</v>
      </c>
      <c r="J5" s="14">
        <v>191970.0</v>
      </c>
      <c r="K5" s="14">
        <v>1697000.0</v>
      </c>
      <c r="L5" s="14">
        <v>0.0</v>
      </c>
      <c r="M5" s="14">
        <v>1295000.0</v>
      </c>
      <c r="N5" s="14">
        <v>155330.0</v>
      </c>
      <c r="O5" s="14">
        <v>1.1682E7</v>
      </c>
      <c r="P5" s="14">
        <v>0.0</v>
      </c>
      <c r="Q5" s="14">
        <v>3710000.0</v>
      </c>
      <c r="R5" s="14">
        <v>333980.0</v>
      </c>
      <c r="S5" s="14">
        <v>3118000.0</v>
      </c>
      <c r="T5" s="14">
        <v>530890.0</v>
      </c>
      <c r="U5" s="14"/>
      <c r="V5" s="14"/>
      <c r="W5" s="14">
        <v>2878200.0</v>
      </c>
      <c r="X5" s="14">
        <v>0.0</v>
      </c>
      <c r="Y5" s="14">
        <v>1417000.0</v>
      </c>
      <c r="Z5" s="14"/>
      <c r="AA5" s="14">
        <v>3366000.0</v>
      </c>
      <c r="AB5" s="14">
        <v>0.0</v>
      </c>
      <c r="AC5" s="14">
        <v>4483000.0</v>
      </c>
      <c r="AD5" s="14">
        <v>0.0</v>
      </c>
      <c r="AE5" s="14">
        <v>7301000.0</v>
      </c>
      <c r="AF5" s="14">
        <v>0.0</v>
      </c>
      <c r="AG5" s="14">
        <v>7241000.0</v>
      </c>
      <c r="AH5" s="14">
        <v>0.0</v>
      </c>
      <c r="AI5" s="15" t="s">
        <v>9</v>
      </c>
      <c r="AJ5" s="15" t="s">
        <v>9</v>
      </c>
      <c r="AK5" s="14">
        <v>3762000.0</v>
      </c>
      <c r="AL5" s="14">
        <v>0.0</v>
      </c>
      <c r="AM5" s="14">
        <v>3096900.0</v>
      </c>
      <c r="AN5" s="14">
        <v>0.0</v>
      </c>
      <c r="AO5" s="14">
        <v>107100.0</v>
      </c>
      <c r="AP5" s="14">
        <v>0.0</v>
      </c>
      <c r="AQ5" s="14">
        <v>396000.0</v>
      </c>
      <c r="AR5" s="14">
        <v>0.0</v>
      </c>
      <c r="AS5" s="14">
        <v>4676700.0</v>
      </c>
      <c r="AT5" s="14">
        <v>27313.0</v>
      </c>
      <c r="AU5" s="14">
        <v>1461000.0</v>
      </c>
      <c r="AV5" s="14">
        <v>0.0</v>
      </c>
      <c r="AW5" s="14">
        <v>990000.0</v>
      </c>
      <c r="AX5" s="14">
        <v>59990.0</v>
      </c>
      <c r="AY5" s="14"/>
      <c r="AZ5" s="14"/>
      <c r="BA5" s="15" t="s">
        <v>9</v>
      </c>
      <c r="BB5" s="15" t="s">
        <v>9</v>
      </c>
      <c r="BC5" s="14">
        <v>1514000.0</v>
      </c>
      <c r="BD5" s="14">
        <v>272680.0</v>
      </c>
      <c r="BE5" s="14">
        <v>995000.0</v>
      </c>
      <c r="BF5" s="14">
        <v>81470.0</v>
      </c>
      <c r="BG5" s="14">
        <v>2175000.0</v>
      </c>
      <c r="BH5" s="14">
        <v>262380.0</v>
      </c>
      <c r="BI5" s="14">
        <v>818000.0</v>
      </c>
      <c r="BJ5" s="14">
        <v>76240.0</v>
      </c>
      <c r="BK5" s="14"/>
      <c r="BL5" s="14"/>
      <c r="BM5" s="14">
        <v>2952800.0</v>
      </c>
      <c r="BN5" s="14">
        <v>5020.0</v>
      </c>
      <c r="BO5" s="14">
        <v>2697000.0</v>
      </c>
      <c r="BP5" s="14">
        <v>126340.0</v>
      </c>
    </row>
    <row r="6">
      <c r="A6" s="18"/>
      <c r="B6" s="14"/>
      <c r="C6" s="14"/>
      <c r="D6" s="19"/>
      <c r="E6" s="20"/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5"/>
      <c r="AJ6" s="15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15"/>
      <c r="BB6" s="15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>
      <c r="A7" s="20" t="s">
        <v>11</v>
      </c>
      <c r="B7" s="14">
        <f>IFERROR(__xludf.DUMMYFUNCTION("SUM(FILTER(G7:BP7,ISNUMBER(G7:BP7),MOD(COLUMN(G7:BP7)-COLUMN(G7),2)=0))"),2.834604E7)</f>
        <v>28346040</v>
      </c>
      <c r="C7" s="14">
        <f>IFERROR(__xludf.DUMMYFUNCTION("SUM(FILTER(G7:BP7,ISNUMBER(G7:BP7),MOD(COLUMN(G7:BP7)-COLUMN(G7),2)=1))"),1365130.0)</f>
        <v>1365130</v>
      </c>
      <c r="D7" s="19">
        <f>C7/B7</f>
        <v>0.04815946072</v>
      </c>
      <c r="E7" s="20">
        <f>IFERROR(__xludf.DUMMYFUNCTION("COUNT(FILTER(G7:BP7,ISNUMBER(G7:BP7),MOD(COLUMN(G7:BP7)-COLUMN(G7),2)=0))
"),25.0)</f>
        <v>25</v>
      </c>
      <c r="F7" s="21">
        <f>B7/E7</f>
        <v>1133841.6</v>
      </c>
      <c r="G7" s="14"/>
      <c r="H7" s="14"/>
      <c r="I7" s="14">
        <v>238000.0</v>
      </c>
      <c r="J7" s="14">
        <v>26110.0</v>
      </c>
      <c r="K7" s="14">
        <v>537540.0</v>
      </c>
      <c r="L7" s="14">
        <v>315710.0</v>
      </c>
      <c r="M7" s="14">
        <v>840000.0</v>
      </c>
      <c r="N7" s="14">
        <v>132390.0</v>
      </c>
      <c r="O7" s="14">
        <v>1020200.0</v>
      </c>
      <c r="P7" s="14">
        <v>0.0</v>
      </c>
      <c r="Q7" s="14">
        <v>695000.0</v>
      </c>
      <c r="R7" s="14">
        <v>186630.0</v>
      </c>
      <c r="S7" s="14">
        <v>791000.0</v>
      </c>
      <c r="T7" s="14">
        <v>98060.0</v>
      </c>
      <c r="U7" s="14"/>
      <c r="V7" s="14"/>
      <c r="W7" s="14">
        <v>270000.0</v>
      </c>
      <c r="X7" s="14">
        <v>0.0</v>
      </c>
      <c r="Y7" s="14">
        <v>147000.0</v>
      </c>
      <c r="Z7" s="14"/>
      <c r="AA7" s="14">
        <v>58000.0</v>
      </c>
      <c r="AB7" s="14">
        <v>0.0</v>
      </c>
      <c r="AC7" s="14">
        <v>3035000.0</v>
      </c>
      <c r="AD7" s="14">
        <v>0.0</v>
      </c>
      <c r="AE7" s="23">
        <v>5352000.0</v>
      </c>
      <c r="AF7" s="14">
        <v>0.0</v>
      </c>
      <c r="AG7" s="14">
        <v>534300.0</v>
      </c>
      <c r="AH7" s="14">
        <v>0.0</v>
      </c>
      <c r="AI7" s="15" t="s">
        <v>9</v>
      </c>
      <c r="AJ7" s="15" t="s">
        <v>9</v>
      </c>
      <c r="AK7" s="14">
        <v>168300.0</v>
      </c>
      <c r="AL7" s="14">
        <v>0.0</v>
      </c>
      <c r="AM7" s="14">
        <v>1218000.0</v>
      </c>
      <c r="AN7" s="14">
        <v>0.0</v>
      </c>
      <c r="AO7" s="14">
        <v>1470000.0</v>
      </c>
      <c r="AP7" s="14">
        <v>0.0</v>
      </c>
      <c r="AQ7" s="14">
        <v>3131000.0</v>
      </c>
      <c r="AR7" s="14">
        <v>74760.0</v>
      </c>
      <c r="AS7" s="14">
        <v>500500.0</v>
      </c>
      <c r="AT7" s="14">
        <v>263000.0</v>
      </c>
      <c r="AU7" s="14">
        <v>656000.0</v>
      </c>
      <c r="AV7" s="14">
        <v>55780.0</v>
      </c>
      <c r="AW7" s="14">
        <v>222000.0</v>
      </c>
      <c r="AX7" s="14">
        <v>93670.0</v>
      </c>
      <c r="AY7" s="14">
        <v>711000.0</v>
      </c>
      <c r="AZ7" s="14">
        <v>0.0</v>
      </c>
      <c r="BA7" s="15" t="s">
        <v>9</v>
      </c>
      <c r="BB7" s="15" t="s">
        <v>9</v>
      </c>
      <c r="BC7" s="14">
        <v>2517000.0</v>
      </c>
      <c r="BD7" s="14">
        <v>25530.0</v>
      </c>
      <c r="BE7" s="14">
        <v>1470000.0</v>
      </c>
      <c r="BF7" s="14">
        <v>8940.0</v>
      </c>
      <c r="BG7" s="14">
        <v>647100.0</v>
      </c>
      <c r="BH7" s="14">
        <v>82820.0</v>
      </c>
      <c r="BI7" s="14">
        <v>1937100.0</v>
      </c>
      <c r="BJ7" s="14">
        <v>1730.0</v>
      </c>
      <c r="BK7" s="14"/>
      <c r="BL7" s="14"/>
      <c r="BM7" s="14"/>
      <c r="BN7" s="14"/>
      <c r="BO7" s="14">
        <v>180000.0</v>
      </c>
      <c r="BP7" s="14">
        <v>0.0</v>
      </c>
    </row>
    <row r="8">
      <c r="A8" s="18"/>
      <c r="B8" s="14"/>
      <c r="C8" s="14"/>
      <c r="D8" s="19"/>
      <c r="E8" s="20"/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15"/>
      <c r="AJ8" s="15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15"/>
      <c r="BB8" s="15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</row>
    <row r="9">
      <c r="A9" s="20" t="s">
        <v>12</v>
      </c>
      <c r="B9" s="14">
        <f>IFERROR(__xludf.DUMMYFUNCTION("SUM(FILTER(G9:BP9,ISNUMBER(G9:BP9),MOD(COLUMN(G9:BP9)-COLUMN(G9),2)=0))"),4168490.0)</f>
        <v>4168490</v>
      </c>
      <c r="C9" s="14">
        <f>IFERROR(__xludf.DUMMYFUNCTION("SUM(FILTER(G9:BP9,ISNUMBER(G9:BP9),MOD(COLUMN(G9:BP9)-COLUMN(G9),2)=1))"),585560.0)</f>
        <v>585560</v>
      </c>
      <c r="D9" s="19">
        <f>C9/B9</f>
        <v>0.140472929</v>
      </c>
      <c r="E9" s="20">
        <f>IFERROR(__xludf.DUMMYFUNCTION("COUNT(FILTER(G9:BP9,ISNUMBER(G9:BP9),MOD(COLUMN(G9:BP9)-COLUMN(G9),2)=0))
"),18.0)</f>
        <v>18</v>
      </c>
      <c r="F9" s="21">
        <f>B9/E9</f>
        <v>231582.7778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>
        <v>130000.0</v>
      </c>
      <c r="X9" s="14">
        <v>0.0</v>
      </c>
      <c r="Y9" s="14"/>
      <c r="Z9" s="14"/>
      <c r="AA9" s="14">
        <v>150000.0</v>
      </c>
      <c r="AB9" s="14">
        <v>0.0</v>
      </c>
      <c r="AC9" s="14">
        <v>0.0</v>
      </c>
      <c r="AD9" s="14">
        <v>0.0</v>
      </c>
      <c r="AE9" s="14">
        <v>336150.0</v>
      </c>
      <c r="AF9" s="14">
        <v>0.0</v>
      </c>
      <c r="AG9" s="14">
        <v>491000.0</v>
      </c>
      <c r="AH9" s="14">
        <v>0.0</v>
      </c>
      <c r="AI9" s="15" t="s">
        <v>9</v>
      </c>
      <c r="AJ9" s="15" t="s">
        <v>9</v>
      </c>
      <c r="AK9" s="14">
        <v>126000.0</v>
      </c>
      <c r="AL9" s="14">
        <v>0.0</v>
      </c>
      <c r="AM9" s="14">
        <v>183150.0</v>
      </c>
      <c r="AN9" s="14">
        <v>0.0</v>
      </c>
      <c r="AO9" s="14">
        <v>273240.0</v>
      </c>
      <c r="AP9" s="14">
        <v>0.0</v>
      </c>
      <c r="AQ9" s="14">
        <v>399000.0</v>
      </c>
      <c r="AR9" s="14">
        <v>14740.0</v>
      </c>
      <c r="AS9" s="14">
        <v>225000.0</v>
      </c>
      <c r="AT9" s="14">
        <v>44470.0</v>
      </c>
      <c r="AU9" s="14">
        <v>311250.0</v>
      </c>
      <c r="AV9" s="14">
        <v>14210.0</v>
      </c>
      <c r="AW9" s="14">
        <v>135000.0</v>
      </c>
      <c r="AX9" s="14">
        <v>10790.0</v>
      </c>
      <c r="AY9" s="14">
        <v>87000.0</v>
      </c>
      <c r="AZ9" s="14">
        <v>22130.0</v>
      </c>
      <c r="BA9" s="15" t="s">
        <v>9</v>
      </c>
      <c r="BB9" s="15" t="s">
        <v>9</v>
      </c>
      <c r="BC9" s="14">
        <v>789200.0</v>
      </c>
      <c r="BD9" s="14">
        <v>22110.0</v>
      </c>
      <c r="BE9" s="14">
        <v>150000.0</v>
      </c>
      <c r="BF9" s="14">
        <v>211820.0</v>
      </c>
      <c r="BG9" s="14">
        <v>277500.0</v>
      </c>
      <c r="BH9" s="14">
        <v>125670.0</v>
      </c>
      <c r="BI9" s="14">
        <v>105000.0</v>
      </c>
      <c r="BJ9" s="14">
        <v>75460.0</v>
      </c>
      <c r="BK9" s="14"/>
      <c r="BL9" s="14"/>
      <c r="BM9" s="14">
        <v>0.0</v>
      </c>
      <c r="BN9" s="14">
        <v>44160.0</v>
      </c>
      <c r="BO9" s="14"/>
      <c r="BP9" s="14"/>
    </row>
    <row r="10">
      <c r="A10" s="18"/>
      <c r="B10" s="14"/>
      <c r="C10" s="14"/>
      <c r="D10" s="19"/>
      <c r="E10" s="20"/>
      <c r="F10" s="2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15"/>
      <c r="AJ10" s="15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15"/>
      <c r="BB10" s="15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</row>
    <row r="11">
      <c r="A11" s="20" t="s">
        <v>13</v>
      </c>
      <c r="B11" s="14">
        <f>IFERROR(__xludf.DUMMYFUNCTION("SUM(FILTER(G11:BP11,ISNUMBER(G11:BP11),MOD(COLUMN(G11:BP11)-COLUMN(G11),2)=0))"),4.1748629E7)</f>
        <v>41748629</v>
      </c>
      <c r="C11" s="14">
        <f>IFERROR(__xludf.DUMMYFUNCTION("SUM(FILTER(G11:BP11,ISNUMBER(G11:BP11),MOD(COLUMN(G11:BP11)-COLUMN(G11),2)=1))"),1203642.0)</f>
        <v>1203642</v>
      </c>
      <c r="D11" s="19">
        <f>C11/B11</f>
        <v>0.02883069525</v>
      </c>
      <c r="E11" s="20">
        <f>IFERROR(__xludf.DUMMYFUNCTION("COUNT(FILTER(G11:BP11,ISNUMBER(G11:BP11),MOD(COLUMN(G11:BP11)-COLUMN(G11),2)=0))
"),25.0)</f>
        <v>25</v>
      </c>
      <c r="F11" s="21">
        <f>B11/E11</f>
        <v>1669945.16</v>
      </c>
      <c r="G11" s="14"/>
      <c r="H11" s="14"/>
      <c r="I11" s="14">
        <v>2365000.0</v>
      </c>
      <c r="J11" s="14">
        <v>317760.0</v>
      </c>
      <c r="K11" s="14">
        <v>810160.0</v>
      </c>
      <c r="L11" s="14">
        <v>152980.0</v>
      </c>
      <c r="M11" s="14"/>
      <c r="N11" s="14"/>
      <c r="O11" s="14">
        <v>750000.0</v>
      </c>
      <c r="P11" s="14">
        <v>13420.0</v>
      </c>
      <c r="Q11" s="14">
        <v>2455160.0</v>
      </c>
      <c r="R11" s="14">
        <v>206130.0</v>
      </c>
      <c r="S11" s="14">
        <v>900000.0</v>
      </c>
      <c r="T11" s="14">
        <v>0.0</v>
      </c>
      <c r="U11" s="14"/>
      <c r="V11" s="14"/>
      <c r="W11" s="14">
        <v>417000.0</v>
      </c>
      <c r="X11" s="14">
        <v>0.0</v>
      </c>
      <c r="Y11" s="14">
        <v>414800.0</v>
      </c>
      <c r="Z11" s="14">
        <v>0.0</v>
      </c>
      <c r="AA11" s="14">
        <v>495000.0</v>
      </c>
      <c r="AB11" s="14">
        <v>0.0</v>
      </c>
      <c r="AC11" s="14">
        <v>792000.0</v>
      </c>
      <c r="AD11" s="14">
        <v>0.0</v>
      </c>
      <c r="AE11" s="14">
        <v>3737000.0</v>
      </c>
      <c r="AF11" s="14">
        <v>0.0</v>
      </c>
      <c r="AG11" s="14">
        <v>2612000.0</v>
      </c>
      <c r="AH11" s="14">
        <v>0.0</v>
      </c>
      <c r="AI11" s="15" t="s">
        <v>9</v>
      </c>
      <c r="AJ11" s="15" t="s">
        <v>9</v>
      </c>
      <c r="AK11" s="14">
        <v>267000.0</v>
      </c>
      <c r="AL11" s="14">
        <v>0.0</v>
      </c>
      <c r="AM11" s="14">
        <v>183150.0</v>
      </c>
      <c r="AN11" s="14">
        <v>0.0</v>
      </c>
      <c r="AO11" s="14">
        <v>774000.0</v>
      </c>
      <c r="AP11" s="14">
        <v>0.0</v>
      </c>
      <c r="AQ11" s="14">
        <v>387000.0</v>
      </c>
      <c r="AR11" s="14">
        <v>0.0</v>
      </c>
      <c r="AS11" s="14">
        <v>8827080.0</v>
      </c>
      <c r="AT11" s="14">
        <v>0.0</v>
      </c>
      <c r="AU11" s="14">
        <v>5675598.0</v>
      </c>
      <c r="AV11" s="14">
        <v>0.0</v>
      </c>
      <c r="AW11" s="14">
        <v>1477000.0</v>
      </c>
      <c r="AX11" s="14">
        <v>0.0</v>
      </c>
      <c r="AY11" s="14">
        <v>382500.0</v>
      </c>
      <c r="AZ11" s="14">
        <v>0.0</v>
      </c>
      <c r="BA11" s="15" t="s">
        <v>9</v>
      </c>
      <c r="BB11" s="15" t="s">
        <v>9</v>
      </c>
      <c r="BC11" s="14">
        <v>1464919.0</v>
      </c>
      <c r="BD11" s="14">
        <v>562.0</v>
      </c>
      <c r="BE11" s="14">
        <v>0.0</v>
      </c>
      <c r="BF11" s="14">
        <v>52820.0</v>
      </c>
      <c r="BG11" s="14">
        <v>3181000.0</v>
      </c>
      <c r="BH11" s="14">
        <v>142760.0</v>
      </c>
      <c r="BI11" s="14">
        <v>2289262.0</v>
      </c>
      <c r="BJ11" s="14">
        <v>0.0</v>
      </c>
      <c r="BK11" s="14"/>
      <c r="BL11" s="14"/>
      <c r="BM11" s="14">
        <v>99000.0</v>
      </c>
      <c r="BN11" s="14">
        <v>256540.0</v>
      </c>
      <c r="BO11" s="14">
        <v>993000.0</v>
      </c>
      <c r="BP11" s="14">
        <v>60670.0</v>
      </c>
    </row>
    <row r="12">
      <c r="A12" s="18"/>
      <c r="B12" s="14"/>
      <c r="C12" s="14"/>
      <c r="D12" s="19"/>
      <c r="E12" s="20"/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5"/>
      <c r="AJ12" s="15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15"/>
      <c r="BB12" s="15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</row>
    <row r="13">
      <c r="A13" s="20" t="s">
        <v>14</v>
      </c>
      <c r="B13" s="14">
        <f>IFERROR(__xludf.DUMMYFUNCTION("SUM(FILTER(G13:BP13,ISNUMBER(G13:BP13),MOD(COLUMN(G13:BP13)-COLUMN(G13),2)=0))"),5306000.0)</f>
        <v>5306000</v>
      </c>
      <c r="C13" s="14">
        <f>IFERROR(__xludf.DUMMYFUNCTION("SUM(FILTER(G13:BP13,ISNUMBER(G13:BP13),MOD(COLUMN(G13:BP13)-COLUMN(G13),2)=1))"),274800.0)</f>
        <v>274800</v>
      </c>
      <c r="D13" s="19">
        <f>C13/B13</f>
        <v>0.05179042593</v>
      </c>
      <c r="E13" s="20">
        <f>IFERROR(__xludf.DUMMYFUNCTION("COUNT(FILTER(G13:BP13,ISNUMBER(G13:BP13),MOD(COLUMN(G13:BP13)-COLUMN(G13),2)=0))
"),14.0)</f>
        <v>14</v>
      </c>
      <c r="F13" s="21">
        <f>B13/E13</f>
        <v>379000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>
        <v>0.0</v>
      </c>
      <c r="AH13" s="14">
        <v>0.0</v>
      </c>
      <c r="AI13" s="15" t="s">
        <v>9</v>
      </c>
      <c r="AJ13" s="15" t="s">
        <v>9</v>
      </c>
      <c r="AK13" s="14">
        <v>1022100.0</v>
      </c>
      <c r="AL13" s="14">
        <v>0.0</v>
      </c>
      <c r="AM13" s="14">
        <v>573150.0</v>
      </c>
      <c r="AN13" s="14">
        <v>0.0</v>
      </c>
      <c r="AO13" s="14">
        <v>604650.0</v>
      </c>
      <c r="AP13" s="14">
        <v>0.0</v>
      </c>
      <c r="AQ13" s="14">
        <v>99000.0</v>
      </c>
      <c r="AR13" s="14">
        <v>17370.0</v>
      </c>
      <c r="AS13" s="14">
        <v>347100.0</v>
      </c>
      <c r="AT13" s="14">
        <v>7110.0</v>
      </c>
      <c r="AU13" s="14">
        <v>285000.0</v>
      </c>
      <c r="AV13" s="14">
        <v>0.0</v>
      </c>
      <c r="AW13" s="14">
        <v>0.0</v>
      </c>
      <c r="AX13" s="14">
        <v>0.0</v>
      </c>
      <c r="AY13" s="14">
        <v>260000.0</v>
      </c>
      <c r="AZ13" s="14">
        <v>0.0</v>
      </c>
      <c r="BA13" s="15" t="s">
        <v>9</v>
      </c>
      <c r="BB13" s="15" t="s">
        <v>9</v>
      </c>
      <c r="BC13" s="14">
        <v>969000.0</v>
      </c>
      <c r="BD13" s="14">
        <v>51590.0</v>
      </c>
      <c r="BE13" s="14">
        <v>658500.0</v>
      </c>
      <c r="BF13" s="14">
        <v>51510.0</v>
      </c>
      <c r="BG13" s="14">
        <v>120000.0</v>
      </c>
      <c r="BH13" s="14">
        <v>29450.0</v>
      </c>
      <c r="BI13" s="14">
        <v>127500.0</v>
      </c>
      <c r="BJ13" s="14">
        <v>69410.0</v>
      </c>
      <c r="BK13" s="14"/>
      <c r="BL13" s="14"/>
      <c r="BM13" s="14">
        <v>240000.0</v>
      </c>
      <c r="BN13" s="14">
        <v>48360.0</v>
      </c>
      <c r="BO13" s="14"/>
      <c r="BP13" s="14"/>
    </row>
    <row r="14">
      <c r="A14" s="18"/>
      <c r="B14" s="14"/>
      <c r="C14" s="14"/>
      <c r="D14" s="19"/>
      <c r="E14" s="20"/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15"/>
      <c r="AJ14" s="15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15"/>
      <c r="BB14" s="15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</row>
    <row r="15">
      <c r="A15" s="20" t="s">
        <v>15</v>
      </c>
      <c r="B15" s="14">
        <f>IFERROR(__xludf.DUMMYFUNCTION("SUM(FILTER(G15:BO15,ISNUMBER(G15:BO15),MOD(COLUMN(G15:BO15)-COLUMN(G15),2)=0))"),3.796011E7)</f>
        <v>37960110</v>
      </c>
      <c r="C15" s="14">
        <f>IFERROR(__xludf.DUMMYFUNCTION("SUM(FILTER(G15:BO15,ISNUMBER(G15:BO15),MOD(COLUMN(G15:BO15)-COLUMN(G15),2)=1))"),1995990.0)</f>
        <v>1995990</v>
      </c>
      <c r="D15" s="19">
        <f>C15/B15</f>
        <v>0.05258124911</v>
      </c>
      <c r="E15" s="20">
        <f>IFERROR(__xludf.DUMMYFUNCTION("COUNT(FILTER(G15:BO15,ISNUMBER(G15:BO15),MOD(COLUMN(G15:BO15)-COLUMN(G15),2)=0))
"),22.0)</f>
        <v>22</v>
      </c>
      <c r="F15" s="21">
        <f>B15/E15</f>
        <v>1725459.545</v>
      </c>
      <c r="G15" s="14"/>
      <c r="H15" s="14"/>
      <c r="I15" s="14">
        <v>0.0</v>
      </c>
      <c r="J15" s="14">
        <v>91240.0</v>
      </c>
      <c r="K15" s="14">
        <v>357000.0</v>
      </c>
      <c r="L15" s="14">
        <v>170120.0</v>
      </c>
      <c r="M15" s="14"/>
      <c r="N15" s="14"/>
      <c r="O15" s="14">
        <v>417000.0</v>
      </c>
      <c r="P15" s="14">
        <v>0.0</v>
      </c>
      <c r="Q15" s="22">
        <v>1980000.0</v>
      </c>
      <c r="R15" s="22">
        <v>167650.0</v>
      </c>
      <c r="S15" s="14">
        <v>1240000.0</v>
      </c>
      <c r="T15" s="14">
        <v>224850.0</v>
      </c>
      <c r="U15" s="14"/>
      <c r="V15" s="14"/>
      <c r="W15" s="14">
        <v>671100.0</v>
      </c>
      <c r="X15" s="14">
        <v>44550.0</v>
      </c>
      <c r="Y15" s="14">
        <v>4702000.0</v>
      </c>
      <c r="Z15" s="14"/>
      <c r="AA15" s="14">
        <v>4428000.0</v>
      </c>
      <c r="AB15" s="14">
        <v>0.0</v>
      </c>
      <c r="AC15" s="14">
        <v>65000.0</v>
      </c>
      <c r="AD15" s="14">
        <v>0.0</v>
      </c>
      <c r="AE15" s="14">
        <v>474000.0</v>
      </c>
      <c r="AF15" s="14">
        <v>0.0</v>
      </c>
      <c r="AG15" s="14">
        <v>427000.0</v>
      </c>
      <c r="AH15" s="14">
        <v>0.0</v>
      </c>
      <c r="AI15" s="15" t="s">
        <v>9</v>
      </c>
      <c r="AJ15" s="15" t="s">
        <v>9</v>
      </c>
      <c r="AK15" s="14">
        <v>9183700.0</v>
      </c>
      <c r="AL15" s="14">
        <v>440600.0</v>
      </c>
      <c r="AM15" s="14">
        <v>434274.0</v>
      </c>
      <c r="AN15" s="14">
        <v>0.0</v>
      </c>
      <c r="AO15" s="14">
        <v>392360.0</v>
      </c>
      <c r="AP15" s="14">
        <v>0.0</v>
      </c>
      <c r="AQ15" s="14">
        <v>2300700.0</v>
      </c>
      <c r="AR15" s="14">
        <v>32120.0</v>
      </c>
      <c r="AS15" s="14"/>
      <c r="AT15" s="14"/>
      <c r="AU15" s="14">
        <v>729640.0</v>
      </c>
      <c r="AV15" s="14">
        <v>182880.0</v>
      </c>
      <c r="AW15" s="14"/>
      <c r="AX15" s="14"/>
      <c r="AY15" s="22"/>
      <c r="AZ15" s="22"/>
      <c r="BA15" s="15" t="s">
        <v>9</v>
      </c>
      <c r="BB15" s="15" t="s">
        <v>9</v>
      </c>
      <c r="BC15" s="14">
        <v>310200.0</v>
      </c>
      <c r="BD15" s="14">
        <v>364540.0</v>
      </c>
      <c r="BE15" s="14">
        <v>1226100.0</v>
      </c>
      <c r="BF15" s="14">
        <v>112740.0</v>
      </c>
      <c r="BG15" s="14">
        <v>2226100.0</v>
      </c>
      <c r="BH15" s="14">
        <v>13540.0</v>
      </c>
      <c r="BI15" s="14">
        <v>1075950.0</v>
      </c>
      <c r="BJ15" s="14">
        <v>105690.0</v>
      </c>
      <c r="BK15" s="14"/>
      <c r="BL15" s="14"/>
      <c r="BM15" s="14">
        <v>255000.0</v>
      </c>
      <c r="BN15" s="14">
        <v>45470.0</v>
      </c>
      <c r="BO15" s="14">
        <v>5064986.0</v>
      </c>
      <c r="BP15" s="24">
        <v>228240.0</v>
      </c>
    </row>
    <row r="16">
      <c r="A16" s="18"/>
      <c r="B16" s="14"/>
      <c r="C16" s="14"/>
      <c r="D16" s="19"/>
      <c r="E16" s="20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15"/>
      <c r="AJ16" s="15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14">
        <v>288000.0</v>
      </c>
      <c r="AZ16" s="14">
        <v>124590.0</v>
      </c>
      <c r="BA16" s="15"/>
      <c r="BB16" s="15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</row>
    <row r="17">
      <c r="A17" s="20" t="s">
        <v>16</v>
      </c>
      <c r="B17" s="14">
        <f>IFERROR(__xludf.DUMMYFUNCTION("SUM(FILTER(G17:BP17,ISNUMBER(G17:BP17),MOD(COLUMN(G17:BP17)-COLUMN(G17),2)=0))"),7476390.0)</f>
        <v>7476390</v>
      </c>
      <c r="C17" s="14">
        <f>IFERROR(__xludf.DUMMYFUNCTION("SUM(FILTER(G17:BP17,ISNUMBER(G17:BP17),MOD(COLUMN(G17:BP17)-COLUMN(G17),2)=1))"),276300.0)</f>
        <v>276300</v>
      </c>
      <c r="D17" s="19">
        <f>C17/B17</f>
        <v>0.03695633855</v>
      </c>
      <c r="E17" s="20">
        <f>IFERROR(__xludf.DUMMYFUNCTION("COUNT(FILTER(G17:BP17,ISNUMBER(G17:BP17),MOD(COLUMN(G17:BP17)-COLUMN(G17),2)=0))
"),10.0)</f>
        <v>10</v>
      </c>
      <c r="F17" s="21">
        <f>B17/E17</f>
        <v>747639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>
        <v>0.0</v>
      </c>
      <c r="AB17" s="14">
        <v>0.0</v>
      </c>
      <c r="AC17" s="14">
        <v>595000.0</v>
      </c>
      <c r="AD17" s="14">
        <v>0.0</v>
      </c>
      <c r="AE17" s="14">
        <v>1076000.0</v>
      </c>
      <c r="AF17" s="14">
        <v>0.0</v>
      </c>
      <c r="AG17" s="14">
        <v>1509000.0</v>
      </c>
      <c r="AH17" s="14">
        <v>82340.0</v>
      </c>
      <c r="AI17" s="15" t="s">
        <v>9</v>
      </c>
      <c r="AJ17" s="15" t="s">
        <v>9</v>
      </c>
      <c r="AK17" s="14">
        <v>641000.0</v>
      </c>
      <c r="AL17" s="14">
        <v>73700.0</v>
      </c>
      <c r="AM17" s="14">
        <v>135000.0</v>
      </c>
      <c r="AN17" s="14">
        <v>0.0</v>
      </c>
      <c r="AO17" s="14">
        <v>1352310.0</v>
      </c>
      <c r="AP17" s="14">
        <v>0.0</v>
      </c>
      <c r="AQ17" s="14">
        <v>278000.0</v>
      </c>
      <c r="AR17" s="14">
        <v>5530.0</v>
      </c>
      <c r="AS17" s="14">
        <v>649130.0</v>
      </c>
      <c r="AT17" s="14">
        <v>114730.0</v>
      </c>
      <c r="AU17" s="14">
        <v>1240950.0</v>
      </c>
      <c r="AV17" s="14">
        <v>0.0</v>
      </c>
      <c r="AW17" s="14"/>
      <c r="AX17" s="14"/>
      <c r="AY17" s="14"/>
      <c r="AZ17" s="14"/>
      <c r="BA17" s="15" t="s">
        <v>9</v>
      </c>
      <c r="BB17" s="15" t="s">
        <v>9</v>
      </c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>
      <c r="A18" s="18"/>
      <c r="B18" s="14"/>
      <c r="C18" s="14"/>
      <c r="D18" s="19"/>
      <c r="E18" s="20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5"/>
      <c r="AJ18" s="15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15"/>
      <c r="BB18" s="15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</row>
    <row r="19">
      <c r="A19" s="20" t="s">
        <v>17</v>
      </c>
      <c r="B19" s="14">
        <f>IFERROR(__xludf.DUMMYFUNCTION("SUM(FILTER(G19:BP19,ISNUMBER(G19:BP19),MOD(COLUMN(G19:BP19)-COLUMN(G19),2)=0))"),2.517405E7)</f>
        <v>25174050</v>
      </c>
      <c r="C19" s="14">
        <f>IFERROR(__xludf.DUMMYFUNCTION("SUM(FILTER(G19:BP19,ISNUMBER(G19:BP19),MOD(COLUMN(G19:BP19)-COLUMN(G19),2)=1))"),1442493.0)</f>
        <v>1442493</v>
      </c>
      <c r="D19" s="19">
        <f>C19/B19</f>
        <v>0.05730079189</v>
      </c>
      <c r="E19" s="20">
        <f>IFERROR(__xludf.DUMMYFUNCTION("COUNT(FILTER(G19:BP19,ISNUMBER(G19:BP19),MOD(COLUMN(G19:BP19)-COLUMN(G19),2)=0))
"),25.0)</f>
        <v>25</v>
      </c>
      <c r="F19" s="21">
        <f>B19/E19</f>
        <v>1006962</v>
      </c>
      <c r="G19" s="14"/>
      <c r="H19" s="14"/>
      <c r="I19" s="14">
        <v>682000.0</v>
      </c>
      <c r="J19" s="14">
        <v>3430.0</v>
      </c>
      <c r="K19" s="14">
        <v>985000.0</v>
      </c>
      <c r="L19" s="14">
        <v>108140.0</v>
      </c>
      <c r="M19" s="14"/>
      <c r="N19" s="14"/>
      <c r="O19" s="14">
        <v>0.0</v>
      </c>
      <c r="P19" s="14">
        <v>53260.0</v>
      </c>
      <c r="Q19" s="14">
        <v>631000.0</v>
      </c>
      <c r="R19" s="14">
        <v>272560.0</v>
      </c>
      <c r="S19" s="14">
        <v>0.0</v>
      </c>
      <c r="T19" s="14">
        <v>0.0</v>
      </c>
      <c r="U19" s="14"/>
      <c r="V19" s="14"/>
      <c r="W19" s="14">
        <v>960000.0</v>
      </c>
      <c r="X19" s="14">
        <v>33210.0</v>
      </c>
      <c r="Y19" s="14">
        <v>0.0</v>
      </c>
      <c r="Z19" s="14">
        <v>93620.0</v>
      </c>
      <c r="AA19" s="14">
        <v>297000.0</v>
      </c>
      <c r="AB19" s="14">
        <v>0.0</v>
      </c>
      <c r="AC19" s="14">
        <v>209000.0</v>
      </c>
      <c r="AD19" s="14">
        <v>11110.0</v>
      </c>
      <c r="AE19" s="14">
        <v>391400.0</v>
      </c>
      <c r="AF19" s="14">
        <v>0.0</v>
      </c>
      <c r="AG19" s="14">
        <v>439000.0</v>
      </c>
      <c r="AH19" s="14">
        <v>95490.0</v>
      </c>
      <c r="AI19" s="15" t="s">
        <v>9</v>
      </c>
      <c r="AJ19" s="15" t="s">
        <v>9</v>
      </c>
      <c r="AK19" s="14">
        <v>76400.0</v>
      </c>
      <c r="AL19" s="14">
        <v>230300.0</v>
      </c>
      <c r="AM19" s="14">
        <v>1197300.0</v>
      </c>
      <c r="AN19" s="14">
        <v>150170.0</v>
      </c>
      <c r="AO19" s="14">
        <v>2082000.0</v>
      </c>
      <c r="AP19" s="14">
        <v>0.0</v>
      </c>
      <c r="AQ19" s="14">
        <v>1355000.0</v>
      </c>
      <c r="AR19" s="14">
        <v>112090.0</v>
      </c>
      <c r="AS19" s="14">
        <v>1823000.0</v>
      </c>
      <c r="AT19" s="14">
        <v>0.0</v>
      </c>
      <c r="AU19" s="14">
        <v>350000.0</v>
      </c>
      <c r="AV19" s="14">
        <v>0.0</v>
      </c>
      <c r="AW19" s="14">
        <v>105000.0</v>
      </c>
      <c r="AX19" s="14">
        <v>0.0</v>
      </c>
      <c r="AY19" s="14">
        <v>1555200.0</v>
      </c>
      <c r="AZ19" s="14">
        <v>0.0</v>
      </c>
      <c r="BA19" s="15" t="s">
        <v>9</v>
      </c>
      <c r="BB19" s="15" t="s">
        <v>9</v>
      </c>
      <c r="BC19" s="14">
        <v>1353200.0</v>
      </c>
      <c r="BD19" s="14">
        <v>27640.0</v>
      </c>
      <c r="BE19" s="14">
        <v>1080300.0</v>
      </c>
      <c r="BF19" s="14">
        <v>50460.0</v>
      </c>
      <c r="BG19" s="14">
        <v>1338500.0</v>
      </c>
      <c r="BH19" s="14">
        <v>75890.0</v>
      </c>
      <c r="BI19" s="14">
        <v>3340000.0</v>
      </c>
      <c r="BJ19" s="14">
        <v>95440.0</v>
      </c>
      <c r="BK19" s="14"/>
      <c r="BL19" s="14"/>
      <c r="BM19" s="14">
        <v>1612500.0</v>
      </c>
      <c r="BN19" s="14">
        <v>263.0</v>
      </c>
      <c r="BO19" s="14">
        <v>3311250.0</v>
      </c>
      <c r="BP19" s="14">
        <v>29420.0</v>
      </c>
    </row>
    <row r="20">
      <c r="A20" s="25"/>
      <c r="B20" s="26"/>
      <c r="C20" s="26"/>
      <c r="D20" s="25"/>
      <c r="E20" s="25"/>
      <c r="F20" s="27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5"/>
      <c r="AJ20" s="15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15"/>
      <c r="BB20" s="15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</row>
    <row r="21">
      <c r="A21" s="28" t="s">
        <v>18</v>
      </c>
      <c r="B21" s="14">
        <f>IFERROR(__xludf.DUMMYFUNCTION("SUM(FILTER(G21:BP21,ISNUMBER(G21:BP21),MOD(COLUMN(G21:BP21)-COLUMN(G21),2)=0))"),5.084004E7)</f>
        <v>50840040</v>
      </c>
      <c r="C21" s="14">
        <f>IFERROR(__xludf.DUMMYFUNCTION("SUM(FILTER(G21:BP21,ISNUMBER(G21:BP21),MOD(COLUMN(G21:BP21)-COLUMN(G21),2)=1))"),2156536.0)</f>
        <v>2156536</v>
      </c>
      <c r="D21" s="19">
        <f>C21/B21</f>
        <v>0.04241806261</v>
      </c>
      <c r="E21" s="20">
        <f>IFERROR(__xludf.DUMMYFUNCTION("COUNT(FILTER(G21:BP21,ISNUMBER(G21:BP21),MOD(COLUMN(G21:BP21)-COLUMN(G21),2)=0))
"),25.0)</f>
        <v>25</v>
      </c>
      <c r="F21" s="21">
        <f>B21/E21</f>
        <v>2033601.6</v>
      </c>
      <c r="G21" s="22"/>
      <c r="H21" s="22"/>
      <c r="I21" s="22"/>
      <c r="J21" s="22"/>
      <c r="K21" s="22">
        <v>595000.0</v>
      </c>
      <c r="L21" s="22">
        <v>59340.0</v>
      </c>
      <c r="M21" s="22">
        <v>1.2078E7</v>
      </c>
      <c r="N21" s="22">
        <v>1970.0</v>
      </c>
      <c r="O21" s="22">
        <v>643000.0</v>
      </c>
      <c r="P21" s="22">
        <v>0.0</v>
      </c>
      <c r="Q21" s="22">
        <v>2184000.0</v>
      </c>
      <c r="R21" s="22">
        <v>204290.0</v>
      </c>
      <c r="S21" s="22">
        <v>1287000.0</v>
      </c>
      <c r="T21" s="22">
        <v>0.0</v>
      </c>
      <c r="U21" s="22"/>
      <c r="V21" s="22"/>
      <c r="W21" s="22">
        <v>1051000.0</v>
      </c>
      <c r="X21" s="22">
        <v>10180.0</v>
      </c>
      <c r="Y21" s="22">
        <v>2364000.0</v>
      </c>
      <c r="Z21" s="22">
        <v>236420.0</v>
      </c>
      <c r="AA21" s="22">
        <v>2070000.0</v>
      </c>
      <c r="AB21" s="22">
        <v>2330.0</v>
      </c>
      <c r="AC21" s="22">
        <v>4000350.0</v>
      </c>
      <c r="AD21" s="22">
        <v>169940.0</v>
      </c>
      <c r="AE21" s="22">
        <v>3388380.0</v>
      </c>
      <c r="AF21" s="22">
        <v>106830.0</v>
      </c>
      <c r="AG21" s="22">
        <v>2458170.0</v>
      </c>
      <c r="AH21" s="22">
        <v>24470.0</v>
      </c>
      <c r="AI21" s="15" t="s">
        <v>9</v>
      </c>
      <c r="AJ21" s="15" t="s">
        <v>9</v>
      </c>
      <c r="AK21" s="22">
        <v>1778900.0</v>
      </c>
      <c r="AL21" s="22">
        <v>239250.0</v>
      </c>
      <c r="AM21" s="22">
        <v>2109000.0</v>
      </c>
      <c r="AN21" s="22">
        <v>59800.0</v>
      </c>
      <c r="AO21" s="22">
        <v>2189850.0</v>
      </c>
      <c r="AP21" s="22">
        <v>195140.0</v>
      </c>
      <c r="AQ21" s="22">
        <v>424900.0</v>
      </c>
      <c r="AR21" s="22">
        <v>136040.0</v>
      </c>
      <c r="AS21" s="22">
        <v>2009500.0</v>
      </c>
      <c r="AT21" s="22">
        <v>0.0</v>
      </c>
      <c r="AU21" s="22">
        <v>1653300.0</v>
      </c>
      <c r="AV21" s="22">
        <v>149460.0</v>
      </c>
      <c r="AW21" s="22">
        <v>3058200.0</v>
      </c>
      <c r="AX21" s="22">
        <v>0.0</v>
      </c>
      <c r="AY21" s="22">
        <v>485550.0</v>
      </c>
      <c r="AZ21" s="22">
        <v>125120.0</v>
      </c>
      <c r="BA21" s="15" t="s">
        <v>9</v>
      </c>
      <c r="BB21" s="15" t="s">
        <v>9</v>
      </c>
      <c r="BC21" s="22">
        <v>150000.0</v>
      </c>
      <c r="BD21" s="22">
        <v>87650.0</v>
      </c>
      <c r="BE21" s="22">
        <v>1271940.0</v>
      </c>
      <c r="BF21" s="22">
        <v>76210.0</v>
      </c>
      <c r="BG21" s="22">
        <v>785000.0</v>
      </c>
      <c r="BH21" s="22">
        <v>118050.0</v>
      </c>
      <c r="BI21" s="22">
        <v>380000.0</v>
      </c>
      <c r="BJ21" s="22">
        <v>109630.0</v>
      </c>
      <c r="BK21" s="22">
        <v>852000.0</v>
      </c>
      <c r="BL21" s="22">
        <v>6306.0</v>
      </c>
      <c r="BM21" s="22">
        <v>1573000.0</v>
      </c>
      <c r="BN21" s="22">
        <v>38110.0</v>
      </c>
      <c r="BO21" s="22"/>
      <c r="BP21" s="22"/>
    </row>
    <row r="22">
      <c r="A22" s="18"/>
      <c r="B22" s="14"/>
      <c r="C22" s="14"/>
      <c r="D22" s="19"/>
      <c r="E22" s="20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5"/>
      <c r="AJ22" s="15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15"/>
      <c r="BB22" s="15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</row>
    <row r="23">
      <c r="A23" s="28" t="s">
        <v>19</v>
      </c>
      <c r="B23" s="14">
        <f>IFERROR(__xludf.DUMMYFUNCTION("SUM(FILTER(G23:BP23,ISNUMBER(G23:BP23),MOD(COLUMN(G23:BP23)-COLUMN(G23),2)=0))"),2.445383E7)</f>
        <v>24453830</v>
      </c>
      <c r="C23" s="14">
        <f>IFERROR(__xludf.DUMMYFUNCTION("SUM(FILTER(G23:BP23,ISNUMBER(G23:BP23),MOD(COLUMN(G23:BP23)-COLUMN(G23),2)=1))"),1712090.0)</f>
        <v>1712090</v>
      </c>
      <c r="D23" s="19">
        <f>C23/B23</f>
        <v>0.07001316358</v>
      </c>
      <c r="E23" s="20">
        <f>IFERROR(__xludf.DUMMYFUNCTION("COUNT(FILTER(G23:BP23,ISNUMBER(G23:BP23),MOD(COLUMN(G23:BP23)-COLUMN(G23),2)=0))
"),25.0)</f>
        <v>25</v>
      </c>
      <c r="F23" s="21">
        <f>B23/E23</f>
        <v>978153.2</v>
      </c>
      <c r="G23" s="22"/>
      <c r="H23" s="22"/>
      <c r="I23" s="22">
        <v>3540220.0</v>
      </c>
      <c r="J23" s="22">
        <v>136890.0</v>
      </c>
      <c r="K23" s="22">
        <v>865000.0</v>
      </c>
      <c r="L23" s="22">
        <v>80170.0</v>
      </c>
      <c r="M23" s="22">
        <v>1104000.0</v>
      </c>
      <c r="N23" s="22">
        <v>121840.0</v>
      </c>
      <c r="O23" s="22">
        <v>556000.0</v>
      </c>
      <c r="P23" s="22">
        <v>84370.0</v>
      </c>
      <c r="Q23" s="22">
        <v>675000.0</v>
      </c>
      <c r="R23" s="22">
        <v>103070.0</v>
      </c>
      <c r="S23" s="22">
        <v>585000.0</v>
      </c>
      <c r="T23" s="22">
        <v>8330.0</v>
      </c>
      <c r="U23" s="22"/>
      <c r="V23" s="22"/>
      <c r="W23" s="22">
        <v>1244000.0</v>
      </c>
      <c r="X23" s="22">
        <v>7650.0</v>
      </c>
      <c r="Y23" s="22">
        <v>907000.0</v>
      </c>
      <c r="Z23" s="22">
        <v>0.0</v>
      </c>
      <c r="AA23" s="22">
        <v>806000.0</v>
      </c>
      <c r="AB23" s="22">
        <v>0.0</v>
      </c>
      <c r="AC23" s="22"/>
      <c r="AD23" s="22"/>
      <c r="AE23" s="22">
        <v>297000.0</v>
      </c>
      <c r="AF23" s="22">
        <v>0.0</v>
      </c>
      <c r="AG23" s="22">
        <v>1386000.0</v>
      </c>
      <c r="AH23" s="22">
        <v>3420.0</v>
      </c>
      <c r="AI23" s="15" t="s">
        <v>9</v>
      </c>
      <c r="AJ23" s="15" t="s">
        <v>9</v>
      </c>
      <c r="AK23" s="22">
        <v>931000.0</v>
      </c>
      <c r="AL23" s="22">
        <v>7630.0</v>
      </c>
      <c r="AM23" s="22">
        <v>588700.0</v>
      </c>
      <c r="AN23" s="22">
        <v>78250.0</v>
      </c>
      <c r="AO23" s="22">
        <v>602960.0</v>
      </c>
      <c r="AP23" s="22">
        <v>0.0</v>
      </c>
      <c r="AQ23" s="22">
        <v>535000.0</v>
      </c>
      <c r="AR23" s="22">
        <v>112360.0</v>
      </c>
      <c r="AS23" s="22">
        <v>1019820.0</v>
      </c>
      <c r="AT23" s="22">
        <v>116570.0</v>
      </c>
      <c r="AU23" s="22">
        <v>528000.0</v>
      </c>
      <c r="AV23" s="22">
        <v>87890.0</v>
      </c>
      <c r="AW23" s="22">
        <v>1863000.0</v>
      </c>
      <c r="AX23" s="22">
        <v>0.0</v>
      </c>
      <c r="AY23" s="22">
        <v>528000.0</v>
      </c>
      <c r="AZ23" s="22">
        <v>73750.0</v>
      </c>
      <c r="BA23" s="15" t="s">
        <v>9</v>
      </c>
      <c r="BB23" s="15" t="s">
        <v>9</v>
      </c>
      <c r="BC23" s="22">
        <v>2652670.0</v>
      </c>
      <c r="BD23" s="22">
        <v>98960.0</v>
      </c>
      <c r="BE23" s="22">
        <v>585880.0</v>
      </c>
      <c r="BF23" s="22">
        <v>128510.0</v>
      </c>
      <c r="BG23" s="22">
        <v>308000.0</v>
      </c>
      <c r="BH23" s="22">
        <v>136710.0</v>
      </c>
      <c r="BI23" s="22">
        <v>637080.0</v>
      </c>
      <c r="BJ23" s="22">
        <v>109110.0</v>
      </c>
      <c r="BK23" s="22">
        <v>520500.0</v>
      </c>
      <c r="BL23" s="22">
        <v>79930.0</v>
      </c>
      <c r="BM23" s="22">
        <v>1188000.0</v>
      </c>
      <c r="BN23" s="22">
        <v>136680.0</v>
      </c>
      <c r="BO23" s="22"/>
      <c r="BP23" s="22"/>
    </row>
    <row r="24">
      <c r="A24" s="18"/>
      <c r="B24" s="14"/>
      <c r="C24" s="14"/>
      <c r="D24" s="19"/>
      <c r="E24" s="20"/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5"/>
      <c r="AJ24" s="15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15"/>
      <c r="BB24" s="15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</row>
    <row r="25">
      <c r="A25" s="28" t="s">
        <v>20</v>
      </c>
      <c r="B25" s="14">
        <f>IFERROR(__xludf.DUMMYFUNCTION("SUM(FILTER(G25:BP25,ISNUMBER(G25:BP25),MOD(COLUMN(G25:BP25)-COLUMN(G25),2)=0))"),5.05921E7)</f>
        <v>50592100</v>
      </c>
      <c r="C25" s="14">
        <f>IFERROR(__xludf.DUMMYFUNCTION("SUM(FILTER(G25:BP25,ISNUMBER(G25:BP25),MOD(COLUMN(G25:BP25)-COLUMN(G25),2)=1))"),887614.0)</f>
        <v>887614</v>
      </c>
      <c r="D25" s="19">
        <f>C25/B25</f>
        <v>0.01754451782</v>
      </c>
      <c r="E25" s="20">
        <f>IFERROR(__xludf.DUMMYFUNCTION("COUNT(FILTER(G25:BP25,ISNUMBER(G25:BP25),MOD(COLUMN(G25:BP25)-COLUMN(G25),2)=0))
"),23.0)</f>
        <v>23</v>
      </c>
      <c r="F25" s="21">
        <f>B25/E25</f>
        <v>2199656.522</v>
      </c>
      <c r="G25" s="22"/>
      <c r="H25" s="22"/>
      <c r="I25" s="22">
        <v>2345000.0</v>
      </c>
      <c r="J25" s="22">
        <v>90730.0</v>
      </c>
      <c r="K25" s="22">
        <v>2283000.0</v>
      </c>
      <c r="L25" s="22">
        <v>87820.0</v>
      </c>
      <c r="M25" s="22">
        <v>3720000.0</v>
      </c>
      <c r="N25" s="22">
        <v>93880.0</v>
      </c>
      <c r="O25" s="22">
        <v>2778000.0</v>
      </c>
      <c r="P25" s="22">
        <v>103610.0</v>
      </c>
      <c r="Q25" s="22">
        <v>2811600.0</v>
      </c>
      <c r="R25" s="22">
        <v>0.0</v>
      </c>
      <c r="S25" s="22">
        <v>1665000.0</v>
      </c>
      <c r="T25" s="22">
        <v>105970.0</v>
      </c>
      <c r="U25" s="22"/>
      <c r="V25" s="22"/>
      <c r="W25" s="22">
        <v>2475000.0</v>
      </c>
      <c r="X25" s="22">
        <v>16880.0</v>
      </c>
      <c r="Y25" s="22">
        <v>3131000.0</v>
      </c>
      <c r="Z25" s="22">
        <v>135480.0</v>
      </c>
      <c r="AA25" s="22">
        <v>0.0</v>
      </c>
      <c r="AB25" s="22">
        <v>15290.0</v>
      </c>
      <c r="AC25" s="22">
        <v>763450.0</v>
      </c>
      <c r="AD25" s="22">
        <v>0.0</v>
      </c>
      <c r="AE25" s="22">
        <v>270000.0</v>
      </c>
      <c r="AF25" s="22">
        <v>0.0</v>
      </c>
      <c r="AG25" s="22">
        <v>1518000.0</v>
      </c>
      <c r="AH25" s="22">
        <v>0.0</v>
      </c>
      <c r="AI25" s="15" t="s">
        <v>9</v>
      </c>
      <c r="AJ25" s="15" t="s">
        <v>9</v>
      </c>
      <c r="AK25" s="22">
        <v>3948750.0</v>
      </c>
      <c r="AL25" s="22">
        <v>19135.0</v>
      </c>
      <c r="AM25" s="22">
        <v>1158200.0</v>
      </c>
      <c r="AN25" s="22">
        <v>48740.0</v>
      </c>
      <c r="AO25" s="22">
        <v>666000.0</v>
      </c>
      <c r="AP25" s="22">
        <v>137210.0</v>
      </c>
      <c r="AQ25" s="22">
        <v>5537000.0</v>
      </c>
      <c r="AR25" s="22">
        <v>0.0</v>
      </c>
      <c r="AS25" s="22">
        <v>2798000.0</v>
      </c>
      <c r="AT25" s="22">
        <v>0.0</v>
      </c>
      <c r="AU25" s="22">
        <v>2089150.0</v>
      </c>
      <c r="AV25" s="22">
        <v>0.0</v>
      </c>
      <c r="AW25" s="22">
        <v>2281500.0</v>
      </c>
      <c r="AX25" s="22">
        <v>0.0</v>
      </c>
      <c r="AY25" s="22">
        <v>1816050.0</v>
      </c>
      <c r="AZ25" s="22">
        <v>0.0</v>
      </c>
      <c r="BA25" s="15" t="s">
        <v>9</v>
      </c>
      <c r="BB25" s="15" t="s">
        <v>9</v>
      </c>
      <c r="BC25" s="22"/>
      <c r="BD25" s="22"/>
      <c r="BE25" s="22">
        <v>5610400.0</v>
      </c>
      <c r="BF25" s="22">
        <v>0.0</v>
      </c>
      <c r="BG25" s="22">
        <v>540000.0</v>
      </c>
      <c r="BH25" s="22">
        <v>32080.0</v>
      </c>
      <c r="BI25" s="22">
        <v>387000.0</v>
      </c>
      <c r="BJ25" s="22">
        <v>789.0</v>
      </c>
      <c r="BK25" s="22"/>
      <c r="BL25" s="22"/>
      <c r="BM25" s="22"/>
      <c r="BN25" s="22"/>
      <c r="BO25" s="22"/>
      <c r="BP25" s="22"/>
    </row>
    <row r="26">
      <c r="A26" s="25"/>
      <c r="B26" s="26"/>
      <c r="C26" s="26"/>
      <c r="D26" s="25"/>
      <c r="E26" s="25"/>
      <c r="F26" s="27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9"/>
      <c r="AG26" s="26"/>
      <c r="AH26" s="26"/>
      <c r="AI26" s="15"/>
      <c r="AJ26" s="15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15"/>
      <c r="BB26" s="15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</row>
    <row r="27">
      <c r="A27" s="20" t="s">
        <v>21</v>
      </c>
      <c r="B27" s="14">
        <f>IFERROR(__xludf.DUMMYFUNCTION("SUM(FILTER(G27:BP27,ISNUMBER(G27:BP27),MOD(COLUMN(G27:BP27)-COLUMN(G27),2)=0))"),1941800.0)</f>
        <v>1941800</v>
      </c>
      <c r="C27" s="14">
        <f>IFERROR(__xludf.DUMMYFUNCTION("SUM(FILTER(G27:BP27,ISNUMBER(G27:BP27),MOD(COLUMN(G27:BP27)-COLUMN(G27),2)=1))"),0.0)</f>
        <v>0</v>
      </c>
      <c r="D27" s="19">
        <f>C27/B27</f>
        <v>0</v>
      </c>
      <c r="E27" s="20">
        <f>IFERROR(__xludf.DUMMYFUNCTION("COUNT(FILTER(G27:BP27,ISNUMBER(G27:BP27),MOD(COLUMN(G27:BP27)-COLUMN(G27),2)=0))
"),7.0)</f>
        <v>7</v>
      </c>
      <c r="F27" s="21">
        <f>B27/E27</f>
        <v>277400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>
        <v>0.0</v>
      </c>
      <c r="AF27" s="14">
        <v>0.0</v>
      </c>
      <c r="AG27" s="14">
        <v>180000.0</v>
      </c>
      <c r="AH27" s="14">
        <v>0.0</v>
      </c>
      <c r="AI27" s="15" t="s">
        <v>9</v>
      </c>
      <c r="AJ27" s="15" t="s">
        <v>9</v>
      </c>
      <c r="AK27" s="14">
        <v>1452800.0</v>
      </c>
      <c r="AL27" s="14">
        <v>0.0</v>
      </c>
      <c r="AM27" s="14">
        <v>210000.0</v>
      </c>
      <c r="AN27" s="14">
        <v>0.0</v>
      </c>
      <c r="AO27" s="14">
        <v>99000.0</v>
      </c>
      <c r="AP27" s="14">
        <v>0.0</v>
      </c>
      <c r="AQ27" s="14">
        <v>0.0</v>
      </c>
      <c r="AR27" s="14">
        <v>0.0</v>
      </c>
      <c r="AS27" s="14">
        <v>0.0</v>
      </c>
      <c r="AT27" s="14">
        <v>0.0</v>
      </c>
      <c r="AU27" s="14"/>
      <c r="AV27" s="14"/>
      <c r="AW27" s="14"/>
      <c r="AX27" s="14"/>
      <c r="AY27" s="14"/>
      <c r="AZ27" s="14"/>
      <c r="BA27" s="15" t="s">
        <v>9</v>
      </c>
      <c r="BB27" s="15" t="s">
        <v>9</v>
      </c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</row>
    <row r="28">
      <c r="A28" s="25"/>
      <c r="B28" s="26"/>
      <c r="C28" s="26"/>
      <c r="D28" s="25"/>
      <c r="E28" s="25"/>
      <c r="F28" s="27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5"/>
      <c r="AJ28" s="15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15"/>
      <c r="BB28" s="15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</row>
    <row r="29">
      <c r="A29" s="28" t="s">
        <v>22</v>
      </c>
      <c r="B29" s="14">
        <f>IFERROR(__xludf.DUMMYFUNCTION("SUM(FILTER(G29:BP29,ISNUMBER(G29:BP29),MOD(COLUMN(G29:BP29)-COLUMN(G29),2)=0))"),290000.0)</f>
        <v>290000</v>
      </c>
      <c r="C29" s="14">
        <f>IFERROR(__xludf.DUMMYFUNCTION("SUM(FILTER(G29:BP29,ISNUMBER(G29:BP29),MOD(COLUMN(G29:BP29)-COLUMN(G29),2)=1))"),0.0)</f>
        <v>0</v>
      </c>
      <c r="D29" s="19">
        <f>C29/B29</f>
        <v>0</v>
      </c>
      <c r="E29" s="20">
        <f>IFERROR(__xludf.DUMMYFUNCTION("COUNT(FILTER(G29:BP29,ISNUMBER(G29:BP29),MOD(COLUMN(G29:BP29)-COLUMN(G29),2)=0))
"),11.0)</f>
        <v>11</v>
      </c>
      <c r="F29" s="21">
        <f>B29/E29</f>
        <v>26363.63636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>
        <v>290000.0</v>
      </c>
      <c r="X29" s="22">
        <v>0.0</v>
      </c>
      <c r="Y29" s="22">
        <v>0.0</v>
      </c>
      <c r="Z29" s="22">
        <v>0.0</v>
      </c>
      <c r="AA29" s="30">
        <v>0.0</v>
      </c>
      <c r="AB29" s="22">
        <v>0.0</v>
      </c>
      <c r="AC29" s="22">
        <v>0.0</v>
      </c>
      <c r="AD29" s="22">
        <v>0.0</v>
      </c>
      <c r="AE29" s="22">
        <v>0.0</v>
      </c>
      <c r="AF29" s="22">
        <v>0.0</v>
      </c>
      <c r="AG29" s="22">
        <v>0.0</v>
      </c>
      <c r="AH29" s="22">
        <v>0.0</v>
      </c>
      <c r="AI29" s="15" t="s">
        <v>9</v>
      </c>
      <c r="AJ29" s="15" t="s">
        <v>9</v>
      </c>
      <c r="AK29" s="22">
        <v>0.0</v>
      </c>
      <c r="AL29" s="22">
        <v>0.0</v>
      </c>
      <c r="AM29" s="22">
        <v>0.0</v>
      </c>
      <c r="AN29" s="22">
        <v>0.0</v>
      </c>
      <c r="AO29" s="22">
        <v>0.0</v>
      </c>
      <c r="AP29" s="22">
        <v>0.0</v>
      </c>
      <c r="AQ29" s="22">
        <v>0.0</v>
      </c>
      <c r="AR29" s="22">
        <v>0.0</v>
      </c>
      <c r="AS29" s="22">
        <v>0.0</v>
      </c>
      <c r="AT29" s="22">
        <v>0.0</v>
      </c>
      <c r="AU29" s="22"/>
      <c r="AV29" s="22"/>
      <c r="AW29" s="22"/>
      <c r="AX29" s="22"/>
      <c r="AY29" s="22"/>
      <c r="AZ29" s="22"/>
      <c r="BA29" s="15" t="s">
        <v>9</v>
      </c>
      <c r="BB29" s="15" t="s">
        <v>9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</row>
    <row r="30">
      <c r="A30" s="18"/>
      <c r="B30" s="14"/>
      <c r="C30" s="14"/>
      <c r="D30" s="19"/>
      <c r="E30" s="20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15"/>
      <c r="AJ30" s="15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15"/>
      <c r="BB30" s="15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</row>
    <row r="31">
      <c r="A31" s="28" t="s">
        <v>23</v>
      </c>
      <c r="B31" s="14">
        <f>IFERROR(__xludf.DUMMYFUNCTION("SUM(FILTER(G31:BP31,ISNUMBER(G31:BP31),MOD(COLUMN(G31:BP31)-COLUMN(G31),2)=0))"),3.62006E7)</f>
        <v>36200600</v>
      </c>
      <c r="C31" s="14">
        <f>IFERROR(__xludf.DUMMYFUNCTION("SUM(FILTER(G31:BP31,ISNUMBER(G31:BP31),MOD(COLUMN(G31:BP31)-COLUMN(G31),2)=1))"),1070870.0)</f>
        <v>1070870</v>
      </c>
      <c r="D31" s="19">
        <f>C31/B31</f>
        <v>0.0295815539</v>
      </c>
      <c r="E31" s="20">
        <f>IFERROR(__xludf.DUMMYFUNCTION("COUNT(FILTER(G31:BP31,ISNUMBER(G31:BP31),MOD(COLUMN(G31:BP31)-COLUMN(G31),2)=0))
"),17.0)</f>
        <v>17</v>
      </c>
      <c r="F31" s="21">
        <f>B31/E31</f>
        <v>2129447.059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>
        <v>3129000.0</v>
      </c>
      <c r="X31" s="22">
        <v>0.0</v>
      </c>
      <c r="Y31" s="22">
        <v>792000.0</v>
      </c>
      <c r="Z31" s="22">
        <v>8960.0</v>
      </c>
      <c r="AA31" s="22">
        <v>1525000.0</v>
      </c>
      <c r="AB31" s="22">
        <v>110840.0</v>
      </c>
      <c r="AC31" s="22">
        <v>1607030.0</v>
      </c>
      <c r="AD31" s="22">
        <v>144950.0</v>
      </c>
      <c r="AE31" s="22">
        <v>338000.0</v>
      </c>
      <c r="AF31" s="22">
        <v>3500.0</v>
      </c>
      <c r="AG31" s="22" t="s">
        <v>9</v>
      </c>
      <c r="AH31" s="22" t="s">
        <v>9</v>
      </c>
      <c r="AI31" s="15" t="s">
        <v>9</v>
      </c>
      <c r="AJ31" s="15" t="s">
        <v>9</v>
      </c>
      <c r="AK31" s="22">
        <v>1855020.0</v>
      </c>
      <c r="AL31" s="22">
        <v>140550.0</v>
      </c>
      <c r="AM31" s="22">
        <v>6112500.0</v>
      </c>
      <c r="AN31" s="22">
        <v>31870.0</v>
      </c>
      <c r="AO31" s="22">
        <v>4115600.0</v>
      </c>
      <c r="AP31" s="22">
        <v>228060.0</v>
      </c>
      <c r="AQ31" s="22">
        <v>2619500.0</v>
      </c>
      <c r="AR31" s="22">
        <v>0.0</v>
      </c>
      <c r="AS31" s="22">
        <v>1106400.0</v>
      </c>
      <c r="AT31" s="22">
        <v>0.0</v>
      </c>
      <c r="AU31" s="22">
        <v>1343420.0</v>
      </c>
      <c r="AV31" s="22">
        <v>150770.0</v>
      </c>
      <c r="AW31" s="22">
        <v>2269150.0</v>
      </c>
      <c r="AX31" s="22">
        <v>0.0</v>
      </c>
      <c r="AY31" s="22">
        <v>5023300.0</v>
      </c>
      <c r="AZ31" s="22">
        <v>21520.0</v>
      </c>
      <c r="BA31" s="15" t="s">
        <v>9</v>
      </c>
      <c r="BB31" s="15" t="s">
        <v>9</v>
      </c>
      <c r="BC31" s="22"/>
      <c r="BD31" s="22"/>
      <c r="BE31" s="22">
        <v>1048440.0</v>
      </c>
      <c r="BF31" s="22">
        <v>98290.0</v>
      </c>
      <c r="BG31" s="22">
        <v>1504640.0</v>
      </c>
      <c r="BH31" s="22">
        <v>15380.0</v>
      </c>
      <c r="BI31" s="22">
        <v>1080000.0</v>
      </c>
      <c r="BJ31" s="22">
        <v>0.0</v>
      </c>
      <c r="BK31" s="22"/>
      <c r="BL31" s="22"/>
      <c r="BM31" s="22">
        <v>731600.0</v>
      </c>
      <c r="BN31" s="22">
        <v>116180.0</v>
      </c>
      <c r="BO31" s="22"/>
      <c r="BP31" s="22"/>
    </row>
    <row r="32">
      <c r="A32" s="18"/>
      <c r="B32" s="14"/>
      <c r="C32" s="14"/>
      <c r="D32" s="19"/>
      <c r="E32" s="20"/>
      <c r="F32" s="2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15"/>
      <c r="AJ32" s="15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15"/>
      <c r="BB32" s="15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</row>
    <row r="33">
      <c r="A33" s="18" t="s">
        <v>24</v>
      </c>
      <c r="B33" s="14">
        <f>IFERROR(__xludf.DUMMYFUNCTION("SUM(FILTER(G33:BP33,ISNUMBER(G33:BP33),MOD(COLUMN(G33:BP33)-COLUMN(G33),2)=0))"),1967000.0)</f>
        <v>1967000</v>
      </c>
      <c r="C33" s="14">
        <f>IFERROR(__xludf.DUMMYFUNCTION("SUM(FILTER(G33:BP33,ISNUMBER(G33:BP33),MOD(COLUMN(G33:BP33)-COLUMN(G33),2)=1))"),196640.0)</f>
        <v>196640</v>
      </c>
      <c r="D33" s="19">
        <f>C33/B33</f>
        <v>0.0999694967</v>
      </c>
      <c r="E33" s="20">
        <f>IFERROR(__xludf.DUMMYFUNCTION("COUNT(FILTER(G33:BP33,ISNUMBER(G33:BP33),MOD(COLUMN(G33:BP33)-COLUMN(G33),2)=0))
"),6.0)</f>
        <v>6</v>
      </c>
      <c r="F33" s="21">
        <f>B33/E33</f>
        <v>327833.3333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15"/>
      <c r="AJ33" s="15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15" t="s">
        <v>9</v>
      </c>
      <c r="BB33" s="15" t="s">
        <v>9</v>
      </c>
      <c r="BC33" s="22">
        <v>125000.0</v>
      </c>
      <c r="BD33" s="22">
        <v>0.0</v>
      </c>
      <c r="BE33" s="22">
        <v>400000.0</v>
      </c>
      <c r="BF33" s="22">
        <v>24970.0</v>
      </c>
      <c r="BG33" s="22">
        <v>260000.0</v>
      </c>
      <c r="BH33" s="22">
        <v>29180.0</v>
      </c>
      <c r="BI33" s="22">
        <v>168000.0</v>
      </c>
      <c r="BJ33" s="22">
        <v>76510.0</v>
      </c>
      <c r="BK33" s="22">
        <v>564000.0</v>
      </c>
      <c r="BL33" s="22">
        <v>0.0</v>
      </c>
      <c r="BM33" s="22">
        <v>450000.0</v>
      </c>
      <c r="BN33" s="22">
        <v>65980.0</v>
      </c>
      <c r="BO33" s="22"/>
      <c r="BP33" s="22"/>
    </row>
    <row r="34">
      <c r="A34" s="18"/>
      <c r="B34" s="14"/>
      <c r="C34" s="14"/>
      <c r="D34" s="19"/>
      <c r="E34" s="20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15"/>
      <c r="AJ34" s="15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15"/>
      <c r="BB34" s="15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</row>
    <row r="35">
      <c r="A35" s="28" t="s">
        <v>25</v>
      </c>
      <c r="B35" s="14">
        <f>IFERROR(__xludf.DUMMYFUNCTION("SUM(FILTER(G35:BP35,ISNUMBER(G35:BP35),MOD(COLUMN(G35:BP35)-COLUMN(G35),2)=0))"),5.3151032E7)</f>
        <v>53151032</v>
      </c>
      <c r="C35" s="14">
        <f>IFERROR(__xludf.DUMMYFUNCTION("SUM(FILTER(G35:BP35,ISNUMBER(G35:BP35),MOD(COLUMN(G35:BP35)-COLUMN(G35),2)=1))"),3024074.0)</f>
        <v>3024074</v>
      </c>
      <c r="D35" s="19">
        <f>C35/B35</f>
        <v>0.0568958661</v>
      </c>
      <c r="E35" s="20">
        <f>IFERROR(__xludf.DUMMYFUNCTION("COUNT(FILTER(G35:BP35,ISNUMBER(G35:BP35),MOD(COLUMN(G35:BP35)-COLUMN(G35),2)=0))
"),26.0)</f>
        <v>26</v>
      </c>
      <c r="F35" s="21">
        <f>B35/E35</f>
        <v>2044270.462</v>
      </c>
      <c r="G35" s="22"/>
      <c r="H35" s="22"/>
      <c r="I35" s="22">
        <v>5020900.0</v>
      </c>
      <c r="J35" s="22">
        <v>163530.0</v>
      </c>
      <c r="K35" s="22">
        <v>491400.0</v>
      </c>
      <c r="L35" s="22">
        <v>77010.0</v>
      </c>
      <c r="M35" s="22">
        <v>782000.0</v>
      </c>
      <c r="N35" s="22">
        <v>179070.0</v>
      </c>
      <c r="O35" s="22">
        <v>445000.0</v>
      </c>
      <c r="P35" s="22">
        <v>32060.0</v>
      </c>
      <c r="Q35" s="22">
        <v>2574000.0</v>
      </c>
      <c r="R35" s="22">
        <v>263340.0</v>
      </c>
      <c r="S35" s="22">
        <v>2277000.0</v>
      </c>
      <c r="T35" s="22">
        <v>290.0</v>
      </c>
      <c r="U35" s="22"/>
      <c r="V35" s="22"/>
      <c r="W35" s="22">
        <v>4845977.0</v>
      </c>
      <c r="X35" s="22">
        <v>396910.0</v>
      </c>
      <c r="Y35" s="22">
        <v>2247300.0</v>
      </c>
      <c r="Z35" s="22">
        <v>289140.0</v>
      </c>
      <c r="AA35" s="22">
        <v>1317000.0</v>
      </c>
      <c r="AB35" s="22">
        <v>0.0</v>
      </c>
      <c r="AC35" s="22">
        <v>1382600.0</v>
      </c>
      <c r="AD35" s="22">
        <v>103910.0</v>
      </c>
      <c r="AE35" s="22">
        <v>1466000.0</v>
      </c>
      <c r="AF35" s="14">
        <v>127580.0</v>
      </c>
      <c r="AG35" s="22">
        <v>2833920.0</v>
      </c>
      <c r="AH35" s="22">
        <v>140470.0</v>
      </c>
      <c r="AI35" s="15" t="s">
        <v>9</v>
      </c>
      <c r="AJ35" s="15" t="s">
        <v>9</v>
      </c>
      <c r="AK35" s="22">
        <v>1452800.0</v>
      </c>
      <c r="AL35" s="22">
        <v>0.0</v>
      </c>
      <c r="AM35" s="22">
        <v>2404800.0</v>
      </c>
      <c r="AN35" s="22">
        <v>18784.0</v>
      </c>
      <c r="AO35" s="22">
        <v>1656160.0</v>
      </c>
      <c r="AP35" s="22">
        <v>155380.0</v>
      </c>
      <c r="AQ35" s="22">
        <v>5005440.0</v>
      </c>
      <c r="AR35" s="22">
        <v>247870.0</v>
      </c>
      <c r="AS35" s="22">
        <v>846000.0</v>
      </c>
      <c r="AT35" s="22">
        <v>139720.0</v>
      </c>
      <c r="AU35" s="22">
        <v>675000.0</v>
      </c>
      <c r="AV35" s="22">
        <v>101310.0</v>
      </c>
      <c r="AW35" s="22">
        <v>1118000.0</v>
      </c>
      <c r="AX35" s="22">
        <v>2370.0</v>
      </c>
      <c r="AY35" s="22">
        <v>2377500.0</v>
      </c>
      <c r="AZ35" s="22">
        <v>112430.0</v>
      </c>
      <c r="BA35" s="15" t="s">
        <v>9</v>
      </c>
      <c r="BB35" s="15" t="s">
        <v>9</v>
      </c>
      <c r="BC35" s="22">
        <v>1405410.0</v>
      </c>
      <c r="BD35" s="22">
        <v>207670.0</v>
      </c>
      <c r="BE35" s="22">
        <v>720935.0</v>
      </c>
      <c r="BF35" s="22">
        <v>129040.0</v>
      </c>
      <c r="BG35" s="22">
        <v>2852000.0</v>
      </c>
      <c r="BH35" s="22">
        <v>0.0</v>
      </c>
      <c r="BI35" s="22">
        <v>2692480.0</v>
      </c>
      <c r="BJ35" s="22">
        <v>136190.0</v>
      </c>
      <c r="BK35" s="22">
        <v>2680410.0</v>
      </c>
      <c r="BL35" s="22">
        <v>0.0</v>
      </c>
      <c r="BM35" s="22">
        <v>1581000.0</v>
      </c>
      <c r="BN35" s="22">
        <v>0.0</v>
      </c>
      <c r="BO35" s="22"/>
      <c r="BP35" s="22"/>
    </row>
    <row r="36">
      <c r="A36" s="18"/>
      <c r="B36" s="14"/>
      <c r="C36" s="14"/>
      <c r="D36" s="19"/>
      <c r="E36" s="20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15"/>
      <c r="AJ36" s="15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15"/>
      <c r="BB36" s="15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</row>
    <row r="37">
      <c r="A37" s="31" t="s">
        <v>26</v>
      </c>
      <c r="B37" s="14">
        <f>IFERROR(__xludf.DUMMYFUNCTION("SUM(FILTER(G37:BP37,ISNUMBER(G37:BP37),MOD(COLUMN(G37:BP37)-COLUMN(G37),2)=0))"),5.7345379E7)</f>
        <v>57345379</v>
      </c>
      <c r="C37" s="14">
        <f>IFERROR(__xludf.DUMMYFUNCTION("SUM(FILTER(G37:BP37,ISNUMBER(G37:BP37),MOD(COLUMN(G37:BP37)-COLUMN(G37),2)=1))"),2340940.0)</f>
        <v>2340940</v>
      </c>
      <c r="D37" s="19">
        <f>C37/B37</f>
        <v>0.04082177223</v>
      </c>
      <c r="E37" s="20">
        <f>IFERROR(__xludf.DUMMYFUNCTION("COUNT(FILTER(G37:BP37,ISNUMBER(G37:BP37),MOD(COLUMN(G37:BP37)-COLUMN(G37),2)=0))
"),25.0)</f>
        <v>25</v>
      </c>
      <c r="F37" s="21">
        <f>B37/E37</f>
        <v>2293815.16</v>
      </c>
      <c r="G37" s="22"/>
      <c r="H37" s="22"/>
      <c r="I37" s="22">
        <v>2270400.0</v>
      </c>
      <c r="J37" s="22">
        <v>0.0</v>
      </c>
      <c r="K37" s="22">
        <v>1735620.0</v>
      </c>
      <c r="L37" s="22">
        <v>97320.0</v>
      </c>
      <c r="M37" s="22">
        <v>1961520.0</v>
      </c>
      <c r="N37" s="22">
        <v>11920.0</v>
      </c>
      <c r="O37" s="22">
        <v>3123000.0</v>
      </c>
      <c r="P37" s="22">
        <v>0.0</v>
      </c>
      <c r="Q37" s="22">
        <v>1780000.0</v>
      </c>
      <c r="R37" s="22">
        <v>132850.0</v>
      </c>
      <c r="S37" s="22">
        <v>2125500.0</v>
      </c>
      <c r="T37" s="22">
        <v>65640.0</v>
      </c>
      <c r="U37" s="22"/>
      <c r="V37" s="22"/>
      <c r="W37" s="32"/>
      <c r="X37" s="32"/>
      <c r="Y37" s="22">
        <v>1644000.0</v>
      </c>
      <c r="Z37" s="22">
        <v>14240.0</v>
      </c>
      <c r="AA37" s="22">
        <v>3809000.0</v>
      </c>
      <c r="AB37" s="22">
        <v>114130.0</v>
      </c>
      <c r="AC37" s="22">
        <v>4958000.0</v>
      </c>
      <c r="AD37" s="22">
        <v>182190.0</v>
      </c>
      <c r="AE37" s="22">
        <v>1450000.0</v>
      </c>
      <c r="AF37" s="22">
        <v>116270.0</v>
      </c>
      <c r="AG37" s="22">
        <v>1349000.0</v>
      </c>
      <c r="AH37" s="22">
        <v>85760.0</v>
      </c>
      <c r="AI37" s="15" t="s">
        <v>9</v>
      </c>
      <c r="AJ37" s="15" t="s">
        <v>9</v>
      </c>
      <c r="AK37" s="22">
        <v>1317450.0</v>
      </c>
      <c r="AL37" s="22">
        <v>0.0</v>
      </c>
      <c r="AM37" s="22">
        <v>2462520.0</v>
      </c>
      <c r="AN37" s="22">
        <v>220770.0</v>
      </c>
      <c r="AO37" s="22">
        <v>3453839.0</v>
      </c>
      <c r="AP37" s="22">
        <v>0.0</v>
      </c>
      <c r="AQ37" s="22">
        <v>1597800.0</v>
      </c>
      <c r="AR37" s="22">
        <v>177170.0</v>
      </c>
      <c r="AS37" s="22">
        <v>543300.0</v>
      </c>
      <c r="AT37" s="22">
        <v>0.0</v>
      </c>
      <c r="AU37" s="22">
        <v>1165460.0</v>
      </c>
      <c r="AV37" s="22">
        <v>134460.0</v>
      </c>
      <c r="AW37" s="22">
        <v>1527120.0</v>
      </c>
      <c r="AX37" s="22">
        <v>52940.0</v>
      </c>
      <c r="AY37" s="22">
        <v>1144500.0</v>
      </c>
      <c r="AZ37" s="22">
        <v>177210.0</v>
      </c>
      <c r="BA37" s="15" t="s">
        <v>9</v>
      </c>
      <c r="BB37" s="15" t="s">
        <v>9</v>
      </c>
      <c r="BC37" s="22">
        <v>538600.0</v>
      </c>
      <c r="BD37" s="22">
        <v>182910.0</v>
      </c>
      <c r="BE37" s="22">
        <v>1570800.0</v>
      </c>
      <c r="BF37" s="22">
        <v>110950.0</v>
      </c>
      <c r="BG37" s="22">
        <v>3997300.0</v>
      </c>
      <c r="BH37" s="22">
        <v>228210.0</v>
      </c>
      <c r="BI37" s="22">
        <v>5087650.0</v>
      </c>
      <c r="BJ37" s="22">
        <v>61260.0</v>
      </c>
      <c r="BK37" s="22">
        <v>5419450.0</v>
      </c>
      <c r="BL37" s="22">
        <v>106190.0</v>
      </c>
      <c r="BM37" s="22">
        <v>1313550.0</v>
      </c>
      <c r="BN37" s="22">
        <v>68550.0</v>
      </c>
      <c r="BO37" s="22"/>
      <c r="BP37" s="22"/>
    </row>
    <row r="38">
      <c r="A38" s="18"/>
      <c r="B38" s="14"/>
      <c r="C38" s="14"/>
      <c r="D38" s="19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33"/>
      <c r="P38" s="22"/>
      <c r="Q38" s="22"/>
      <c r="R38" s="22"/>
      <c r="S38" s="22"/>
      <c r="T38" s="22"/>
      <c r="U38" s="22"/>
      <c r="V38" s="22"/>
      <c r="W38" s="32"/>
      <c r="X38" s="3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15"/>
      <c r="AJ38" s="15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15"/>
      <c r="BB38" s="15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</row>
    <row r="39">
      <c r="A39" s="31" t="s">
        <v>27</v>
      </c>
      <c r="B39" s="14">
        <f>IFERROR(__xludf.DUMMYFUNCTION("SUM(FILTER(G39:BP39,ISNUMBER(G39:BP39),MOD(COLUMN(G39:BP39)-COLUMN(G39),2)=0))"),7469300.0)</f>
        <v>7469300</v>
      </c>
      <c r="C39" s="14">
        <f>IFERROR(__xludf.DUMMYFUNCTION("SUM(FILTER(G39:BP39,ISNUMBER(G39:BP39),MOD(COLUMN(G39:BP39)-COLUMN(G39),2)=1))"),5640.0)</f>
        <v>5640</v>
      </c>
      <c r="D39" s="19">
        <f t="shared" ref="D39:D40" si="2">C39/B39</f>
        <v>0.0007550908385</v>
      </c>
      <c r="E39" s="20">
        <f>IFERROR(__xludf.DUMMYFUNCTION("COUNT(FILTER(G39:BP39,ISNUMBER(G39:BP39),MOD(COLUMN(G39:BP39)-COLUMN(G39),2)=0))
"),18.0)</f>
        <v>18</v>
      </c>
      <c r="F39" s="21">
        <f>B39/E39</f>
        <v>414961.1111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W39" s="32"/>
      <c r="X39" s="32"/>
      <c r="Y39" s="22">
        <v>0.0</v>
      </c>
      <c r="Z39" s="22">
        <v>0.0</v>
      </c>
      <c r="AA39" s="22">
        <v>450000.0</v>
      </c>
      <c r="AB39" s="22">
        <v>5640.0</v>
      </c>
      <c r="AC39" s="22">
        <v>609100.0</v>
      </c>
      <c r="AD39" s="22">
        <v>0.0</v>
      </c>
      <c r="AE39" s="22">
        <v>262000.0</v>
      </c>
      <c r="AF39" s="22">
        <v>0.0</v>
      </c>
      <c r="AG39" s="22">
        <v>719000.0</v>
      </c>
      <c r="AH39" s="22">
        <v>0.0</v>
      </c>
      <c r="AI39" s="15" t="s">
        <v>9</v>
      </c>
      <c r="AJ39" s="15" t="s">
        <v>9</v>
      </c>
      <c r="AK39" s="22">
        <v>839750.0</v>
      </c>
      <c r="AL39" s="22">
        <v>0.0</v>
      </c>
      <c r="AM39" s="22">
        <v>127000.0</v>
      </c>
      <c r="AN39" s="22">
        <v>0.0</v>
      </c>
      <c r="AO39" s="22">
        <v>420250.0</v>
      </c>
      <c r="AP39" s="22">
        <v>0.0</v>
      </c>
      <c r="AQ39" s="22">
        <v>99000.0</v>
      </c>
      <c r="AR39" s="22">
        <v>0.0</v>
      </c>
      <c r="AS39" s="22">
        <v>508000.0</v>
      </c>
      <c r="AT39" s="22">
        <v>0.0</v>
      </c>
      <c r="AU39" s="22">
        <v>150000.0</v>
      </c>
      <c r="AV39" s="22">
        <v>0.0</v>
      </c>
      <c r="AW39" s="22">
        <v>576000.0</v>
      </c>
      <c r="AX39" s="22">
        <v>0.0</v>
      </c>
      <c r="AY39" s="22">
        <v>130000.0</v>
      </c>
      <c r="AZ39" s="22">
        <v>0.0</v>
      </c>
      <c r="BA39" s="15" t="s">
        <v>9</v>
      </c>
      <c r="BB39" s="15" t="s">
        <v>9</v>
      </c>
      <c r="BC39" s="22"/>
      <c r="BD39" s="22"/>
      <c r="BE39" s="22">
        <v>420000.0</v>
      </c>
      <c r="BF39" s="22">
        <v>0.0</v>
      </c>
      <c r="BG39" s="22">
        <v>794100.0</v>
      </c>
      <c r="BH39" s="22">
        <v>0.0</v>
      </c>
      <c r="BI39" s="22">
        <v>717100.0</v>
      </c>
      <c r="BJ39" s="22">
        <v>0.0</v>
      </c>
      <c r="BK39" s="22">
        <v>509000.0</v>
      </c>
      <c r="BL39" s="22">
        <v>0.0</v>
      </c>
      <c r="BM39" s="22">
        <v>139000.0</v>
      </c>
      <c r="BN39" s="22">
        <v>0.0</v>
      </c>
      <c r="BO39" s="22"/>
      <c r="BP39" s="22"/>
    </row>
    <row r="40">
      <c r="A40" s="34" t="s">
        <v>28</v>
      </c>
      <c r="B40" s="35">
        <f t="shared" ref="B40:C40" si="1">SUM(B3:B39)</f>
        <v>660982690</v>
      </c>
      <c r="C40" s="35">
        <f t="shared" si="1"/>
        <v>25106622</v>
      </c>
      <c r="D40" s="36">
        <f t="shared" si="2"/>
        <v>0.03798378139</v>
      </c>
      <c r="E40" s="34">
        <f t="shared" ref="E40:T40" si="3">SUM(E3:E39)</f>
        <v>369</v>
      </c>
      <c r="F40" s="37">
        <f t="shared" si="3"/>
        <v>29502656.53</v>
      </c>
      <c r="G40" s="35">
        <f t="shared" si="3"/>
        <v>0</v>
      </c>
      <c r="H40" s="35">
        <f t="shared" si="3"/>
        <v>0</v>
      </c>
      <c r="I40" s="35">
        <f t="shared" si="3"/>
        <v>32238520</v>
      </c>
      <c r="J40" s="35">
        <f t="shared" si="3"/>
        <v>1358930</v>
      </c>
      <c r="K40" s="35">
        <f t="shared" si="3"/>
        <v>13412920</v>
      </c>
      <c r="L40" s="35">
        <f t="shared" si="3"/>
        <v>1148610</v>
      </c>
      <c r="M40" s="35">
        <f t="shared" si="3"/>
        <v>26598520</v>
      </c>
      <c r="N40" s="35">
        <f t="shared" si="3"/>
        <v>811650</v>
      </c>
      <c r="O40" s="35">
        <f t="shared" si="3"/>
        <v>25329200</v>
      </c>
      <c r="P40" s="35">
        <f t="shared" si="3"/>
        <v>286720</v>
      </c>
      <c r="Q40" s="35">
        <f t="shared" si="3"/>
        <v>23878760</v>
      </c>
      <c r="R40" s="35">
        <f t="shared" si="3"/>
        <v>1938250</v>
      </c>
      <c r="S40" s="35">
        <f t="shared" si="3"/>
        <v>13988500</v>
      </c>
      <c r="T40" s="35">
        <f t="shared" si="3"/>
        <v>1034030</v>
      </c>
      <c r="U40" s="35">
        <f t="shared" ref="U40:V40" si="4">SUM(U3:U38)</f>
        <v>1715000</v>
      </c>
      <c r="V40" s="35">
        <f t="shared" si="4"/>
        <v>0</v>
      </c>
      <c r="W40" s="35">
        <f t="shared" ref="W40:BP40" si="5">SUM(W3:W39)</f>
        <v>20430277</v>
      </c>
      <c r="X40" s="35">
        <f t="shared" si="5"/>
        <v>509380</v>
      </c>
      <c r="Y40" s="35">
        <f t="shared" si="5"/>
        <v>22819100</v>
      </c>
      <c r="Z40" s="35">
        <f t="shared" si="5"/>
        <v>777860</v>
      </c>
      <c r="AA40" s="35">
        <f t="shared" si="5"/>
        <v>40660000</v>
      </c>
      <c r="AB40" s="35">
        <f t="shared" si="5"/>
        <v>320870</v>
      </c>
      <c r="AC40" s="35">
        <f t="shared" si="5"/>
        <v>22499530</v>
      </c>
      <c r="AD40" s="35">
        <f t="shared" si="5"/>
        <v>612100</v>
      </c>
      <c r="AE40" s="35">
        <f t="shared" si="5"/>
        <v>26138930</v>
      </c>
      <c r="AF40" s="35">
        <f t="shared" si="5"/>
        <v>354180</v>
      </c>
      <c r="AG40" s="35">
        <f t="shared" si="5"/>
        <v>23697390</v>
      </c>
      <c r="AH40" s="35">
        <f t="shared" si="5"/>
        <v>431950</v>
      </c>
      <c r="AI40" s="35">
        <f t="shared" si="5"/>
        <v>0</v>
      </c>
      <c r="AJ40" s="35">
        <f t="shared" si="5"/>
        <v>0</v>
      </c>
      <c r="AK40" s="35">
        <f t="shared" si="5"/>
        <v>28822970</v>
      </c>
      <c r="AL40" s="35">
        <f t="shared" si="5"/>
        <v>1151165</v>
      </c>
      <c r="AM40" s="35">
        <f t="shared" si="5"/>
        <v>31548644</v>
      </c>
      <c r="AN40" s="35">
        <f t="shared" si="5"/>
        <v>985384</v>
      </c>
      <c r="AO40" s="35">
        <f t="shared" si="5"/>
        <v>25374319</v>
      </c>
      <c r="AP40" s="35">
        <f t="shared" si="5"/>
        <v>1003900</v>
      </c>
      <c r="AQ40" s="35">
        <f t="shared" si="5"/>
        <v>37993340</v>
      </c>
      <c r="AR40" s="35">
        <f t="shared" si="5"/>
        <v>1504050</v>
      </c>
      <c r="AS40" s="35">
        <f t="shared" si="5"/>
        <v>31927530</v>
      </c>
      <c r="AT40" s="35">
        <f t="shared" si="5"/>
        <v>951833</v>
      </c>
      <c r="AU40" s="35">
        <f t="shared" si="5"/>
        <v>29818768</v>
      </c>
      <c r="AV40" s="35">
        <f t="shared" si="5"/>
        <v>1391180</v>
      </c>
      <c r="AW40" s="35">
        <f t="shared" si="5"/>
        <v>19570970</v>
      </c>
      <c r="AX40" s="35">
        <f t="shared" si="5"/>
        <v>275020</v>
      </c>
      <c r="AY40" s="35">
        <f t="shared" si="5"/>
        <v>23241600</v>
      </c>
      <c r="AZ40" s="35">
        <f t="shared" si="5"/>
        <v>1160370</v>
      </c>
      <c r="BA40" s="35">
        <f t="shared" si="5"/>
        <v>0</v>
      </c>
      <c r="BB40" s="35">
        <f t="shared" si="5"/>
        <v>0</v>
      </c>
      <c r="BC40" s="35">
        <f t="shared" si="5"/>
        <v>26133199</v>
      </c>
      <c r="BD40" s="35">
        <f t="shared" si="5"/>
        <v>1859032</v>
      </c>
      <c r="BE40" s="35">
        <f t="shared" si="5"/>
        <v>24907295</v>
      </c>
      <c r="BF40" s="35">
        <f t="shared" si="5"/>
        <v>1167190</v>
      </c>
      <c r="BG40" s="35">
        <f t="shared" si="5"/>
        <v>23156240</v>
      </c>
      <c r="BH40" s="35">
        <f t="shared" si="5"/>
        <v>1612080</v>
      </c>
      <c r="BI40" s="35">
        <f t="shared" si="5"/>
        <v>24098122</v>
      </c>
      <c r="BJ40" s="35">
        <f t="shared" si="5"/>
        <v>1065739</v>
      </c>
      <c r="BK40" s="35">
        <f t="shared" si="5"/>
        <v>10545360</v>
      </c>
      <c r="BL40" s="35">
        <f t="shared" si="5"/>
        <v>192426</v>
      </c>
      <c r="BM40" s="35">
        <f t="shared" si="5"/>
        <v>15082450</v>
      </c>
      <c r="BN40" s="35">
        <f t="shared" si="5"/>
        <v>924403</v>
      </c>
      <c r="BO40" s="35">
        <f t="shared" si="5"/>
        <v>15643236</v>
      </c>
      <c r="BP40" s="35">
        <f t="shared" si="5"/>
        <v>631150</v>
      </c>
    </row>
    <row r="41">
      <c r="A41" s="38"/>
      <c r="B41" s="39"/>
      <c r="C41" s="39"/>
      <c r="D41" s="38"/>
      <c r="E41" s="38"/>
      <c r="F41" s="4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</row>
    <row r="42">
      <c r="A42" s="41"/>
      <c r="B42" s="30"/>
      <c r="C42" s="30"/>
      <c r="D42" s="41"/>
      <c r="E42" s="41"/>
      <c r="F42" s="42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</row>
    <row r="43">
      <c r="A43" s="41"/>
      <c r="B43" s="30"/>
      <c r="C43" s="30"/>
      <c r="D43" s="41"/>
      <c r="E43" s="41"/>
      <c r="F43" s="42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>
      <c r="A44" s="41"/>
      <c r="B44" s="30"/>
      <c r="C44" s="30"/>
      <c r="D44" s="41"/>
      <c r="E44" s="41"/>
      <c r="F44" s="42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</row>
    <row r="45">
      <c r="A45" s="41"/>
      <c r="B45" s="30"/>
      <c r="C45" s="30"/>
      <c r="D45" s="41"/>
      <c r="E45" s="41"/>
      <c r="F45" s="42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</row>
    <row r="46">
      <c r="A46" s="41"/>
      <c r="B46" s="30"/>
      <c r="C46" s="30"/>
      <c r="D46" s="41"/>
      <c r="E46" s="41"/>
      <c r="F46" s="42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</row>
    <row r="47">
      <c r="A47" s="41"/>
      <c r="B47" s="30"/>
      <c r="C47" s="30"/>
      <c r="D47" s="41"/>
      <c r="E47" s="41"/>
      <c r="F47" s="42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</row>
    <row r="48">
      <c r="A48" s="41"/>
      <c r="B48" s="30"/>
      <c r="C48" s="30"/>
      <c r="D48" s="41"/>
      <c r="E48" s="41"/>
      <c r="F48" s="42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</row>
    <row r="49">
      <c r="A49" s="41"/>
      <c r="B49" s="30"/>
      <c r="C49" s="30"/>
      <c r="D49" s="41"/>
      <c r="E49" s="41"/>
      <c r="F49" s="42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</row>
    <row r="50">
      <c r="A50" s="41"/>
      <c r="B50" s="30"/>
      <c r="C50" s="30"/>
      <c r="D50" s="41"/>
      <c r="E50" s="41"/>
      <c r="F50" s="42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</row>
    <row r="51">
      <c r="A51" s="41"/>
      <c r="B51" s="30"/>
      <c r="C51" s="30"/>
      <c r="D51" s="41"/>
      <c r="E51" s="41"/>
      <c r="F51" s="42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</row>
    <row r="52">
      <c r="A52" s="41"/>
      <c r="B52" s="30"/>
      <c r="C52" s="30"/>
      <c r="D52" s="41"/>
      <c r="E52" s="41"/>
      <c r="F52" s="42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</row>
    <row r="53">
      <c r="A53" s="41"/>
      <c r="B53" s="30"/>
      <c r="C53" s="30"/>
      <c r="D53" s="41"/>
      <c r="E53" s="41"/>
      <c r="F53" s="42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</row>
    <row r="54">
      <c r="A54" s="41"/>
      <c r="B54" s="30"/>
      <c r="C54" s="30"/>
      <c r="D54" s="41"/>
      <c r="E54" s="41"/>
      <c r="F54" s="42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</row>
    <row r="55">
      <c r="A55" s="41"/>
      <c r="B55" s="30"/>
      <c r="C55" s="30"/>
      <c r="D55" s="41"/>
      <c r="E55" s="41"/>
      <c r="F55" s="42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</row>
    <row r="56">
      <c r="A56" s="41"/>
      <c r="B56" s="30"/>
      <c r="C56" s="30"/>
      <c r="D56" s="41"/>
      <c r="E56" s="41"/>
      <c r="F56" s="42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</row>
    <row r="57">
      <c r="A57" s="41"/>
      <c r="B57" s="30"/>
      <c r="C57" s="30"/>
      <c r="D57" s="41"/>
      <c r="E57" s="41"/>
      <c r="F57" s="42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</row>
    <row r="58">
      <c r="A58" s="41"/>
      <c r="B58" s="30"/>
      <c r="C58" s="30"/>
      <c r="D58" s="41"/>
      <c r="E58" s="41"/>
      <c r="F58" s="42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</row>
    <row r="59">
      <c r="A59" s="41"/>
      <c r="B59" s="30"/>
      <c r="C59" s="30"/>
      <c r="D59" s="41"/>
      <c r="E59" s="41"/>
      <c r="F59" s="42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</row>
    <row r="60">
      <c r="A60" s="41"/>
      <c r="B60" s="30"/>
      <c r="C60" s="30"/>
      <c r="D60" s="41"/>
      <c r="E60" s="41"/>
      <c r="F60" s="42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</row>
    <row r="61">
      <c r="A61" s="41"/>
      <c r="B61" s="30"/>
      <c r="C61" s="30"/>
      <c r="D61" s="41"/>
      <c r="E61" s="41"/>
      <c r="F61" s="42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</row>
    <row r="62">
      <c r="A62" s="41"/>
      <c r="B62" s="30"/>
      <c r="C62" s="30"/>
      <c r="D62" s="41"/>
      <c r="E62" s="41"/>
      <c r="F62" s="42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</row>
    <row r="63">
      <c r="A63" s="41"/>
      <c r="B63" s="30"/>
      <c r="C63" s="30"/>
      <c r="D63" s="41"/>
      <c r="E63" s="41"/>
      <c r="F63" s="42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</row>
    <row r="64">
      <c r="A64" s="41"/>
      <c r="B64" s="30"/>
      <c r="C64" s="30"/>
      <c r="D64" s="41"/>
      <c r="E64" s="41"/>
      <c r="F64" s="42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</row>
    <row r="65">
      <c r="A65" s="41"/>
      <c r="B65" s="30"/>
      <c r="C65" s="30"/>
      <c r="D65" s="41"/>
      <c r="E65" s="41"/>
      <c r="F65" s="42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</row>
    <row r="66">
      <c r="A66" s="41"/>
      <c r="B66" s="30"/>
      <c r="C66" s="30"/>
      <c r="D66" s="41"/>
      <c r="E66" s="41"/>
      <c r="F66" s="42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</row>
    <row r="67">
      <c r="A67" s="41"/>
      <c r="B67" s="30"/>
      <c r="C67" s="30"/>
      <c r="D67" s="41"/>
      <c r="E67" s="41"/>
      <c r="F67" s="42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</row>
    <row r="68">
      <c r="A68" s="41"/>
      <c r="B68" s="30"/>
      <c r="C68" s="30"/>
      <c r="D68" s="41"/>
      <c r="E68" s="41"/>
      <c r="F68" s="42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</row>
    <row r="69">
      <c r="A69" s="41"/>
      <c r="B69" s="30"/>
      <c r="C69" s="30"/>
      <c r="D69" s="41"/>
      <c r="E69" s="41"/>
      <c r="F69" s="42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</row>
    <row r="70">
      <c r="A70" s="41"/>
      <c r="B70" s="30"/>
      <c r="C70" s="30"/>
      <c r="D70" s="41"/>
      <c r="E70" s="41"/>
      <c r="F70" s="42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</row>
    <row r="71">
      <c r="A71" s="41"/>
      <c r="B71" s="30"/>
      <c r="C71" s="30"/>
      <c r="D71" s="41"/>
      <c r="E71" s="41"/>
      <c r="F71" s="42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</row>
    <row r="72">
      <c r="A72" s="41"/>
      <c r="B72" s="30"/>
      <c r="C72" s="30"/>
      <c r="D72" s="41"/>
      <c r="E72" s="41"/>
      <c r="F72" s="42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</row>
    <row r="73">
      <c r="A73" s="41"/>
      <c r="B73" s="30"/>
      <c r="C73" s="30"/>
      <c r="D73" s="41"/>
      <c r="E73" s="41"/>
      <c r="F73" s="42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</row>
    <row r="74">
      <c r="A74" s="41"/>
      <c r="B74" s="30"/>
      <c r="C74" s="30"/>
      <c r="D74" s="41"/>
      <c r="E74" s="41"/>
      <c r="F74" s="42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</row>
    <row r="75">
      <c r="A75" s="41"/>
      <c r="B75" s="30"/>
      <c r="C75" s="30"/>
      <c r="D75" s="41"/>
      <c r="E75" s="41"/>
      <c r="F75" s="42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</row>
    <row r="76">
      <c r="A76" s="41"/>
      <c r="B76" s="30"/>
      <c r="C76" s="30"/>
      <c r="D76" s="41"/>
      <c r="E76" s="41"/>
      <c r="F76" s="42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</row>
    <row r="77">
      <c r="A77" s="41"/>
      <c r="B77" s="30"/>
      <c r="C77" s="30"/>
      <c r="D77" s="41"/>
      <c r="E77" s="41"/>
      <c r="F77" s="42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</row>
    <row r="78">
      <c r="A78" s="41"/>
      <c r="B78" s="30"/>
      <c r="C78" s="30"/>
      <c r="D78" s="41"/>
      <c r="E78" s="41"/>
      <c r="F78" s="42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</row>
    <row r="79">
      <c r="A79" s="41"/>
      <c r="B79" s="30"/>
      <c r="C79" s="30"/>
      <c r="D79" s="41"/>
      <c r="E79" s="41"/>
      <c r="F79" s="42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</row>
    <row r="80">
      <c r="A80" s="41"/>
      <c r="B80" s="30"/>
      <c r="C80" s="30"/>
      <c r="D80" s="41"/>
      <c r="E80" s="41"/>
      <c r="F80" s="42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</row>
    <row r="81">
      <c r="A81" s="41"/>
      <c r="B81" s="30"/>
      <c r="C81" s="30"/>
      <c r="D81" s="41"/>
      <c r="E81" s="41"/>
      <c r="F81" s="42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</row>
    <row r="82">
      <c r="A82" s="41"/>
      <c r="B82" s="30"/>
      <c r="C82" s="30"/>
      <c r="D82" s="41"/>
      <c r="E82" s="41"/>
      <c r="F82" s="42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</row>
    <row r="83">
      <c r="A83" s="41"/>
      <c r="B83" s="30"/>
      <c r="C83" s="30"/>
      <c r="D83" s="41"/>
      <c r="E83" s="41"/>
      <c r="F83" s="42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</row>
    <row r="84">
      <c r="A84" s="41"/>
      <c r="B84" s="30"/>
      <c r="C84" s="30"/>
      <c r="D84" s="41"/>
      <c r="E84" s="41"/>
      <c r="F84" s="42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</row>
    <row r="85">
      <c r="A85" s="41"/>
      <c r="B85" s="30"/>
      <c r="C85" s="30"/>
      <c r="D85" s="41"/>
      <c r="E85" s="41"/>
      <c r="F85" s="42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</row>
    <row r="86">
      <c r="A86" s="41"/>
      <c r="B86" s="30"/>
      <c r="C86" s="30"/>
      <c r="D86" s="41"/>
      <c r="E86" s="41"/>
      <c r="F86" s="42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</row>
    <row r="87">
      <c r="A87" s="41"/>
      <c r="B87" s="30"/>
      <c r="C87" s="30"/>
      <c r="D87" s="41"/>
      <c r="E87" s="41"/>
      <c r="F87" s="42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</row>
    <row r="88">
      <c r="A88" s="41"/>
      <c r="B88" s="30"/>
      <c r="C88" s="30"/>
      <c r="D88" s="41"/>
      <c r="E88" s="41"/>
      <c r="F88" s="42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</row>
    <row r="89">
      <c r="A89" s="41"/>
      <c r="B89" s="30"/>
      <c r="C89" s="30"/>
      <c r="D89" s="41"/>
      <c r="E89" s="41"/>
      <c r="F89" s="42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</row>
    <row r="90">
      <c r="A90" s="41"/>
      <c r="B90" s="30"/>
      <c r="C90" s="30"/>
      <c r="D90" s="41"/>
      <c r="E90" s="41"/>
      <c r="F90" s="42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</row>
    <row r="91">
      <c r="A91" s="41"/>
      <c r="B91" s="30"/>
      <c r="C91" s="30"/>
      <c r="D91" s="41"/>
      <c r="E91" s="41"/>
      <c r="F91" s="42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</row>
    <row r="92">
      <c r="A92" s="41"/>
      <c r="B92" s="30"/>
      <c r="C92" s="30"/>
      <c r="D92" s="41"/>
      <c r="E92" s="41"/>
      <c r="F92" s="42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</row>
    <row r="93">
      <c r="A93" s="41"/>
      <c r="B93" s="30"/>
      <c r="C93" s="30"/>
      <c r="D93" s="41"/>
      <c r="E93" s="41"/>
      <c r="F93" s="42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</row>
    <row r="94">
      <c r="A94" s="41"/>
      <c r="B94" s="30"/>
      <c r="C94" s="30"/>
      <c r="D94" s="41"/>
      <c r="E94" s="41"/>
      <c r="F94" s="42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</row>
    <row r="95">
      <c r="A95" s="41"/>
      <c r="B95" s="30"/>
      <c r="C95" s="30"/>
      <c r="D95" s="41"/>
      <c r="E95" s="41"/>
      <c r="F95" s="42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</row>
    <row r="96">
      <c r="A96" s="41"/>
      <c r="B96" s="30"/>
      <c r="C96" s="30"/>
      <c r="D96" s="41"/>
      <c r="E96" s="41"/>
      <c r="F96" s="42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</row>
    <row r="97">
      <c r="A97" s="41"/>
      <c r="B97" s="30"/>
      <c r="C97" s="30"/>
      <c r="D97" s="41"/>
      <c r="E97" s="41"/>
      <c r="F97" s="42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</row>
    <row r="98">
      <c r="A98" s="41"/>
      <c r="B98" s="30"/>
      <c r="C98" s="30"/>
      <c r="D98" s="41"/>
      <c r="E98" s="41"/>
      <c r="F98" s="42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</row>
    <row r="99">
      <c r="A99" s="41"/>
      <c r="B99" s="30"/>
      <c r="C99" s="30"/>
      <c r="D99" s="41"/>
      <c r="E99" s="41"/>
      <c r="F99" s="42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</row>
    <row r="100">
      <c r="A100" s="41"/>
      <c r="B100" s="30"/>
      <c r="C100" s="30"/>
      <c r="D100" s="41"/>
      <c r="E100" s="41"/>
      <c r="F100" s="42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</row>
    <row r="101">
      <c r="A101" s="41"/>
      <c r="B101" s="30"/>
      <c r="C101" s="30"/>
      <c r="D101" s="41"/>
      <c r="E101" s="41"/>
      <c r="F101" s="42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</row>
    <row r="102">
      <c r="A102" s="41"/>
      <c r="B102" s="30"/>
      <c r="C102" s="30"/>
      <c r="D102" s="41"/>
      <c r="E102" s="41"/>
      <c r="F102" s="42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</row>
    <row r="103">
      <c r="A103" s="41"/>
      <c r="B103" s="30"/>
      <c r="C103" s="30"/>
      <c r="D103" s="41"/>
      <c r="E103" s="41"/>
      <c r="F103" s="42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</row>
    <row r="104">
      <c r="A104" s="41"/>
      <c r="B104" s="30"/>
      <c r="C104" s="30"/>
      <c r="D104" s="41"/>
      <c r="E104" s="41"/>
      <c r="F104" s="42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</row>
    <row r="105">
      <c r="A105" s="41"/>
      <c r="B105" s="30"/>
      <c r="C105" s="30"/>
      <c r="D105" s="41"/>
      <c r="E105" s="41"/>
      <c r="F105" s="42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</row>
    <row r="106">
      <c r="A106" s="41"/>
      <c r="B106" s="30"/>
      <c r="C106" s="30"/>
      <c r="D106" s="41"/>
      <c r="E106" s="41"/>
      <c r="F106" s="42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</row>
    <row r="107">
      <c r="A107" s="41"/>
      <c r="B107" s="30"/>
      <c r="C107" s="30"/>
      <c r="D107" s="41"/>
      <c r="E107" s="41"/>
      <c r="F107" s="42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</row>
    <row r="108">
      <c r="A108" s="41"/>
      <c r="B108" s="30"/>
      <c r="C108" s="30"/>
      <c r="D108" s="41"/>
      <c r="E108" s="41"/>
      <c r="F108" s="42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</row>
    <row r="109">
      <c r="A109" s="41"/>
      <c r="B109" s="30"/>
      <c r="C109" s="30"/>
      <c r="D109" s="41"/>
      <c r="E109" s="41"/>
      <c r="F109" s="42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</row>
    <row r="110">
      <c r="A110" s="41"/>
      <c r="B110" s="30"/>
      <c r="C110" s="30"/>
      <c r="D110" s="41"/>
      <c r="E110" s="41"/>
      <c r="F110" s="42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</row>
    <row r="111">
      <c r="A111" s="41"/>
      <c r="B111" s="30"/>
      <c r="C111" s="30"/>
      <c r="D111" s="41"/>
      <c r="E111" s="41"/>
      <c r="F111" s="42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</row>
    <row r="112">
      <c r="A112" s="41"/>
      <c r="B112" s="30"/>
      <c r="C112" s="30"/>
      <c r="D112" s="41"/>
      <c r="E112" s="41"/>
      <c r="F112" s="42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</row>
    <row r="113">
      <c r="A113" s="41"/>
      <c r="B113" s="30"/>
      <c r="C113" s="30"/>
      <c r="D113" s="41"/>
      <c r="E113" s="41"/>
      <c r="F113" s="42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</row>
    <row r="114">
      <c r="A114" s="41"/>
      <c r="B114" s="30"/>
      <c r="C114" s="30"/>
      <c r="D114" s="41"/>
      <c r="E114" s="41"/>
      <c r="F114" s="42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</row>
    <row r="115">
      <c r="A115" s="41"/>
      <c r="B115" s="30"/>
      <c r="C115" s="30"/>
      <c r="D115" s="41"/>
      <c r="E115" s="41"/>
      <c r="F115" s="42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</row>
    <row r="116">
      <c r="A116" s="41"/>
      <c r="B116" s="30"/>
      <c r="C116" s="30"/>
      <c r="D116" s="41"/>
      <c r="E116" s="41"/>
      <c r="F116" s="42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</row>
    <row r="117">
      <c r="A117" s="41"/>
      <c r="B117" s="30"/>
      <c r="C117" s="30"/>
      <c r="D117" s="41"/>
      <c r="E117" s="41"/>
      <c r="F117" s="42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</row>
    <row r="118">
      <c r="A118" s="41"/>
      <c r="B118" s="30"/>
      <c r="C118" s="30"/>
      <c r="D118" s="41"/>
      <c r="E118" s="41"/>
      <c r="F118" s="42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</row>
    <row r="119">
      <c r="A119" s="41"/>
      <c r="B119" s="30"/>
      <c r="C119" s="30"/>
      <c r="D119" s="41"/>
      <c r="E119" s="41"/>
      <c r="F119" s="42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</row>
    <row r="120">
      <c r="A120" s="41"/>
      <c r="B120" s="30"/>
      <c r="C120" s="30"/>
      <c r="D120" s="41"/>
      <c r="E120" s="41"/>
      <c r="F120" s="42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</row>
    <row r="121">
      <c r="A121" s="41"/>
      <c r="B121" s="30"/>
      <c r="C121" s="30"/>
      <c r="D121" s="41"/>
      <c r="E121" s="41"/>
      <c r="F121" s="42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</row>
    <row r="122">
      <c r="A122" s="41"/>
      <c r="B122" s="30"/>
      <c r="C122" s="30"/>
      <c r="D122" s="41"/>
      <c r="E122" s="41"/>
      <c r="F122" s="42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</row>
    <row r="123">
      <c r="A123" s="41"/>
      <c r="B123" s="30"/>
      <c r="C123" s="30"/>
      <c r="D123" s="41"/>
      <c r="E123" s="41"/>
      <c r="F123" s="42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</row>
    <row r="124">
      <c r="A124" s="41"/>
      <c r="B124" s="30"/>
      <c r="C124" s="30"/>
      <c r="D124" s="41"/>
      <c r="E124" s="41"/>
      <c r="F124" s="42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</row>
    <row r="125">
      <c r="A125" s="41"/>
      <c r="B125" s="30"/>
      <c r="C125" s="30"/>
      <c r="D125" s="41"/>
      <c r="E125" s="41"/>
      <c r="F125" s="42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</row>
    <row r="126">
      <c r="A126" s="41"/>
      <c r="B126" s="30"/>
      <c r="C126" s="30"/>
      <c r="D126" s="41"/>
      <c r="E126" s="41"/>
      <c r="F126" s="42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</row>
    <row r="127">
      <c r="A127" s="41"/>
      <c r="B127" s="30"/>
      <c r="C127" s="30"/>
      <c r="D127" s="41"/>
      <c r="E127" s="41"/>
      <c r="F127" s="42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</row>
    <row r="128">
      <c r="A128" s="41"/>
      <c r="B128" s="30"/>
      <c r="C128" s="30"/>
      <c r="D128" s="41"/>
      <c r="E128" s="41"/>
      <c r="F128" s="42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</row>
    <row r="129">
      <c r="A129" s="41"/>
      <c r="B129" s="30"/>
      <c r="C129" s="30"/>
      <c r="D129" s="41"/>
      <c r="E129" s="41"/>
      <c r="F129" s="42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</row>
    <row r="130">
      <c r="A130" s="41"/>
      <c r="B130" s="30"/>
      <c r="C130" s="30"/>
      <c r="D130" s="41"/>
      <c r="E130" s="41"/>
      <c r="F130" s="42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</row>
    <row r="131">
      <c r="A131" s="41"/>
      <c r="B131" s="30"/>
      <c r="C131" s="30"/>
      <c r="D131" s="41"/>
      <c r="E131" s="41"/>
      <c r="F131" s="42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</row>
    <row r="132">
      <c r="A132" s="41"/>
      <c r="B132" s="30"/>
      <c r="C132" s="30"/>
      <c r="D132" s="41"/>
      <c r="E132" s="41"/>
      <c r="F132" s="42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</row>
    <row r="133">
      <c r="A133" s="41"/>
      <c r="B133" s="30"/>
      <c r="C133" s="30"/>
      <c r="D133" s="41"/>
      <c r="E133" s="41"/>
      <c r="F133" s="42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</row>
    <row r="134">
      <c r="A134" s="41"/>
      <c r="B134" s="30"/>
      <c r="C134" s="30"/>
      <c r="D134" s="41"/>
      <c r="E134" s="41"/>
      <c r="F134" s="42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</row>
    <row r="135">
      <c r="A135" s="41"/>
      <c r="B135" s="30"/>
      <c r="C135" s="30"/>
      <c r="D135" s="41"/>
      <c r="E135" s="41"/>
      <c r="F135" s="42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</row>
    <row r="136">
      <c r="A136" s="41"/>
      <c r="B136" s="30"/>
      <c r="C136" s="30"/>
      <c r="D136" s="41"/>
      <c r="E136" s="41"/>
      <c r="F136" s="42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</row>
    <row r="137">
      <c r="A137" s="41"/>
      <c r="B137" s="30"/>
      <c r="C137" s="30"/>
      <c r="D137" s="41"/>
      <c r="E137" s="41"/>
      <c r="F137" s="42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</row>
    <row r="138">
      <c r="A138" s="41"/>
      <c r="B138" s="30"/>
      <c r="C138" s="30"/>
      <c r="D138" s="41"/>
      <c r="E138" s="41"/>
      <c r="F138" s="42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</row>
    <row r="139">
      <c r="A139" s="41"/>
      <c r="B139" s="30"/>
      <c r="C139" s="30"/>
      <c r="D139" s="41"/>
      <c r="E139" s="41"/>
      <c r="F139" s="42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</row>
    <row r="140">
      <c r="A140" s="41"/>
      <c r="B140" s="30"/>
      <c r="C140" s="30"/>
      <c r="D140" s="41"/>
      <c r="E140" s="41"/>
      <c r="F140" s="42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</row>
    <row r="141">
      <c r="A141" s="41"/>
      <c r="B141" s="30"/>
      <c r="C141" s="30"/>
      <c r="D141" s="41"/>
      <c r="E141" s="41"/>
      <c r="F141" s="42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</row>
    <row r="142">
      <c r="A142" s="41"/>
      <c r="B142" s="30"/>
      <c r="C142" s="30"/>
      <c r="D142" s="41"/>
      <c r="E142" s="41"/>
      <c r="F142" s="42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</row>
    <row r="143">
      <c r="A143" s="41"/>
      <c r="B143" s="30"/>
      <c r="C143" s="30"/>
      <c r="D143" s="41"/>
      <c r="E143" s="41"/>
      <c r="F143" s="42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</row>
    <row r="144">
      <c r="A144" s="41"/>
      <c r="B144" s="30"/>
      <c r="C144" s="30"/>
      <c r="D144" s="41"/>
      <c r="E144" s="41"/>
      <c r="F144" s="42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</row>
    <row r="145">
      <c r="A145" s="41"/>
      <c r="B145" s="30"/>
      <c r="C145" s="30"/>
      <c r="D145" s="41"/>
      <c r="E145" s="41"/>
      <c r="F145" s="42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</row>
    <row r="146">
      <c r="A146" s="41"/>
      <c r="B146" s="30"/>
      <c r="C146" s="30"/>
      <c r="D146" s="41"/>
      <c r="E146" s="41"/>
      <c r="F146" s="42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</row>
    <row r="147">
      <c r="A147" s="41"/>
      <c r="B147" s="30"/>
      <c r="C147" s="30"/>
      <c r="D147" s="41"/>
      <c r="E147" s="41"/>
      <c r="F147" s="42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</row>
    <row r="148">
      <c r="A148" s="41"/>
      <c r="B148" s="30"/>
      <c r="C148" s="30"/>
      <c r="D148" s="41"/>
      <c r="E148" s="41"/>
      <c r="F148" s="42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</row>
    <row r="149">
      <c r="A149" s="41"/>
      <c r="B149" s="30"/>
      <c r="C149" s="30"/>
      <c r="D149" s="41"/>
      <c r="E149" s="41"/>
      <c r="F149" s="42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</row>
    <row r="150">
      <c r="A150" s="41"/>
      <c r="B150" s="30"/>
      <c r="C150" s="30"/>
      <c r="D150" s="41"/>
      <c r="E150" s="41"/>
      <c r="F150" s="42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</row>
    <row r="151">
      <c r="A151" s="41"/>
      <c r="B151" s="30"/>
      <c r="C151" s="30"/>
      <c r="D151" s="41"/>
      <c r="E151" s="41"/>
      <c r="F151" s="42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</row>
    <row r="152">
      <c r="A152" s="41"/>
      <c r="B152" s="30"/>
      <c r="C152" s="30"/>
      <c r="D152" s="41"/>
      <c r="E152" s="41"/>
      <c r="F152" s="42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</row>
    <row r="153">
      <c r="A153" s="41"/>
      <c r="B153" s="30"/>
      <c r="C153" s="30"/>
      <c r="D153" s="41"/>
      <c r="E153" s="41"/>
      <c r="F153" s="42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</row>
    <row r="154">
      <c r="A154" s="41"/>
      <c r="B154" s="30"/>
      <c r="C154" s="30"/>
      <c r="D154" s="41"/>
      <c r="E154" s="41"/>
      <c r="F154" s="42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</row>
    <row r="155">
      <c r="A155" s="41"/>
      <c r="B155" s="30"/>
      <c r="C155" s="30"/>
      <c r="D155" s="41"/>
      <c r="E155" s="41"/>
      <c r="F155" s="42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</row>
    <row r="156">
      <c r="A156" s="41"/>
      <c r="B156" s="30"/>
      <c r="C156" s="30"/>
      <c r="D156" s="41"/>
      <c r="E156" s="41"/>
      <c r="F156" s="42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</row>
    <row r="157">
      <c r="A157" s="41"/>
      <c r="B157" s="30"/>
      <c r="C157" s="30"/>
      <c r="D157" s="41"/>
      <c r="E157" s="41"/>
      <c r="F157" s="42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</row>
    <row r="158">
      <c r="A158" s="41"/>
      <c r="B158" s="30"/>
      <c r="C158" s="30"/>
      <c r="D158" s="41"/>
      <c r="E158" s="41"/>
      <c r="F158" s="42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</row>
    <row r="159">
      <c r="A159" s="41"/>
      <c r="B159" s="30"/>
      <c r="C159" s="30"/>
      <c r="D159" s="41"/>
      <c r="E159" s="41"/>
      <c r="F159" s="42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</row>
    <row r="160">
      <c r="A160" s="41"/>
      <c r="B160" s="30"/>
      <c r="C160" s="30"/>
      <c r="D160" s="41"/>
      <c r="E160" s="41"/>
      <c r="F160" s="42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</row>
    <row r="161">
      <c r="A161" s="41"/>
      <c r="B161" s="30"/>
      <c r="C161" s="30"/>
      <c r="D161" s="41"/>
      <c r="E161" s="41"/>
      <c r="F161" s="42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</row>
    <row r="162">
      <c r="A162" s="41"/>
      <c r="B162" s="30"/>
      <c r="C162" s="30"/>
      <c r="D162" s="41"/>
      <c r="E162" s="41"/>
      <c r="F162" s="42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</row>
    <row r="163">
      <c r="A163" s="41"/>
      <c r="B163" s="30"/>
      <c r="C163" s="30"/>
      <c r="D163" s="41"/>
      <c r="E163" s="41"/>
      <c r="F163" s="42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</row>
    <row r="164">
      <c r="A164" s="41"/>
      <c r="B164" s="30"/>
      <c r="C164" s="30"/>
      <c r="D164" s="41"/>
      <c r="E164" s="41"/>
      <c r="F164" s="42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</row>
    <row r="165">
      <c r="A165" s="41"/>
      <c r="B165" s="30"/>
      <c r="C165" s="30"/>
      <c r="D165" s="41"/>
      <c r="E165" s="41"/>
      <c r="F165" s="42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</row>
    <row r="166">
      <c r="A166" s="41"/>
      <c r="B166" s="30"/>
      <c r="C166" s="30"/>
      <c r="D166" s="41"/>
      <c r="E166" s="41"/>
      <c r="F166" s="42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</row>
    <row r="167">
      <c r="A167" s="41"/>
      <c r="B167" s="30"/>
      <c r="C167" s="30"/>
      <c r="D167" s="41"/>
      <c r="E167" s="41"/>
      <c r="F167" s="42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</row>
    <row r="168">
      <c r="A168" s="41"/>
      <c r="B168" s="30"/>
      <c r="C168" s="30"/>
      <c r="D168" s="41"/>
      <c r="E168" s="41"/>
      <c r="F168" s="42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</row>
    <row r="169">
      <c r="A169" s="41"/>
      <c r="B169" s="30"/>
      <c r="C169" s="30"/>
      <c r="D169" s="41"/>
      <c r="E169" s="41"/>
      <c r="F169" s="42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</row>
    <row r="170">
      <c r="A170" s="41"/>
      <c r="B170" s="30"/>
      <c r="C170" s="30"/>
      <c r="D170" s="41"/>
      <c r="E170" s="41"/>
      <c r="F170" s="42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</row>
    <row r="171">
      <c r="A171" s="41"/>
      <c r="B171" s="30"/>
      <c r="C171" s="30"/>
      <c r="D171" s="41"/>
      <c r="E171" s="41"/>
      <c r="F171" s="42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</row>
    <row r="172">
      <c r="A172" s="41"/>
      <c r="B172" s="30"/>
      <c r="C172" s="30"/>
      <c r="D172" s="41"/>
      <c r="E172" s="41"/>
      <c r="F172" s="42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</row>
    <row r="173">
      <c r="A173" s="41"/>
      <c r="B173" s="30"/>
      <c r="C173" s="30"/>
      <c r="D173" s="41"/>
      <c r="E173" s="41"/>
      <c r="F173" s="42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</row>
    <row r="174">
      <c r="A174" s="41"/>
      <c r="B174" s="30"/>
      <c r="C174" s="30"/>
      <c r="D174" s="41"/>
      <c r="E174" s="41"/>
      <c r="F174" s="42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</row>
    <row r="175">
      <c r="A175" s="41"/>
      <c r="B175" s="30"/>
      <c r="C175" s="30"/>
      <c r="D175" s="41"/>
      <c r="E175" s="41"/>
      <c r="F175" s="42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</row>
    <row r="176">
      <c r="A176" s="41"/>
      <c r="B176" s="30"/>
      <c r="C176" s="30"/>
      <c r="D176" s="41"/>
      <c r="E176" s="41"/>
      <c r="F176" s="42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</row>
    <row r="177">
      <c r="A177" s="41"/>
      <c r="B177" s="30"/>
      <c r="C177" s="30"/>
      <c r="D177" s="41"/>
      <c r="E177" s="41"/>
      <c r="F177" s="42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</row>
    <row r="178">
      <c r="A178" s="41"/>
      <c r="B178" s="30"/>
      <c r="C178" s="30"/>
      <c r="D178" s="41"/>
      <c r="E178" s="41"/>
      <c r="F178" s="42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</row>
    <row r="179">
      <c r="A179" s="41"/>
      <c r="B179" s="30"/>
      <c r="C179" s="30"/>
      <c r="D179" s="41"/>
      <c r="E179" s="41"/>
      <c r="F179" s="42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</row>
    <row r="180">
      <c r="A180" s="41"/>
      <c r="B180" s="30"/>
      <c r="C180" s="30"/>
      <c r="D180" s="41"/>
      <c r="E180" s="41"/>
      <c r="F180" s="42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</row>
    <row r="181">
      <c r="A181" s="41"/>
      <c r="B181" s="30"/>
      <c r="C181" s="30"/>
      <c r="D181" s="41"/>
      <c r="E181" s="41"/>
      <c r="F181" s="42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</row>
    <row r="182">
      <c r="A182" s="41"/>
      <c r="B182" s="30"/>
      <c r="C182" s="30"/>
      <c r="D182" s="41"/>
      <c r="E182" s="41"/>
      <c r="F182" s="42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</row>
    <row r="183">
      <c r="A183" s="41"/>
      <c r="B183" s="30"/>
      <c r="C183" s="30"/>
      <c r="D183" s="41"/>
      <c r="E183" s="41"/>
      <c r="F183" s="42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</row>
    <row r="184">
      <c r="A184" s="41"/>
      <c r="B184" s="30"/>
      <c r="C184" s="30"/>
      <c r="D184" s="41"/>
      <c r="E184" s="41"/>
      <c r="F184" s="42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</row>
    <row r="185">
      <c r="A185" s="41"/>
      <c r="B185" s="30"/>
      <c r="C185" s="30"/>
      <c r="D185" s="41"/>
      <c r="E185" s="41"/>
      <c r="F185" s="42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</row>
    <row r="186">
      <c r="A186" s="41"/>
      <c r="B186" s="30"/>
      <c r="C186" s="30"/>
      <c r="D186" s="41"/>
      <c r="E186" s="41"/>
      <c r="F186" s="42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</row>
    <row r="187">
      <c r="A187" s="41"/>
      <c r="B187" s="30"/>
      <c r="C187" s="30"/>
      <c r="D187" s="41"/>
      <c r="E187" s="41"/>
      <c r="F187" s="42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</row>
    <row r="188">
      <c r="A188" s="41"/>
      <c r="B188" s="30"/>
      <c r="C188" s="30"/>
      <c r="D188" s="41"/>
      <c r="E188" s="41"/>
      <c r="F188" s="42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</row>
    <row r="189">
      <c r="A189" s="41"/>
      <c r="B189" s="30"/>
      <c r="C189" s="30"/>
      <c r="D189" s="41"/>
      <c r="E189" s="41"/>
      <c r="F189" s="42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</row>
    <row r="190">
      <c r="A190" s="41"/>
      <c r="B190" s="30"/>
      <c r="C190" s="30"/>
      <c r="D190" s="41"/>
      <c r="E190" s="41"/>
      <c r="F190" s="42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</row>
    <row r="191">
      <c r="A191" s="41"/>
      <c r="B191" s="30"/>
      <c r="C191" s="30"/>
      <c r="D191" s="41"/>
      <c r="E191" s="41"/>
      <c r="F191" s="42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</row>
    <row r="192">
      <c r="A192" s="41"/>
      <c r="B192" s="30"/>
      <c r="C192" s="30"/>
      <c r="D192" s="41"/>
      <c r="E192" s="41"/>
      <c r="F192" s="42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</row>
    <row r="193">
      <c r="A193" s="41"/>
      <c r="B193" s="30"/>
      <c r="C193" s="30"/>
      <c r="D193" s="41"/>
      <c r="E193" s="41"/>
      <c r="F193" s="42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</row>
    <row r="194">
      <c r="A194" s="41"/>
      <c r="B194" s="30"/>
      <c r="C194" s="30"/>
      <c r="D194" s="41"/>
      <c r="E194" s="41"/>
      <c r="F194" s="42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</row>
    <row r="195">
      <c r="A195" s="41"/>
      <c r="B195" s="30"/>
      <c r="C195" s="30"/>
      <c r="D195" s="41"/>
      <c r="E195" s="41"/>
      <c r="F195" s="42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</row>
    <row r="196">
      <c r="A196" s="41"/>
      <c r="B196" s="30"/>
      <c r="C196" s="30"/>
      <c r="D196" s="41"/>
      <c r="E196" s="41"/>
      <c r="F196" s="42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</row>
    <row r="197">
      <c r="A197" s="41"/>
      <c r="B197" s="30"/>
      <c r="C197" s="30"/>
      <c r="D197" s="41"/>
      <c r="E197" s="41"/>
      <c r="F197" s="42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</row>
    <row r="198">
      <c r="A198" s="41"/>
      <c r="B198" s="30"/>
      <c r="C198" s="30"/>
      <c r="D198" s="41"/>
      <c r="E198" s="41"/>
      <c r="F198" s="42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</row>
    <row r="199">
      <c r="A199" s="41"/>
      <c r="B199" s="30"/>
      <c r="C199" s="30"/>
      <c r="D199" s="41"/>
      <c r="E199" s="41"/>
      <c r="F199" s="42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</row>
    <row r="200">
      <c r="A200" s="41"/>
      <c r="B200" s="30"/>
      <c r="C200" s="30"/>
      <c r="D200" s="41"/>
      <c r="E200" s="41"/>
      <c r="F200" s="42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</row>
    <row r="201">
      <c r="A201" s="41"/>
      <c r="B201" s="30"/>
      <c r="C201" s="30"/>
      <c r="D201" s="41"/>
      <c r="E201" s="41"/>
      <c r="F201" s="42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</row>
    <row r="202">
      <c r="A202" s="41"/>
      <c r="B202" s="30"/>
      <c r="C202" s="30"/>
      <c r="D202" s="41"/>
      <c r="E202" s="41"/>
      <c r="F202" s="42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</row>
    <row r="203">
      <c r="A203" s="41"/>
      <c r="B203" s="30"/>
      <c r="C203" s="30"/>
      <c r="D203" s="41"/>
      <c r="E203" s="41"/>
      <c r="F203" s="42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</row>
    <row r="204">
      <c r="A204" s="41"/>
      <c r="B204" s="30"/>
      <c r="C204" s="30"/>
      <c r="D204" s="41"/>
      <c r="E204" s="41"/>
      <c r="F204" s="42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</row>
    <row r="205">
      <c r="A205" s="41"/>
      <c r="B205" s="30"/>
      <c r="C205" s="30"/>
      <c r="D205" s="41"/>
      <c r="E205" s="41"/>
      <c r="F205" s="42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</row>
    <row r="206">
      <c r="A206" s="41"/>
      <c r="B206" s="30"/>
      <c r="C206" s="30"/>
      <c r="D206" s="41"/>
      <c r="E206" s="41"/>
      <c r="F206" s="42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</row>
    <row r="207">
      <c r="A207" s="41"/>
      <c r="B207" s="30"/>
      <c r="C207" s="30"/>
      <c r="D207" s="41"/>
      <c r="E207" s="41"/>
      <c r="F207" s="42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</row>
    <row r="208">
      <c r="A208" s="41"/>
      <c r="B208" s="30"/>
      <c r="C208" s="30"/>
      <c r="D208" s="41"/>
      <c r="E208" s="41"/>
      <c r="F208" s="42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</row>
    <row r="209">
      <c r="A209" s="41"/>
      <c r="B209" s="30"/>
      <c r="C209" s="30"/>
      <c r="D209" s="41"/>
      <c r="E209" s="41"/>
      <c r="F209" s="42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</row>
    <row r="210">
      <c r="A210" s="41"/>
      <c r="B210" s="30"/>
      <c r="C210" s="30"/>
      <c r="D210" s="41"/>
      <c r="E210" s="41"/>
      <c r="F210" s="42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</row>
    <row r="211">
      <c r="A211" s="41"/>
      <c r="B211" s="30"/>
      <c r="C211" s="30"/>
      <c r="D211" s="41"/>
      <c r="E211" s="41"/>
      <c r="F211" s="42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</row>
    <row r="212">
      <c r="A212" s="41"/>
      <c r="B212" s="30"/>
      <c r="C212" s="30"/>
      <c r="D212" s="41"/>
      <c r="E212" s="41"/>
      <c r="F212" s="42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</row>
    <row r="213">
      <c r="A213" s="41"/>
      <c r="B213" s="30"/>
      <c r="C213" s="30"/>
      <c r="D213" s="41"/>
      <c r="E213" s="41"/>
      <c r="F213" s="42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</row>
    <row r="214">
      <c r="A214" s="41"/>
      <c r="B214" s="30"/>
      <c r="C214" s="30"/>
      <c r="D214" s="41"/>
      <c r="E214" s="41"/>
      <c r="F214" s="42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</row>
    <row r="215">
      <c r="A215" s="41"/>
      <c r="B215" s="30"/>
      <c r="C215" s="30"/>
      <c r="D215" s="41"/>
      <c r="E215" s="41"/>
      <c r="F215" s="42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</row>
    <row r="216">
      <c r="A216" s="41"/>
      <c r="B216" s="30"/>
      <c r="C216" s="30"/>
      <c r="D216" s="41"/>
      <c r="E216" s="41"/>
      <c r="F216" s="42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</row>
    <row r="217">
      <c r="A217" s="41"/>
      <c r="B217" s="30"/>
      <c r="C217" s="30"/>
      <c r="D217" s="41"/>
      <c r="E217" s="41"/>
      <c r="F217" s="42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</row>
    <row r="218">
      <c r="A218" s="41"/>
      <c r="B218" s="30"/>
      <c r="C218" s="30"/>
      <c r="D218" s="41"/>
      <c r="E218" s="41"/>
      <c r="F218" s="42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</row>
    <row r="219">
      <c r="A219" s="41"/>
      <c r="B219" s="30"/>
      <c r="C219" s="30"/>
      <c r="D219" s="41"/>
      <c r="E219" s="41"/>
      <c r="F219" s="42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</row>
    <row r="220">
      <c r="A220" s="41"/>
      <c r="B220" s="30"/>
      <c r="C220" s="30"/>
      <c r="D220" s="41"/>
      <c r="E220" s="41"/>
      <c r="F220" s="42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</row>
    <row r="221">
      <c r="A221" s="41"/>
      <c r="B221" s="30"/>
      <c r="C221" s="30"/>
      <c r="D221" s="41"/>
      <c r="E221" s="41"/>
      <c r="F221" s="42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</row>
    <row r="222">
      <c r="A222" s="41"/>
      <c r="B222" s="30"/>
      <c r="C222" s="30"/>
      <c r="D222" s="41"/>
      <c r="E222" s="41"/>
      <c r="F222" s="42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</row>
    <row r="223">
      <c r="A223" s="41"/>
      <c r="B223" s="30"/>
      <c r="C223" s="30"/>
      <c r="D223" s="41"/>
      <c r="E223" s="41"/>
      <c r="F223" s="42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</row>
    <row r="224">
      <c r="A224" s="41"/>
      <c r="B224" s="30"/>
      <c r="C224" s="30"/>
      <c r="D224" s="41"/>
      <c r="E224" s="41"/>
      <c r="F224" s="42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</row>
    <row r="225">
      <c r="A225" s="41"/>
      <c r="B225" s="30"/>
      <c r="C225" s="30"/>
      <c r="D225" s="41"/>
      <c r="E225" s="41"/>
      <c r="F225" s="42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</row>
    <row r="226">
      <c r="A226" s="41"/>
      <c r="B226" s="30"/>
      <c r="C226" s="30"/>
      <c r="D226" s="41"/>
      <c r="E226" s="41"/>
      <c r="F226" s="42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</row>
    <row r="227">
      <c r="A227" s="41"/>
      <c r="B227" s="30"/>
      <c r="C227" s="30"/>
      <c r="D227" s="41"/>
      <c r="E227" s="41"/>
      <c r="F227" s="42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</row>
    <row r="228">
      <c r="A228" s="41"/>
      <c r="B228" s="30"/>
      <c r="C228" s="30"/>
      <c r="D228" s="41"/>
      <c r="E228" s="41"/>
      <c r="F228" s="42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</row>
    <row r="229">
      <c r="A229" s="41"/>
      <c r="B229" s="30"/>
      <c r="C229" s="30"/>
      <c r="D229" s="41"/>
      <c r="E229" s="41"/>
      <c r="F229" s="42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</row>
    <row r="230">
      <c r="A230" s="41"/>
      <c r="B230" s="30"/>
      <c r="C230" s="30"/>
      <c r="D230" s="41"/>
      <c r="E230" s="41"/>
      <c r="F230" s="42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</row>
    <row r="231">
      <c r="A231" s="41"/>
      <c r="B231" s="30"/>
      <c r="C231" s="30"/>
      <c r="D231" s="41"/>
      <c r="E231" s="41"/>
      <c r="F231" s="42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</row>
    <row r="232">
      <c r="A232" s="41"/>
      <c r="B232" s="30"/>
      <c r="C232" s="30"/>
      <c r="D232" s="41"/>
      <c r="E232" s="41"/>
      <c r="F232" s="42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</row>
    <row r="233">
      <c r="A233" s="41"/>
      <c r="B233" s="30"/>
      <c r="C233" s="30"/>
      <c r="D233" s="41"/>
      <c r="E233" s="41"/>
      <c r="F233" s="42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</row>
    <row r="234">
      <c r="A234" s="41"/>
      <c r="B234" s="30"/>
      <c r="C234" s="30"/>
      <c r="D234" s="41"/>
      <c r="E234" s="41"/>
      <c r="F234" s="42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</row>
    <row r="235">
      <c r="A235" s="41"/>
      <c r="B235" s="30"/>
      <c r="C235" s="30"/>
      <c r="D235" s="41"/>
      <c r="E235" s="41"/>
      <c r="F235" s="42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</row>
    <row r="236">
      <c r="A236" s="41"/>
      <c r="B236" s="30"/>
      <c r="C236" s="30"/>
      <c r="D236" s="41"/>
      <c r="E236" s="41"/>
      <c r="F236" s="42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</row>
    <row r="237">
      <c r="A237" s="41"/>
      <c r="B237" s="30"/>
      <c r="C237" s="30"/>
      <c r="D237" s="41"/>
      <c r="E237" s="41"/>
      <c r="F237" s="42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</row>
    <row r="238">
      <c r="A238" s="41"/>
      <c r="B238" s="30"/>
      <c r="C238" s="30"/>
      <c r="D238" s="41"/>
      <c r="E238" s="41"/>
      <c r="F238" s="42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</row>
    <row r="239">
      <c r="A239" s="41"/>
      <c r="B239" s="30"/>
      <c r="C239" s="30"/>
      <c r="D239" s="41"/>
      <c r="E239" s="41"/>
      <c r="F239" s="42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</row>
    <row r="240">
      <c r="A240" s="41"/>
      <c r="B240" s="30"/>
      <c r="C240" s="30"/>
      <c r="D240" s="41"/>
      <c r="E240" s="41"/>
      <c r="F240" s="42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</row>
    <row r="241">
      <c r="A241" s="41"/>
      <c r="B241" s="30"/>
      <c r="C241" s="30"/>
      <c r="D241" s="41"/>
      <c r="E241" s="41"/>
      <c r="F241" s="42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</row>
    <row r="242">
      <c r="A242" s="41"/>
      <c r="B242" s="30"/>
      <c r="C242" s="30"/>
      <c r="D242" s="41"/>
      <c r="E242" s="41"/>
      <c r="F242" s="42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</row>
    <row r="243">
      <c r="A243" s="41"/>
      <c r="B243" s="30"/>
      <c r="C243" s="30"/>
      <c r="D243" s="41"/>
      <c r="E243" s="41"/>
      <c r="F243" s="42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</row>
    <row r="244">
      <c r="A244" s="41"/>
      <c r="B244" s="30"/>
      <c r="C244" s="30"/>
      <c r="D244" s="41"/>
      <c r="E244" s="41"/>
      <c r="F244" s="42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</row>
    <row r="245">
      <c r="A245" s="41"/>
      <c r="B245" s="30"/>
      <c r="C245" s="30"/>
      <c r="D245" s="41"/>
      <c r="E245" s="41"/>
      <c r="F245" s="42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</row>
    <row r="246">
      <c r="A246" s="41"/>
      <c r="B246" s="30"/>
      <c r="C246" s="30"/>
      <c r="D246" s="41"/>
      <c r="E246" s="41"/>
      <c r="F246" s="42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</row>
    <row r="247">
      <c r="A247" s="41"/>
      <c r="B247" s="30"/>
      <c r="C247" s="30"/>
      <c r="D247" s="41"/>
      <c r="E247" s="41"/>
      <c r="F247" s="42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</row>
    <row r="248">
      <c r="A248" s="41"/>
      <c r="B248" s="30"/>
      <c r="C248" s="30"/>
      <c r="D248" s="41"/>
      <c r="E248" s="41"/>
      <c r="F248" s="42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</row>
    <row r="249">
      <c r="A249" s="41"/>
      <c r="B249" s="30"/>
      <c r="C249" s="30"/>
      <c r="D249" s="41"/>
      <c r="E249" s="41"/>
      <c r="F249" s="42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</row>
    <row r="250">
      <c r="A250" s="41"/>
      <c r="B250" s="30"/>
      <c r="C250" s="30"/>
      <c r="D250" s="41"/>
      <c r="E250" s="41"/>
      <c r="F250" s="42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</row>
    <row r="251">
      <c r="A251" s="41"/>
      <c r="B251" s="30"/>
      <c r="C251" s="30"/>
      <c r="D251" s="41"/>
      <c r="E251" s="41"/>
      <c r="F251" s="42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</row>
    <row r="252">
      <c r="A252" s="41"/>
      <c r="B252" s="30"/>
      <c r="C252" s="30"/>
      <c r="D252" s="41"/>
      <c r="E252" s="41"/>
      <c r="F252" s="42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</row>
    <row r="253">
      <c r="A253" s="41"/>
      <c r="B253" s="30"/>
      <c r="C253" s="30"/>
      <c r="D253" s="41"/>
      <c r="E253" s="41"/>
      <c r="F253" s="42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</row>
    <row r="254">
      <c r="A254" s="41"/>
      <c r="B254" s="30"/>
      <c r="C254" s="30"/>
      <c r="D254" s="41"/>
      <c r="E254" s="41"/>
      <c r="F254" s="42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</row>
    <row r="255">
      <c r="A255" s="41"/>
      <c r="B255" s="30"/>
      <c r="C255" s="30"/>
      <c r="D255" s="41"/>
      <c r="E255" s="41"/>
      <c r="F255" s="42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</row>
    <row r="256">
      <c r="A256" s="41"/>
      <c r="B256" s="30"/>
      <c r="C256" s="30"/>
      <c r="D256" s="41"/>
      <c r="E256" s="41"/>
      <c r="F256" s="42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</row>
    <row r="257">
      <c r="A257" s="41"/>
      <c r="B257" s="30"/>
      <c r="C257" s="30"/>
      <c r="D257" s="41"/>
      <c r="E257" s="41"/>
      <c r="F257" s="42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</row>
    <row r="258">
      <c r="A258" s="41"/>
      <c r="B258" s="30"/>
      <c r="C258" s="30"/>
      <c r="D258" s="41"/>
      <c r="E258" s="41"/>
      <c r="F258" s="42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</row>
    <row r="259">
      <c r="A259" s="41"/>
      <c r="B259" s="30"/>
      <c r="C259" s="30"/>
      <c r="D259" s="41"/>
      <c r="E259" s="41"/>
      <c r="F259" s="42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</row>
    <row r="260">
      <c r="A260" s="41"/>
      <c r="B260" s="30"/>
      <c r="C260" s="30"/>
      <c r="D260" s="41"/>
      <c r="E260" s="41"/>
      <c r="F260" s="42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</row>
    <row r="261">
      <c r="A261" s="41"/>
      <c r="B261" s="30"/>
      <c r="C261" s="30"/>
      <c r="D261" s="41"/>
      <c r="E261" s="41"/>
      <c r="F261" s="42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</row>
    <row r="262">
      <c r="A262" s="41"/>
      <c r="B262" s="30"/>
      <c r="C262" s="30"/>
      <c r="D262" s="41"/>
      <c r="E262" s="41"/>
      <c r="F262" s="42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</row>
    <row r="263">
      <c r="A263" s="41"/>
      <c r="B263" s="30"/>
      <c r="C263" s="30"/>
      <c r="D263" s="41"/>
      <c r="E263" s="41"/>
      <c r="F263" s="42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</row>
    <row r="264">
      <c r="A264" s="41"/>
      <c r="B264" s="30"/>
      <c r="C264" s="30"/>
      <c r="D264" s="41"/>
      <c r="E264" s="41"/>
      <c r="F264" s="42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</row>
    <row r="265">
      <c r="A265" s="41"/>
      <c r="B265" s="30"/>
      <c r="C265" s="30"/>
      <c r="D265" s="41"/>
      <c r="E265" s="41"/>
      <c r="F265" s="42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</row>
    <row r="266">
      <c r="A266" s="41"/>
      <c r="B266" s="30"/>
      <c r="C266" s="30"/>
      <c r="D266" s="41"/>
      <c r="E266" s="41"/>
      <c r="F266" s="42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</row>
    <row r="267">
      <c r="A267" s="41"/>
      <c r="B267" s="30"/>
      <c r="C267" s="30"/>
      <c r="D267" s="41"/>
      <c r="E267" s="41"/>
      <c r="F267" s="42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</row>
    <row r="268">
      <c r="A268" s="41"/>
      <c r="B268" s="30"/>
      <c r="C268" s="30"/>
      <c r="D268" s="41"/>
      <c r="E268" s="41"/>
      <c r="F268" s="42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</row>
    <row r="269">
      <c r="A269" s="41"/>
      <c r="B269" s="30"/>
      <c r="C269" s="30"/>
      <c r="D269" s="41"/>
      <c r="E269" s="41"/>
      <c r="F269" s="42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</row>
    <row r="270">
      <c r="A270" s="41"/>
      <c r="B270" s="30"/>
      <c r="C270" s="30"/>
      <c r="D270" s="41"/>
      <c r="E270" s="41"/>
      <c r="F270" s="42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</row>
    <row r="271">
      <c r="A271" s="41"/>
      <c r="B271" s="30"/>
      <c r="C271" s="30"/>
      <c r="D271" s="41"/>
      <c r="E271" s="41"/>
      <c r="F271" s="42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</row>
    <row r="272">
      <c r="A272" s="41"/>
      <c r="B272" s="30"/>
      <c r="C272" s="30"/>
      <c r="D272" s="41"/>
      <c r="E272" s="41"/>
      <c r="F272" s="42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</row>
    <row r="273">
      <c r="A273" s="41"/>
      <c r="B273" s="30"/>
      <c r="C273" s="30"/>
      <c r="D273" s="41"/>
      <c r="E273" s="41"/>
      <c r="F273" s="42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</row>
    <row r="274">
      <c r="A274" s="41"/>
      <c r="B274" s="30"/>
      <c r="C274" s="30"/>
      <c r="D274" s="41"/>
      <c r="E274" s="41"/>
      <c r="F274" s="42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</row>
    <row r="275">
      <c r="A275" s="41"/>
      <c r="B275" s="30"/>
      <c r="C275" s="30"/>
      <c r="D275" s="41"/>
      <c r="E275" s="41"/>
      <c r="F275" s="42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</row>
    <row r="276">
      <c r="A276" s="41"/>
      <c r="B276" s="30"/>
      <c r="C276" s="30"/>
      <c r="D276" s="41"/>
      <c r="E276" s="41"/>
      <c r="F276" s="42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</row>
    <row r="277">
      <c r="A277" s="41"/>
      <c r="B277" s="30"/>
      <c r="C277" s="30"/>
      <c r="D277" s="41"/>
      <c r="E277" s="41"/>
      <c r="F277" s="42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</row>
    <row r="278">
      <c r="A278" s="41"/>
      <c r="B278" s="30"/>
      <c r="C278" s="30"/>
      <c r="D278" s="41"/>
      <c r="E278" s="41"/>
      <c r="F278" s="42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</row>
    <row r="279">
      <c r="A279" s="41"/>
      <c r="B279" s="30"/>
      <c r="C279" s="30"/>
      <c r="D279" s="41"/>
      <c r="E279" s="41"/>
      <c r="F279" s="42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</row>
    <row r="280">
      <c r="A280" s="41"/>
      <c r="B280" s="30"/>
      <c r="C280" s="30"/>
      <c r="D280" s="41"/>
      <c r="E280" s="41"/>
      <c r="F280" s="42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</row>
    <row r="281">
      <c r="A281" s="41"/>
      <c r="B281" s="30"/>
      <c r="C281" s="30"/>
      <c r="D281" s="41"/>
      <c r="E281" s="41"/>
      <c r="F281" s="42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</row>
    <row r="282">
      <c r="A282" s="41"/>
      <c r="B282" s="30"/>
      <c r="C282" s="30"/>
      <c r="D282" s="41"/>
      <c r="E282" s="41"/>
      <c r="F282" s="42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</row>
    <row r="283">
      <c r="A283" s="41"/>
      <c r="B283" s="30"/>
      <c r="C283" s="30"/>
      <c r="D283" s="41"/>
      <c r="E283" s="41"/>
      <c r="F283" s="42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</row>
    <row r="284">
      <c r="A284" s="41"/>
      <c r="B284" s="30"/>
      <c r="C284" s="30"/>
      <c r="D284" s="41"/>
      <c r="E284" s="41"/>
      <c r="F284" s="42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</row>
    <row r="285">
      <c r="A285" s="41"/>
      <c r="B285" s="30"/>
      <c r="C285" s="30"/>
      <c r="D285" s="41"/>
      <c r="E285" s="41"/>
      <c r="F285" s="42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</row>
    <row r="286">
      <c r="A286" s="41"/>
      <c r="B286" s="30"/>
      <c r="C286" s="30"/>
      <c r="D286" s="41"/>
      <c r="E286" s="41"/>
      <c r="F286" s="42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</row>
    <row r="287">
      <c r="A287" s="41"/>
      <c r="B287" s="30"/>
      <c r="C287" s="30"/>
      <c r="D287" s="41"/>
      <c r="E287" s="41"/>
      <c r="F287" s="42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</row>
    <row r="288">
      <c r="A288" s="41"/>
      <c r="B288" s="30"/>
      <c r="C288" s="30"/>
      <c r="D288" s="41"/>
      <c r="E288" s="41"/>
      <c r="F288" s="42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</row>
    <row r="289">
      <c r="A289" s="41"/>
      <c r="B289" s="30"/>
      <c r="C289" s="30"/>
      <c r="D289" s="41"/>
      <c r="E289" s="41"/>
      <c r="F289" s="42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</row>
    <row r="290">
      <c r="A290" s="41"/>
      <c r="B290" s="30"/>
      <c r="C290" s="30"/>
      <c r="D290" s="41"/>
      <c r="E290" s="41"/>
      <c r="F290" s="42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</row>
    <row r="291">
      <c r="A291" s="41"/>
      <c r="B291" s="30"/>
      <c r="C291" s="30"/>
      <c r="D291" s="41"/>
      <c r="E291" s="41"/>
      <c r="F291" s="42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</row>
    <row r="292">
      <c r="A292" s="41"/>
      <c r="B292" s="30"/>
      <c r="C292" s="30"/>
      <c r="D292" s="41"/>
      <c r="E292" s="41"/>
      <c r="F292" s="42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</row>
    <row r="293">
      <c r="A293" s="41"/>
      <c r="B293" s="30"/>
      <c r="C293" s="30"/>
      <c r="D293" s="41"/>
      <c r="E293" s="41"/>
      <c r="F293" s="42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</row>
    <row r="294">
      <c r="A294" s="41"/>
      <c r="B294" s="30"/>
      <c r="C294" s="30"/>
      <c r="D294" s="41"/>
      <c r="E294" s="41"/>
      <c r="F294" s="42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</row>
    <row r="295">
      <c r="A295" s="41"/>
      <c r="B295" s="30"/>
      <c r="C295" s="30"/>
      <c r="D295" s="41"/>
      <c r="E295" s="41"/>
      <c r="F295" s="42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</row>
    <row r="296">
      <c r="A296" s="41"/>
      <c r="B296" s="30"/>
      <c r="C296" s="30"/>
      <c r="D296" s="41"/>
      <c r="E296" s="41"/>
      <c r="F296" s="42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</row>
    <row r="297">
      <c r="A297" s="41"/>
      <c r="B297" s="30"/>
      <c r="C297" s="30"/>
      <c r="D297" s="41"/>
      <c r="E297" s="41"/>
      <c r="F297" s="42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</row>
    <row r="298">
      <c r="A298" s="41"/>
      <c r="B298" s="30"/>
      <c r="C298" s="30"/>
      <c r="D298" s="41"/>
      <c r="E298" s="41"/>
      <c r="F298" s="42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</row>
    <row r="299">
      <c r="A299" s="41"/>
      <c r="B299" s="30"/>
      <c r="C299" s="30"/>
      <c r="D299" s="41"/>
      <c r="E299" s="41"/>
      <c r="F299" s="42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</row>
    <row r="300">
      <c r="A300" s="41"/>
      <c r="B300" s="30"/>
      <c r="C300" s="30"/>
      <c r="D300" s="41"/>
      <c r="E300" s="41"/>
      <c r="F300" s="42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</row>
    <row r="301">
      <c r="A301" s="41"/>
      <c r="B301" s="30"/>
      <c r="C301" s="30"/>
      <c r="D301" s="41"/>
      <c r="E301" s="41"/>
      <c r="F301" s="42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</row>
    <row r="302">
      <c r="A302" s="41"/>
      <c r="B302" s="30"/>
      <c r="C302" s="30"/>
      <c r="D302" s="41"/>
      <c r="E302" s="41"/>
      <c r="F302" s="42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</row>
    <row r="303">
      <c r="A303" s="41"/>
      <c r="B303" s="30"/>
      <c r="C303" s="30"/>
      <c r="D303" s="41"/>
      <c r="E303" s="41"/>
      <c r="F303" s="42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</row>
    <row r="304">
      <c r="A304" s="41"/>
      <c r="B304" s="30"/>
      <c r="C304" s="30"/>
      <c r="D304" s="41"/>
      <c r="E304" s="41"/>
      <c r="F304" s="42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</row>
    <row r="305">
      <c r="A305" s="41"/>
      <c r="B305" s="30"/>
      <c r="C305" s="30"/>
      <c r="D305" s="41"/>
      <c r="E305" s="41"/>
      <c r="F305" s="42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</row>
    <row r="306">
      <c r="A306" s="41"/>
      <c r="B306" s="30"/>
      <c r="C306" s="30"/>
      <c r="D306" s="41"/>
      <c r="E306" s="41"/>
      <c r="F306" s="42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</row>
    <row r="307">
      <c r="A307" s="41"/>
      <c r="B307" s="30"/>
      <c r="C307" s="30"/>
      <c r="D307" s="41"/>
      <c r="E307" s="41"/>
      <c r="F307" s="42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</row>
    <row r="308">
      <c r="A308" s="41"/>
      <c r="B308" s="30"/>
      <c r="C308" s="30"/>
      <c r="D308" s="41"/>
      <c r="E308" s="41"/>
      <c r="F308" s="42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</row>
    <row r="309">
      <c r="A309" s="41"/>
      <c r="B309" s="30"/>
      <c r="C309" s="30"/>
      <c r="D309" s="41"/>
      <c r="E309" s="41"/>
      <c r="F309" s="42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</row>
    <row r="310">
      <c r="A310" s="41"/>
      <c r="B310" s="30"/>
      <c r="C310" s="30"/>
      <c r="D310" s="41"/>
      <c r="E310" s="41"/>
      <c r="F310" s="42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</row>
    <row r="311">
      <c r="A311" s="41"/>
      <c r="B311" s="30"/>
      <c r="C311" s="30"/>
      <c r="D311" s="41"/>
      <c r="E311" s="41"/>
      <c r="F311" s="42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</row>
    <row r="312">
      <c r="A312" s="41"/>
      <c r="B312" s="30"/>
      <c r="C312" s="30"/>
      <c r="D312" s="41"/>
      <c r="E312" s="41"/>
      <c r="F312" s="42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</row>
    <row r="313">
      <c r="A313" s="41"/>
      <c r="B313" s="30"/>
      <c r="C313" s="30"/>
      <c r="D313" s="41"/>
      <c r="E313" s="41"/>
      <c r="F313" s="42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</row>
    <row r="314">
      <c r="A314" s="41"/>
      <c r="B314" s="30"/>
      <c r="C314" s="30"/>
      <c r="D314" s="41"/>
      <c r="E314" s="41"/>
      <c r="F314" s="42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</row>
    <row r="315">
      <c r="A315" s="41"/>
      <c r="B315" s="30"/>
      <c r="C315" s="30"/>
      <c r="D315" s="41"/>
      <c r="E315" s="41"/>
      <c r="F315" s="42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</row>
    <row r="316">
      <c r="A316" s="41"/>
      <c r="B316" s="30"/>
      <c r="C316" s="30"/>
      <c r="D316" s="41"/>
      <c r="E316" s="41"/>
      <c r="F316" s="42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</row>
    <row r="317">
      <c r="A317" s="41"/>
      <c r="B317" s="30"/>
      <c r="C317" s="30"/>
      <c r="D317" s="41"/>
      <c r="E317" s="41"/>
      <c r="F317" s="42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</row>
    <row r="318">
      <c r="A318" s="41"/>
      <c r="B318" s="30"/>
      <c r="C318" s="30"/>
      <c r="D318" s="41"/>
      <c r="E318" s="41"/>
      <c r="F318" s="42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</row>
    <row r="319">
      <c r="A319" s="41"/>
      <c r="B319" s="30"/>
      <c r="C319" s="30"/>
      <c r="D319" s="41"/>
      <c r="E319" s="41"/>
      <c r="F319" s="42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</row>
    <row r="320">
      <c r="A320" s="41"/>
      <c r="B320" s="30"/>
      <c r="C320" s="30"/>
      <c r="D320" s="41"/>
      <c r="E320" s="41"/>
      <c r="F320" s="42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</row>
    <row r="321">
      <c r="A321" s="41"/>
      <c r="B321" s="30"/>
      <c r="C321" s="30"/>
      <c r="D321" s="41"/>
      <c r="E321" s="41"/>
      <c r="F321" s="42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</row>
    <row r="322">
      <c r="A322" s="41"/>
      <c r="B322" s="30"/>
      <c r="C322" s="30"/>
      <c r="D322" s="41"/>
      <c r="E322" s="41"/>
      <c r="F322" s="42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</row>
    <row r="323">
      <c r="A323" s="41"/>
      <c r="B323" s="30"/>
      <c r="C323" s="30"/>
      <c r="D323" s="41"/>
      <c r="E323" s="41"/>
      <c r="F323" s="42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</row>
    <row r="324">
      <c r="A324" s="41"/>
      <c r="B324" s="30"/>
      <c r="C324" s="30"/>
      <c r="D324" s="41"/>
      <c r="E324" s="41"/>
      <c r="F324" s="42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</row>
    <row r="325">
      <c r="A325" s="41"/>
      <c r="B325" s="30"/>
      <c r="C325" s="30"/>
      <c r="D325" s="41"/>
      <c r="E325" s="41"/>
      <c r="F325" s="42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</row>
    <row r="326">
      <c r="A326" s="41"/>
      <c r="B326" s="30"/>
      <c r="C326" s="30"/>
      <c r="D326" s="41"/>
      <c r="E326" s="41"/>
      <c r="F326" s="42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</row>
    <row r="327">
      <c r="A327" s="41"/>
      <c r="B327" s="30"/>
      <c r="C327" s="30"/>
      <c r="D327" s="41"/>
      <c r="E327" s="41"/>
      <c r="F327" s="42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</row>
    <row r="328">
      <c r="A328" s="41"/>
      <c r="B328" s="30"/>
      <c r="C328" s="30"/>
      <c r="D328" s="41"/>
      <c r="E328" s="41"/>
      <c r="F328" s="42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</row>
    <row r="329">
      <c r="A329" s="41"/>
      <c r="B329" s="30"/>
      <c r="C329" s="30"/>
      <c r="D329" s="41"/>
      <c r="E329" s="41"/>
      <c r="F329" s="42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</row>
    <row r="330">
      <c r="A330" s="41"/>
      <c r="B330" s="30"/>
      <c r="C330" s="30"/>
      <c r="D330" s="41"/>
      <c r="E330" s="41"/>
      <c r="F330" s="42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</row>
    <row r="331">
      <c r="A331" s="41"/>
      <c r="B331" s="30"/>
      <c r="C331" s="30"/>
      <c r="D331" s="41"/>
      <c r="E331" s="41"/>
      <c r="F331" s="42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</row>
    <row r="332">
      <c r="A332" s="41"/>
      <c r="B332" s="30"/>
      <c r="C332" s="30"/>
      <c r="D332" s="41"/>
      <c r="E332" s="41"/>
      <c r="F332" s="42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</row>
    <row r="333">
      <c r="A333" s="41"/>
      <c r="B333" s="30"/>
      <c r="C333" s="30"/>
      <c r="D333" s="41"/>
      <c r="E333" s="41"/>
      <c r="F333" s="42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</row>
    <row r="334">
      <c r="A334" s="41"/>
      <c r="B334" s="30"/>
      <c r="C334" s="30"/>
      <c r="D334" s="41"/>
      <c r="E334" s="41"/>
      <c r="F334" s="42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</row>
    <row r="335">
      <c r="A335" s="41"/>
      <c r="B335" s="30"/>
      <c r="C335" s="30"/>
      <c r="D335" s="41"/>
      <c r="E335" s="41"/>
      <c r="F335" s="42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</row>
    <row r="336">
      <c r="A336" s="41"/>
      <c r="B336" s="30"/>
      <c r="C336" s="30"/>
      <c r="D336" s="41"/>
      <c r="E336" s="41"/>
      <c r="F336" s="42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</row>
    <row r="337">
      <c r="A337" s="41"/>
      <c r="B337" s="30"/>
      <c r="C337" s="30"/>
      <c r="D337" s="41"/>
      <c r="E337" s="41"/>
      <c r="F337" s="42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</row>
    <row r="338">
      <c r="A338" s="41"/>
      <c r="B338" s="30"/>
      <c r="C338" s="30"/>
      <c r="D338" s="41"/>
      <c r="E338" s="41"/>
      <c r="F338" s="42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</row>
    <row r="339">
      <c r="A339" s="41"/>
      <c r="B339" s="30"/>
      <c r="C339" s="30"/>
      <c r="D339" s="41"/>
      <c r="E339" s="41"/>
      <c r="F339" s="42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</row>
    <row r="340">
      <c r="A340" s="41"/>
      <c r="B340" s="30"/>
      <c r="C340" s="30"/>
      <c r="D340" s="41"/>
      <c r="E340" s="41"/>
      <c r="F340" s="42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</row>
    <row r="341">
      <c r="A341" s="41"/>
      <c r="B341" s="30"/>
      <c r="C341" s="30"/>
      <c r="D341" s="41"/>
      <c r="E341" s="41"/>
      <c r="F341" s="42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</row>
    <row r="342">
      <c r="A342" s="41"/>
      <c r="B342" s="30"/>
      <c r="C342" s="30"/>
      <c r="D342" s="41"/>
      <c r="E342" s="41"/>
      <c r="F342" s="42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</row>
    <row r="343">
      <c r="A343" s="41"/>
      <c r="B343" s="30"/>
      <c r="C343" s="30"/>
      <c r="D343" s="41"/>
      <c r="E343" s="41"/>
      <c r="F343" s="42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</row>
    <row r="344">
      <c r="A344" s="41"/>
      <c r="B344" s="30"/>
      <c r="C344" s="30"/>
      <c r="D344" s="41"/>
      <c r="E344" s="41"/>
      <c r="F344" s="42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</row>
    <row r="345">
      <c r="A345" s="41"/>
      <c r="B345" s="30"/>
      <c r="C345" s="30"/>
      <c r="D345" s="41"/>
      <c r="E345" s="41"/>
      <c r="F345" s="42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</row>
    <row r="346">
      <c r="A346" s="41"/>
      <c r="B346" s="30"/>
      <c r="C346" s="30"/>
      <c r="D346" s="41"/>
      <c r="E346" s="41"/>
      <c r="F346" s="42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</row>
    <row r="347">
      <c r="A347" s="41"/>
      <c r="B347" s="30"/>
      <c r="C347" s="30"/>
      <c r="D347" s="41"/>
      <c r="E347" s="41"/>
      <c r="F347" s="42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</row>
    <row r="348">
      <c r="A348" s="41"/>
      <c r="B348" s="30"/>
      <c r="C348" s="30"/>
      <c r="D348" s="41"/>
      <c r="E348" s="41"/>
      <c r="F348" s="42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</row>
    <row r="349">
      <c r="A349" s="41"/>
      <c r="B349" s="30"/>
      <c r="C349" s="30"/>
      <c r="D349" s="41"/>
      <c r="E349" s="41"/>
      <c r="F349" s="42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</row>
    <row r="350">
      <c r="A350" s="41"/>
      <c r="B350" s="30"/>
      <c r="C350" s="30"/>
      <c r="D350" s="41"/>
      <c r="E350" s="41"/>
      <c r="F350" s="42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</row>
    <row r="351">
      <c r="A351" s="41"/>
      <c r="B351" s="30"/>
      <c r="C351" s="30"/>
      <c r="D351" s="41"/>
      <c r="E351" s="41"/>
      <c r="F351" s="42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</row>
    <row r="352">
      <c r="A352" s="41"/>
      <c r="B352" s="30"/>
      <c r="C352" s="30"/>
      <c r="D352" s="41"/>
      <c r="E352" s="41"/>
      <c r="F352" s="42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</row>
    <row r="353">
      <c r="A353" s="41"/>
      <c r="B353" s="30"/>
      <c r="C353" s="30"/>
      <c r="D353" s="41"/>
      <c r="E353" s="41"/>
      <c r="F353" s="42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</row>
    <row r="354">
      <c r="A354" s="41"/>
      <c r="B354" s="30"/>
      <c r="C354" s="30"/>
      <c r="D354" s="41"/>
      <c r="E354" s="41"/>
      <c r="F354" s="42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</row>
    <row r="355">
      <c r="A355" s="41"/>
      <c r="B355" s="30"/>
      <c r="C355" s="30"/>
      <c r="D355" s="41"/>
      <c r="E355" s="41"/>
      <c r="F355" s="42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</row>
    <row r="356">
      <c r="A356" s="41"/>
      <c r="B356" s="30"/>
      <c r="C356" s="30"/>
      <c r="D356" s="41"/>
      <c r="E356" s="41"/>
      <c r="F356" s="42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</row>
    <row r="357">
      <c r="A357" s="41"/>
      <c r="B357" s="30"/>
      <c r="C357" s="30"/>
      <c r="D357" s="41"/>
      <c r="E357" s="41"/>
      <c r="F357" s="42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</row>
    <row r="358">
      <c r="A358" s="41"/>
      <c r="B358" s="30"/>
      <c r="C358" s="30"/>
      <c r="D358" s="41"/>
      <c r="E358" s="41"/>
      <c r="F358" s="42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</row>
    <row r="359">
      <c r="A359" s="41"/>
      <c r="B359" s="30"/>
      <c r="C359" s="30"/>
      <c r="D359" s="41"/>
      <c r="E359" s="41"/>
      <c r="F359" s="42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</row>
    <row r="360">
      <c r="A360" s="41"/>
      <c r="B360" s="30"/>
      <c r="C360" s="30"/>
      <c r="D360" s="41"/>
      <c r="E360" s="41"/>
      <c r="F360" s="42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</row>
    <row r="361">
      <c r="A361" s="41"/>
      <c r="B361" s="30"/>
      <c r="C361" s="30"/>
      <c r="D361" s="41"/>
      <c r="E361" s="41"/>
      <c r="F361" s="42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</row>
    <row r="362">
      <c r="A362" s="41"/>
      <c r="B362" s="30"/>
      <c r="C362" s="30"/>
      <c r="D362" s="41"/>
      <c r="E362" s="41"/>
      <c r="F362" s="42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</row>
    <row r="363">
      <c r="A363" s="41"/>
      <c r="B363" s="30"/>
      <c r="C363" s="30"/>
      <c r="D363" s="41"/>
      <c r="E363" s="41"/>
      <c r="F363" s="42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</row>
    <row r="364">
      <c r="A364" s="41"/>
      <c r="B364" s="30"/>
      <c r="C364" s="30"/>
      <c r="D364" s="41"/>
      <c r="E364" s="41"/>
      <c r="F364" s="42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</row>
    <row r="365">
      <c r="A365" s="41"/>
      <c r="B365" s="30"/>
      <c r="C365" s="30"/>
      <c r="D365" s="41"/>
      <c r="E365" s="41"/>
      <c r="F365" s="42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</row>
    <row r="366">
      <c r="A366" s="41"/>
      <c r="B366" s="30"/>
      <c r="C366" s="30"/>
      <c r="D366" s="41"/>
      <c r="E366" s="41"/>
      <c r="F366" s="42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</row>
    <row r="367">
      <c r="A367" s="41"/>
      <c r="B367" s="30"/>
      <c r="C367" s="30"/>
      <c r="D367" s="41"/>
      <c r="E367" s="41"/>
      <c r="F367" s="42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</row>
    <row r="368">
      <c r="A368" s="41"/>
      <c r="B368" s="30"/>
      <c r="C368" s="30"/>
      <c r="D368" s="41"/>
      <c r="E368" s="41"/>
      <c r="F368" s="42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</row>
    <row r="369">
      <c r="A369" s="41"/>
      <c r="B369" s="30"/>
      <c r="C369" s="30"/>
      <c r="D369" s="41"/>
      <c r="E369" s="41"/>
      <c r="F369" s="42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</row>
    <row r="370">
      <c r="A370" s="41"/>
      <c r="B370" s="30"/>
      <c r="C370" s="30"/>
      <c r="D370" s="41"/>
      <c r="E370" s="41"/>
      <c r="F370" s="42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</row>
    <row r="371">
      <c r="A371" s="41"/>
      <c r="B371" s="30"/>
      <c r="C371" s="30"/>
      <c r="D371" s="41"/>
      <c r="E371" s="41"/>
      <c r="F371" s="42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</row>
    <row r="372">
      <c r="A372" s="41"/>
      <c r="B372" s="30"/>
      <c r="C372" s="30"/>
      <c r="D372" s="41"/>
      <c r="E372" s="41"/>
      <c r="F372" s="42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</row>
    <row r="373">
      <c r="A373" s="41"/>
      <c r="B373" s="30"/>
      <c r="C373" s="30"/>
      <c r="D373" s="41"/>
      <c r="E373" s="41"/>
      <c r="F373" s="42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</row>
    <row r="374">
      <c r="A374" s="41"/>
      <c r="B374" s="30"/>
      <c r="C374" s="30"/>
      <c r="D374" s="41"/>
      <c r="E374" s="41"/>
      <c r="F374" s="42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</row>
    <row r="375">
      <c r="A375" s="41"/>
      <c r="B375" s="30"/>
      <c r="C375" s="30"/>
      <c r="D375" s="41"/>
      <c r="E375" s="41"/>
      <c r="F375" s="42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</row>
    <row r="376">
      <c r="A376" s="41"/>
      <c r="B376" s="30"/>
      <c r="C376" s="30"/>
      <c r="D376" s="41"/>
      <c r="E376" s="41"/>
      <c r="F376" s="42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</row>
    <row r="377">
      <c r="A377" s="41"/>
      <c r="B377" s="30"/>
      <c r="C377" s="30"/>
      <c r="D377" s="41"/>
      <c r="E377" s="41"/>
      <c r="F377" s="42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</row>
    <row r="378">
      <c r="A378" s="41"/>
      <c r="B378" s="30"/>
      <c r="C378" s="30"/>
      <c r="D378" s="41"/>
      <c r="E378" s="41"/>
      <c r="F378" s="42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</row>
    <row r="379">
      <c r="A379" s="41"/>
      <c r="B379" s="30"/>
      <c r="C379" s="30"/>
      <c r="D379" s="41"/>
      <c r="E379" s="41"/>
      <c r="F379" s="42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</row>
    <row r="380">
      <c r="A380" s="41"/>
      <c r="B380" s="30"/>
      <c r="C380" s="30"/>
      <c r="D380" s="41"/>
      <c r="E380" s="41"/>
      <c r="F380" s="42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</row>
    <row r="381">
      <c r="A381" s="41"/>
      <c r="B381" s="30"/>
      <c r="C381" s="30"/>
      <c r="D381" s="41"/>
      <c r="E381" s="41"/>
      <c r="F381" s="42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</row>
    <row r="382">
      <c r="A382" s="41"/>
      <c r="B382" s="30"/>
      <c r="C382" s="30"/>
      <c r="D382" s="41"/>
      <c r="E382" s="41"/>
      <c r="F382" s="42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</row>
    <row r="383">
      <c r="A383" s="41"/>
      <c r="B383" s="30"/>
      <c r="C383" s="30"/>
      <c r="D383" s="41"/>
      <c r="E383" s="41"/>
      <c r="F383" s="42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</row>
    <row r="384">
      <c r="A384" s="41"/>
      <c r="B384" s="30"/>
      <c r="C384" s="30"/>
      <c r="D384" s="41"/>
      <c r="E384" s="41"/>
      <c r="F384" s="42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</row>
    <row r="385">
      <c r="A385" s="41"/>
      <c r="B385" s="30"/>
      <c r="C385" s="30"/>
      <c r="D385" s="41"/>
      <c r="E385" s="41"/>
      <c r="F385" s="42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</row>
    <row r="386">
      <c r="A386" s="41"/>
      <c r="B386" s="30"/>
      <c r="C386" s="30"/>
      <c r="D386" s="41"/>
      <c r="E386" s="41"/>
      <c r="F386" s="42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</row>
    <row r="387">
      <c r="A387" s="41"/>
      <c r="B387" s="30"/>
      <c r="C387" s="30"/>
      <c r="D387" s="41"/>
      <c r="E387" s="41"/>
      <c r="F387" s="42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</row>
    <row r="388">
      <c r="A388" s="41"/>
      <c r="B388" s="30"/>
      <c r="C388" s="30"/>
      <c r="D388" s="41"/>
      <c r="E388" s="41"/>
      <c r="F388" s="42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</row>
    <row r="389">
      <c r="A389" s="41"/>
      <c r="B389" s="30"/>
      <c r="C389" s="30"/>
      <c r="D389" s="41"/>
      <c r="E389" s="41"/>
      <c r="F389" s="42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</row>
    <row r="390">
      <c r="A390" s="41"/>
      <c r="B390" s="30"/>
      <c r="C390" s="30"/>
      <c r="D390" s="41"/>
      <c r="E390" s="41"/>
      <c r="F390" s="42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</row>
    <row r="391">
      <c r="A391" s="41"/>
      <c r="B391" s="30"/>
      <c r="C391" s="30"/>
      <c r="D391" s="41"/>
      <c r="E391" s="41"/>
      <c r="F391" s="42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</row>
    <row r="392">
      <c r="A392" s="41"/>
      <c r="B392" s="30"/>
      <c r="C392" s="30"/>
      <c r="D392" s="41"/>
      <c r="E392" s="41"/>
      <c r="F392" s="42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</row>
    <row r="393">
      <c r="A393" s="41"/>
      <c r="B393" s="30"/>
      <c r="C393" s="30"/>
      <c r="D393" s="41"/>
      <c r="E393" s="41"/>
      <c r="F393" s="42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</row>
    <row r="394">
      <c r="A394" s="41"/>
      <c r="B394" s="30"/>
      <c r="C394" s="30"/>
      <c r="D394" s="41"/>
      <c r="E394" s="41"/>
      <c r="F394" s="42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</row>
    <row r="395">
      <c r="A395" s="41"/>
      <c r="B395" s="30"/>
      <c r="C395" s="30"/>
      <c r="D395" s="41"/>
      <c r="E395" s="41"/>
      <c r="F395" s="42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</row>
    <row r="396">
      <c r="A396" s="41"/>
      <c r="B396" s="30"/>
      <c r="C396" s="30"/>
      <c r="D396" s="41"/>
      <c r="E396" s="41"/>
      <c r="F396" s="42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</row>
    <row r="397">
      <c r="A397" s="41"/>
      <c r="B397" s="30"/>
      <c r="C397" s="30"/>
      <c r="D397" s="41"/>
      <c r="E397" s="41"/>
      <c r="F397" s="42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</row>
    <row r="398">
      <c r="A398" s="41"/>
      <c r="B398" s="30"/>
      <c r="C398" s="30"/>
      <c r="D398" s="41"/>
      <c r="E398" s="41"/>
      <c r="F398" s="42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</row>
    <row r="399">
      <c r="A399" s="41"/>
      <c r="B399" s="30"/>
      <c r="C399" s="30"/>
      <c r="D399" s="41"/>
      <c r="E399" s="41"/>
      <c r="F399" s="42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</row>
    <row r="400">
      <c r="A400" s="41"/>
      <c r="B400" s="30"/>
      <c r="C400" s="30"/>
      <c r="D400" s="41"/>
      <c r="E400" s="41"/>
      <c r="F400" s="42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</row>
    <row r="401">
      <c r="A401" s="41"/>
      <c r="B401" s="30"/>
      <c r="C401" s="30"/>
      <c r="D401" s="41"/>
      <c r="E401" s="41"/>
      <c r="F401" s="42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</row>
    <row r="402">
      <c r="A402" s="41"/>
      <c r="B402" s="30"/>
      <c r="C402" s="30"/>
      <c r="D402" s="41"/>
      <c r="E402" s="41"/>
      <c r="F402" s="42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</row>
    <row r="403">
      <c r="A403" s="41"/>
      <c r="B403" s="30"/>
      <c r="C403" s="30"/>
      <c r="D403" s="41"/>
      <c r="E403" s="41"/>
      <c r="F403" s="42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</row>
    <row r="404">
      <c r="A404" s="41"/>
      <c r="B404" s="30"/>
      <c r="C404" s="30"/>
      <c r="D404" s="41"/>
      <c r="E404" s="41"/>
      <c r="F404" s="42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</row>
    <row r="405">
      <c r="A405" s="41"/>
      <c r="B405" s="30"/>
      <c r="C405" s="30"/>
      <c r="D405" s="41"/>
      <c r="E405" s="41"/>
      <c r="F405" s="42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</row>
    <row r="406">
      <c r="A406" s="41"/>
      <c r="B406" s="30"/>
      <c r="C406" s="30"/>
      <c r="D406" s="41"/>
      <c r="E406" s="41"/>
      <c r="F406" s="42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</row>
    <row r="407">
      <c r="A407" s="41"/>
      <c r="B407" s="30"/>
      <c r="C407" s="30"/>
      <c r="D407" s="41"/>
      <c r="E407" s="41"/>
      <c r="F407" s="42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</row>
    <row r="408">
      <c r="A408" s="41"/>
      <c r="B408" s="30"/>
      <c r="C408" s="30"/>
      <c r="D408" s="41"/>
      <c r="E408" s="41"/>
      <c r="F408" s="42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</row>
    <row r="409">
      <c r="A409" s="41"/>
      <c r="B409" s="30"/>
      <c r="C409" s="30"/>
      <c r="D409" s="41"/>
      <c r="E409" s="41"/>
      <c r="F409" s="42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</row>
    <row r="410">
      <c r="A410" s="41"/>
      <c r="B410" s="30"/>
      <c r="C410" s="30"/>
      <c r="D410" s="41"/>
      <c r="E410" s="41"/>
      <c r="F410" s="42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</row>
    <row r="411">
      <c r="A411" s="41"/>
      <c r="B411" s="30"/>
      <c r="C411" s="30"/>
      <c r="D411" s="41"/>
      <c r="E411" s="41"/>
      <c r="F411" s="42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</row>
    <row r="412">
      <c r="A412" s="41"/>
      <c r="B412" s="30"/>
      <c r="C412" s="30"/>
      <c r="D412" s="41"/>
      <c r="E412" s="41"/>
      <c r="F412" s="42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</row>
    <row r="413">
      <c r="A413" s="41"/>
      <c r="B413" s="30"/>
      <c r="C413" s="30"/>
      <c r="D413" s="41"/>
      <c r="E413" s="41"/>
      <c r="F413" s="42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</row>
    <row r="414">
      <c r="A414" s="41"/>
      <c r="B414" s="30"/>
      <c r="C414" s="30"/>
      <c r="D414" s="41"/>
      <c r="E414" s="41"/>
      <c r="F414" s="42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</row>
    <row r="415">
      <c r="A415" s="41"/>
      <c r="B415" s="30"/>
      <c r="C415" s="30"/>
      <c r="D415" s="41"/>
      <c r="E415" s="41"/>
      <c r="F415" s="42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</row>
    <row r="416">
      <c r="A416" s="41"/>
      <c r="B416" s="30"/>
      <c r="C416" s="30"/>
      <c r="D416" s="41"/>
      <c r="E416" s="41"/>
      <c r="F416" s="42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</row>
    <row r="417">
      <c r="A417" s="41"/>
      <c r="B417" s="30"/>
      <c r="C417" s="30"/>
      <c r="D417" s="41"/>
      <c r="E417" s="41"/>
      <c r="F417" s="42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</row>
    <row r="418">
      <c r="A418" s="41"/>
      <c r="B418" s="30"/>
      <c r="C418" s="30"/>
      <c r="D418" s="41"/>
      <c r="E418" s="41"/>
      <c r="F418" s="42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</row>
    <row r="419">
      <c r="A419" s="41"/>
      <c r="B419" s="30"/>
      <c r="C419" s="30"/>
      <c r="D419" s="41"/>
      <c r="E419" s="41"/>
      <c r="F419" s="42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</row>
    <row r="420">
      <c r="A420" s="41"/>
      <c r="B420" s="30"/>
      <c r="C420" s="30"/>
      <c r="D420" s="41"/>
      <c r="E420" s="41"/>
      <c r="F420" s="42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</row>
    <row r="421">
      <c r="A421" s="41"/>
      <c r="B421" s="30"/>
      <c r="C421" s="30"/>
      <c r="D421" s="41"/>
      <c r="E421" s="41"/>
      <c r="F421" s="42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</row>
    <row r="422">
      <c r="A422" s="41"/>
      <c r="B422" s="30"/>
      <c r="C422" s="30"/>
      <c r="D422" s="41"/>
      <c r="E422" s="41"/>
      <c r="F422" s="42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</row>
    <row r="423">
      <c r="A423" s="41"/>
      <c r="B423" s="30"/>
      <c r="C423" s="30"/>
      <c r="D423" s="41"/>
      <c r="E423" s="41"/>
      <c r="F423" s="42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</row>
    <row r="424">
      <c r="A424" s="41"/>
      <c r="B424" s="30"/>
      <c r="C424" s="30"/>
      <c r="D424" s="41"/>
      <c r="E424" s="41"/>
      <c r="F424" s="42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</row>
    <row r="425">
      <c r="A425" s="41"/>
      <c r="B425" s="30"/>
      <c r="C425" s="30"/>
      <c r="D425" s="41"/>
      <c r="E425" s="41"/>
      <c r="F425" s="42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</row>
    <row r="426">
      <c r="A426" s="41"/>
      <c r="B426" s="30"/>
      <c r="C426" s="30"/>
      <c r="D426" s="41"/>
      <c r="E426" s="41"/>
      <c r="F426" s="42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</row>
    <row r="427">
      <c r="A427" s="41"/>
      <c r="B427" s="30"/>
      <c r="C427" s="30"/>
      <c r="D427" s="41"/>
      <c r="E427" s="41"/>
      <c r="F427" s="42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</row>
    <row r="428">
      <c r="A428" s="41"/>
      <c r="B428" s="30"/>
      <c r="C428" s="30"/>
      <c r="D428" s="41"/>
      <c r="E428" s="41"/>
      <c r="F428" s="42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</row>
    <row r="429">
      <c r="A429" s="41"/>
      <c r="B429" s="30"/>
      <c r="C429" s="30"/>
      <c r="D429" s="41"/>
      <c r="E429" s="41"/>
      <c r="F429" s="42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</row>
    <row r="430">
      <c r="A430" s="41"/>
      <c r="B430" s="30"/>
      <c r="C430" s="30"/>
      <c r="D430" s="41"/>
      <c r="E430" s="41"/>
      <c r="F430" s="42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</row>
    <row r="431">
      <c r="A431" s="41"/>
      <c r="B431" s="30"/>
      <c r="C431" s="30"/>
      <c r="D431" s="41"/>
      <c r="E431" s="41"/>
      <c r="F431" s="42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</row>
    <row r="432">
      <c r="A432" s="41"/>
      <c r="B432" s="30"/>
      <c r="C432" s="30"/>
      <c r="D432" s="41"/>
      <c r="E432" s="41"/>
      <c r="F432" s="42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</row>
    <row r="433">
      <c r="A433" s="41"/>
      <c r="B433" s="30"/>
      <c r="C433" s="30"/>
      <c r="D433" s="41"/>
      <c r="E433" s="41"/>
      <c r="F433" s="42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</row>
    <row r="434">
      <c r="A434" s="41"/>
      <c r="B434" s="30"/>
      <c r="C434" s="30"/>
      <c r="D434" s="41"/>
      <c r="E434" s="41"/>
      <c r="F434" s="42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</row>
    <row r="435">
      <c r="A435" s="41"/>
      <c r="B435" s="30"/>
      <c r="C435" s="30"/>
      <c r="D435" s="41"/>
      <c r="E435" s="41"/>
      <c r="F435" s="42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</row>
    <row r="436">
      <c r="A436" s="41"/>
      <c r="B436" s="30"/>
      <c r="C436" s="30"/>
      <c r="D436" s="41"/>
      <c r="E436" s="41"/>
      <c r="F436" s="42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</row>
    <row r="437">
      <c r="A437" s="41"/>
      <c r="B437" s="30"/>
      <c r="C437" s="30"/>
      <c r="D437" s="41"/>
      <c r="E437" s="41"/>
      <c r="F437" s="42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</row>
    <row r="438">
      <c r="A438" s="41"/>
      <c r="B438" s="30"/>
      <c r="C438" s="30"/>
      <c r="D438" s="41"/>
      <c r="E438" s="41"/>
      <c r="F438" s="42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</row>
    <row r="439">
      <c r="A439" s="41"/>
      <c r="B439" s="30"/>
      <c r="C439" s="30"/>
      <c r="D439" s="41"/>
      <c r="E439" s="41"/>
      <c r="F439" s="42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</row>
    <row r="440">
      <c r="A440" s="41"/>
      <c r="B440" s="30"/>
      <c r="C440" s="30"/>
      <c r="D440" s="41"/>
      <c r="E440" s="41"/>
      <c r="F440" s="42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</row>
    <row r="441">
      <c r="A441" s="41"/>
      <c r="B441" s="30"/>
      <c r="C441" s="30"/>
      <c r="D441" s="41"/>
      <c r="E441" s="41"/>
      <c r="F441" s="42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</row>
    <row r="442">
      <c r="A442" s="41"/>
      <c r="B442" s="30"/>
      <c r="C442" s="30"/>
      <c r="D442" s="41"/>
      <c r="E442" s="41"/>
      <c r="F442" s="42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</row>
    <row r="443">
      <c r="A443" s="41"/>
      <c r="B443" s="30"/>
      <c r="C443" s="30"/>
      <c r="D443" s="41"/>
      <c r="E443" s="41"/>
      <c r="F443" s="42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</row>
    <row r="444">
      <c r="A444" s="41"/>
      <c r="B444" s="30"/>
      <c r="C444" s="30"/>
      <c r="D444" s="41"/>
      <c r="E444" s="41"/>
      <c r="F444" s="42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</row>
    <row r="445">
      <c r="A445" s="41"/>
      <c r="B445" s="30"/>
      <c r="C445" s="30"/>
      <c r="D445" s="41"/>
      <c r="E445" s="41"/>
      <c r="F445" s="42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</row>
    <row r="446">
      <c r="A446" s="41"/>
      <c r="B446" s="30"/>
      <c r="C446" s="30"/>
      <c r="D446" s="41"/>
      <c r="E446" s="41"/>
      <c r="F446" s="42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</row>
    <row r="447">
      <c r="A447" s="41"/>
      <c r="B447" s="30"/>
      <c r="C447" s="30"/>
      <c r="D447" s="41"/>
      <c r="E447" s="41"/>
      <c r="F447" s="42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</row>
    <row r="448">
      <c r="A448" s="41"/>
      <c r="B448" s="30"/>
      <c r="C448" s="30"/>
      <c r="D448" s="41"/>
      <c r="E448" s="41"/>
      <c r="F448" s="42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</row>
    <row r="449">
      <c r="A449" s="41"/>
      <c r="B449" s="30"/>
      <c r="C449" s="30"/>
      <c r="D449" s="41"/>
      <c r="E449" s="41"/>
      <c r="F449" s="42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</row>
    <row r="450">
      <c r="A450" s="41"/>
      <c r="B450" s="30"/>
      <c r="C450" s="30"/>
      <c r="D450" s="41"/>
      <c r="E450" s="41"/>
      <c r="F450" s="42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</row>
    <row r="451">
      <c r="A451" s="41"/>
      <c r="B451" s="30"/>
      <c r="C451" s="30"/>
      <c r="D451" s="41"/>
      <c r="E451" s="41"/>
      <c r="F451" s="42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</row>
    <row r="452">
      <c r="A452" s="41"/>
      <c r="B452" s="30"/>
      <c r="C452" s="30"/>
      <c r="D452" s="41"/>
      <c r="E452" s="41"/>
      <c r="F452" s="42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</row>
    <row r="453">
      <c r="A453" s="41"/>
      <c r="B453" s="30"/>
      <c r="C453" s="30"/>
      <c r="D453" s="41"/>
      <c r="E453" s="41"/>
      <c r="F453" s="42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</row>
    <row r="454">
      <c r="A454" s="41"/>
      <c r="B454" s="30"/>
      <c r="C454" s="30"/>
      <c r="D454" s="41"/>
      <c r="E454" s="41"/>
      <c r="F454" s="42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</row>
    <row r="455">
      <c r="A455" s="41"/>
      <c r="B455" s="30"/>
      <c r="C455" s="30"/>
      <c r="D455" s="41"/>
      <c r="E455" s="41"/>
      <c r="F455" s="42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</row>
    <row r="456">
      <c r="A456" s="41"/>
      <c r="B456" s="30"/>
      <c r="C456" s="30"/>
      <c r="D456" s="41"/>
      <c r="E456" s="41"/>
      <c r="F456" s="42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</row>
    <row r="457">
      <c r="A457" s="41"/>
      <c r="B457" s="30"/>
      <c r="C457" s="30"/>
      <c r="D457" s="41"/>
      <c r="E457" s="41"/>
      <c r="F457" s="42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</row>
    <row r="458">
      <c r="A458" s="41"/>
      <c r="B458" s="30"/>
      <c r="C458" s="30"/>
      <c r="D458" s="41"/>
      <c r="E458" s="41"/>
      <c r="F458" s="42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</row>
    <row r="459">
      <c r="A459" s="41"/>
      <c r="B459" s="30"/>
      <c r="C459" s="30"/>
      <c r="D459" s="41"/>
      <c r="E459" s="41"/>
      <c r="F459" s="42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</row>
    <row r="460">
      <c r="A460" s="41"/>
      <c r="B460" s="30"/>
      <c r="C460" s="30"/>
      <c r="D460" s="41"/>
      <c r="E460" s="41"/>
      <c r="F460" s="42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</row>
    <row r="461">
      <c r="A461" s="41"/>
      <c r="B461" s="30"/>
      <c r="C461" s="30"/>
      <c r="D461" s="41"/>
      <c r="E461" s="41"/>
      <c r="F461" s="42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</row>
    <row r="462">
      <c r="A462" s="41"/>
      <c r="B462" s="30"/>
      <c r="C462" s="30"/>
      <c r="D462" s="41"/>
      <c r="E462" s="41"/>
      <c r="F462" s="42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</row>
    <row r="463">
      <c r="A463" s="41"/>
      <c r="B463" s="30"/>
      <c r="C463" s="30"/>
      <c r="D463" s="41"/>
      <c r="E463" s="41"/>
      <c r="F463" s="42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</row>
    <row r="464">
      <c r="A464" s="41"/>
      <c r="B464" s="30"/>
      <c r="C464" s="30"/>
      <c r="D464" s="41"/>
      <c r="E464" s="41"/>
      <c r="F464" s="42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</row>
    <row r="465">
      <c r="A465" s="41"/>
      <c r="B465" s="30"/>
      <c r="C465" s="30"/>
      <c r="D465" s="41"/>
      <c r="E465" s="41"/>
      <c r="F465" s="42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</row>
    <row r="466">
      <c r="A466" s="41"/>
      <c r="B466" s="30"/>
      <c r="C466" s="30"/>
      <c r="D466" s="41"/>
      <c r="E466" s="41"/>
      <c r="F466" s="42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</row>
    <row r="467">
      <c r="A467" s="41"/>
      <c r="B467" s="30"/>
      <c r="C467" s="30"/>
      <c r="D467" s="41"/>
      <c r="E467" s="41"/>
      <c r="F467" s="42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</row>
    <row r="468">
      <c r="A468" s="41"/>
      <c r="B468" s="30"/>
      <c r="C468" s="30"/>
      <c r="D468" s="41"/>
      <c r="E468" s="41"/>
      <c r="F468" s="42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</row>
    <row r="469">
      <c r="A469" s="41"/>
      <c r="B469" s="30"/>
      <c r="C469" s="30"/>
      <c r="D469" s="41"/>
      <c r="E469" s="41"/>
      <c r="F469" s="42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</row>
    <row r="470">
      <c r="A470" s="41"/>
      <c r="B470" s="30"/>
      <c r="C470" s="30"/>
      <c r="D470" s="41"/>
      <c r="E470" s="41"/>
      <c r="F470" s="42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</row>
    <row r="471">
      <c r="A471" s="41"/>
      <c r="B471" s="30"/>
      <c r="C471" s="30"/>
      <c r="D471" s="41"/>
      <c r="E471" s="41"/>
      <c r="F471" s="42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</row>
    <row r="472">
      <c r="A472" s="41"/>
      <c r="B472" s="30"/>
      <c r="C472" s="30"/>
      <c r="D472" s="41"/>
      <c r="E472" s="41"/>
      <c r="F472" s="42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</row>
    <row r="473">
      <c r="A473" s="41"/>
      <c r="B473" s="30"/>
      <c r="C473" s="30"/>
      <c r="D473" s="41"/>
      <c r="E473" s="41"/>
      <c r="F473" s="42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</row>
    <row r="474">
      <c r="A474" s="41"/>
      <c r="B474" s="30"/>
      <c r="C474" s="30"/>
      <c r="D474" s="41"/>
      <c r="E474" s="41"/>
      <c r="F474" s="42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</row>
    <row r="475">
      <c r="A475" s="41"/>
      <c r="B475" s="30"/>
      <c r="C475" s="30"/>
      <c r="D475" s="41"/>
      <c r="E475" s="41"/>
      <c r="F475" s="42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</row>
    <row r="476">
      <c r="A476" s="41"/>
      <c r="B476" s="30"/>
      <c r="C476" s="30"/>
      <c r="D476" s="41"/>
      <c r="E476" s="41"/>
      <c r="F476" s="42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</row>
    <row r="477">
      <c r="A477" s="41"/>
      <c r="B477" s="30"/>
      <c r="C477" s="30"/>
      <c r="D477" s="41"/>
      <c r="E477" s="41"/>
      <c r="F477" s="42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</row>
    <row r="478">
      <c r="A478" s="41"/>
      <c r="B478" s="30"/>
      <c r="C478" s="30"/>
      <c r="D478" s="41"/>
      <c r="E478" s="41"/>
      <c r="F478" s="42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</row>
    <row r="479">
      <c r="A479" s="41"/>
      <c r="B479" s="30"/>
      <c r="C479" s="30"/>
      <c r="D479" s="41"/>
      <c r="E479" s="41"/>
      <c r="F479" s="42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</row>
    <row r="480">
      <c r="A480" s="41"/>
      <c r="B480" s="30"/>
      <c r="C480" s="30"/>
      <c r="D480" s="41"/>
      <c r="E480" s="41"/>
      <c r="F480" s="42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</row>
    <row r="481">
      <c r="A481" s="41"/>
      <c r="B481" s="30"/>
      <c r="C481" s="30"/>
      <c r="D481" s="41"/>
      <c r="E481" s="41"/>
      <c r="F481" s="42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</row>
    <row r="482">
      <c r="A482" s="41"/>
      <c r="B482" s="30"/>
      <c r="C482" s="30"/>
      <c r="D482" s="41"/>
      <c r="E482" s="41"/>
      <c r="F482" s="42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</row>
    <row r="483">
      <c r="A483" s="41"/>
      <c r="B483" s="30"/>
      <c r="C483" s="30"/>
      <c r="D483" s="41"/>
      <c r="E483" s="41"/>
      <c r="F483" s="42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</row>
    <row r="484">
      <c r="A484" s="41"/>
      <c r="B484" s="30"/>
      <c r="C484" s="30"/>
      <c r="D484" s="41"/>
      <c r="E484" s="41"/>
      <c r="F484" s="42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</row>
    <row r="485">
      <c r="A485" s="41"/>
      <c r="B485" s="30"/>
      <c r="C485" s="30"/>
      <c r="D485" s="41"/>
      <c r="E485" s="41"/>
      <c r="F485" s="42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</row>
    <row r="486">
      <c r="A486" s="41"/>
      <c r="B486" s="30"/>
      <c r="C486" s="30"/>
      <c r="D486" s="41"/>
      <c r="E486" s="41"/>
      <c r="F486" s="42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</row>
    <row r="487">
      <c r="A487" s="41"/>
      <c r="B487" s="30"/>
      <c r="C487" s="30"/>
      <c r="D487" s="41"/>
      <c r="E487" s="41"/>
      <c r="F487" s="42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</row>
    <row r="488">
      <c r="A488" s="41"/>
      <c r="B488" s="30"/>
      <c r="C488" s="30"/>
      <c r="D488" s="41"/>
      <c r="E488" s="41"/>
      <c r="F488" s="42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</row>
    <row r="489">
      <c r="A489" s="41"/>
      <c r="B489" s="30"/>
      <c r="C489" s="30"/>
      <c r="D489" s="41"/>
      <c r="E489" s="41"/>
      <c r="F489" s="42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</row>
    <row r="490">
      <c r="A490" s="41"/>
      <c r="B490" s="30"/>
      <c r="C490" s="30"/>
      <c r="D490" s="41"/>
      <c r="E490" s="41"/>
      <c r="F490" s="42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</row>
    <row r="491">
      <c r="A491" s="41"/>
      <c r="B491" s="30"/>
      <c r="C491" s="30"/>
      <c r="D491" s="41"/>
      <c r="E491" s="41"/>
      <c r="F491" s="42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</row>
    <row r="492">
      <c r="A492" s="41"/>
      <c r="B492" s="30"/>
      <c r="C492" s="30"/>
      <c r="D492" s="41"/>
      <c r="E492" s="41"/>
      <c r="F492" s="42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</row>
    <row r="493">
      <c r="A493" s="41"/>
      <c r="B493" s="30"/>
      <c r="C493" s="30"/>
      <c r="D493" s="41"/>
      <c r="E493" s="41"/>
      <c r="F493" s="42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</row>
    <row r="494">
      <c r="A494" s="41"/>
      <c r="B494" s="30"/>
      <c r="C494" s="30"/>
      <c r="D494" s="41"/>
      <c r="E494" s="41"/>
      <c r="F494" s="42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</row>
    <row r="495">
      <c r="A495" s="41"/>
      <c r="B495" s="30"/>
      <c r="C495" s="30"/>
      <c r="D495" s="41"/>
      <c r="E495" s="41"/>
      <c r="F495" s="42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</row>
    <row r="496">
      <c r="A496" s="41"/>
      <c r="B496" s="30"/>
      <c r="C496" s="30"/>
      <c r="D496" s="41"/>
      <c r="E496" s="41"/>
      <c r="F496" s="42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</row>
    <row r="497">
      <c r="A497" s="41"/>
      <c r="B497" s="30"/>
      <c r="C497" s="30"/>
      <c r="D497" s="41"/>
      <c r="E497" s="41"/>
      <c r="F497" s="42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</row>
    <row r="498">
      <c r="A498" s="41"/>
      <c r="B498" s="30"/>
      <c r="C498" s="30"/>
      <c r="D498" s="41"/>
      <c r="E498" s="41"/>
      <c r="F498" s="42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</row>
    <row r="499">
      <c r="A499" s="41"/>
      <c r="B499" s="30"/>
      <c r="C499" s="30"/>
      <c r="D499" s="41"/>
      <c r="E499" s="41"/>
      <c r="F499" s="42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</row>
    <row r="500">
      <c r="A500" s="41"/>
      <c r="B500" s="30"/>
      <c r="C500" s="30"/>
      <c r="D500" s="41"/>
      <c r="E500" s="41"/>
      <c r="F500" s="42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</row>
    <row r="501">
      <c r="A501" s="41"/>
      <c r="B501" s="30"/>
      <c r="C501" s="30"/>
      <c r="D501" s="41"/>
      <c r="E501" s="41"/>
      <c r="F501" s="42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</row>
    <row r="502">
      <c r="A502" s="41"/>
      <c r="B502" s="30"/>
      <c r="C502" s="30"/>
      <c r="D502" s="41"/>
      <c r="E502" s="41"/>
      <c r="F502" s="42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</row>
    <row r="503">
      <c r="A503" s="41"/>
      <c r="B503" s="30"/>
      <c r="C503" s="30"/>
      <c r="D503" s="41"/>
      <c r="E503" s="41"/>
      <c r="F503" s="42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</row>
    <row r="504">
      <c r="A504" s="41"/>
      <c r="B504" s="30"/>
      <c r="C504" s="30"/>
      <c r="D504" s="41"/>
      <c r="E504" s="41"/>
      <c r="F504" s="42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</row>
    <row r="505">
      <c r="A505" s="41"/>
      <c r="B505" s="30"/>
      <c r="C505" s="30"/>
      <c r="D505" s="41"/>
      <c r="E505" s="41"/>
      <c r="F505" s="42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</row>
    <row r="506">
      <c r="A506" s="41"/>
      <c r="B506" s="30"/>
      <c r="C506" s="30"/>
      <c r="D506" s="41"/>
      <c r="E506" s="41"/>
      <c r="F506" s="42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</row>
    <row r="507">
      <c r="A507" s="41"/>
      <c r="B507" s="30"/>
      <c r="C507" s="30"/>
      <c r="D507" s="41"/>
      <c r="E507" s="41"/>
      <c r="F507" s="42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</row>
    <row r="508">
      <c r="A508" s="41"/>
      <c r="B508" s="30"/>
      <c r="C508" s="30"/>
      <c r="D508" s="41"/>
      <c r="E508" s="41"/>
      <c r="F508" s="42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</row>
    <row r="509">
      <c r="A509" s="41"/>
      <c r="B509" s="30"/>
      <c r="C509" s="30"/>
      <c r="D509" s="41"/>
      <c r="E509" s="41"/>
      <c r="F509" s="42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</row>
    <row r="510">
      <c r="A510" s="41"/>
      <c r="B510" s="30"/>
      <c r="C510" s="30"/>
      <c r="D510" s="41"/>
      <c r="E510" s="41"/>
      <c r="F510" s="42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</row>
    <row r="511">
      <c r="A511" s="41"/>
      <c r="B511" s="30"/>
      <c r="C511" s="30"/>
      <c r="D511" s="41"/>
      <c r="E511" s="41"/>
      <c r="F511" s="42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</row>
    <row r="512">
      <c r="A512" s="41"/>
      <c r="B512" s="30"/>
      <c r="C512" s="30"/>
      <c r="D512" s="41"/>
      <c r="E512" s="41"/>
      <c r="F512" s="42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</row>
    <row r="513">
      <c r="A513" s="41"/>
      <c r="B513" s="30"/>
      <c r="C513" s="30"/>
      <c r="D513" s="41"/>
      <c r="E513" s="41"/>
      <c r="F513" s="42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</row>
    <row r="514">
      <c r="A514" s="41"/>
      <c r="B514" s="30"/>
      <c r="C514" s="30"/>
      <c r="D514" s="41"/>
      <c r="E514" s="41"/>
      <c r="F514" s="42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</row>
    <row r="515">
      <c r="A515" s="41"/>
      <c r="B515" s="30"/>
      <c r="C515" s="30"/>
      <c r="D515" s="41"/>
      <c r="E515" s="41"/>
      <c r="F515" s="42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</row>
    <row r="516">
      <c r="A516" s="41"/>
      <c r="B516" s="30"/>
      <c r="C516" s="30"/>
      <c r="D516" s="41"/>
      <c r="E516" s="41"/>
      <c r="F516" s="42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</row>
    <row r="517">
      <c r="A517" s="41"/>
      <c r="B517" s="30"/>
      <c r="C517" s="30"/>
      <c r="D517" s="41"/>
      <c r="E517" s="41"/>
      <c r="F517" s="42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</row>
    <row r="518">
      <c r="A518" s="41"/>
      <c r="B518" s="30"/>
      <c r="C518" s="30"/>
      <c r="D518" s="41"/>
      <c r="E518" s="41"/>
      <c r="F518" s="42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</row>
    <row r="519">
      <c r="A519" s="41"/>
      <c r="B519" s="30"/>
      <c r="C519" s="30"/>
      <c r="D519" s="41"/>
      <c r="E519" s="41"/>
      <c r="F519" s="42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</row>
    <row r="520">
      <c r="A520" s="41"/>
      <c r="B520" s="30"/>
      <c r="C520" s="30"/>
      <c r="D520" s="41"/>
      <c r="E520" s="41"/>
      <c r="F520" s="42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</row>
    <row r="521">
      <c r="A521" s="41"/>
      <c r="B521" s="30"/>
      <c r="C521" s="30"/>
      <c r="D521" s="41"/>
      <c r="E521" s="41"/>
      <c r="F521" s="42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</row>
    <row r="522">
      <c r="A522" s="41"/>
      <c r="B522" s="30"/>
      <c r="C522" s="30"/>
      <c r="D522" s="41"/>
      <c r="E522" s="41"/>
      <c r="F522" s="42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</row>
    <row r="523">
      <c r="A523" s="41"/>
      <c r="B523" s="30"/>
      <c r="C523" s="30"/>
      <c r="D523" s="41"/>
      <c r="E523" s="41"/>
      <c r="F523" s="42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</row>
    <row r="524">
      <c r="A524" s="41"/>
      <c r="B524" s="30"/>
      <c r="C524" s="30"/>
      <c r="D524" s="41"/>
      <c r="E524" s="41"/>
      <c r="F524" s="42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</row>
    <row r="525">
      <c r="A525" s="41"/>
      <c r="B525" s="30"/>
      <c r="C525" s="30"/>
      <c r="D525" s="41"/>
      <c r="E525" s="41"/>
      <c r="F525" s="42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</row>
    <row r="526">
      <c r="A526" s="41"/>
      <c r="B526" s="30"/>
      <c r="C526" s="30"/>
      <c r="D526" s="41"/>
      <c r="E526" s="41"/>
      <c r="F526" s="42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</row>
    <row r="527">
      <c r="A527" s="41"/>
      <c r="B527" s="30"/>
      <c r="C527" s="30"/>
      <c r="D527" s="41"/>
      <c r="E527" s="41"/>
      <c r="F527" s="42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</row>
    <row r="528">
      <c r="A528" s="41"/>
      <c r="B528" s="30"/>
      <c r="C528" s="30"/>
      <c r="D528" s="41"/>
      <c r="E528" s="41"/>
      <c r="F528" s="42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</row>
    <row r="529">
      <c r="A529" s="41"/>
      <c r="B529" s="30"/>
      <c r="C529" s="30"/>
      <c r="D529" s="41"/>
      <c r="E529" s="41"/>
      <c r="F529" s="42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</row>
    <row r="530">
      <c r="A530" s="41"/>
      <c r="B530" s="30"/>
      <c r="C530" s="30"/>
      <c r="D530" s="41"/>
      <c r="E530" s="41"/>
      <c r="F530" s="42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</row>
    <row r="531">
      <c r="A531" s="41"/>
      <c r="B531" s="30"/>
      <c r="C531" s="30"/>
      <c r="D531" s="41"/>
      <c r="E531" s="41"/>
      <c r="F531" s="42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</row>
    <row r="532">
      <c r="A532" s="41"/>
      <c r="B532" s="30"/>
      <c r="C532" s="30"/>
      <c r="D532" s="41"/>
      <c r="E532" s="41"/>
      <c r="F532" s="42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</row>
    <row r="533">
      <c r="A533" s="41"/>
      <c r="B533" s="30"/>
      <c r="C533" s="30"/>
      <c r="D533" s="41"/>
      <c r="E533" s="41"/>
      <c r="F533" s="42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</row>
    <row r="534">
      <c r="A534" s="41"/>
      <c r="B534" s="30"/>
      <c r="C534" s="30"/>
      <c r="D534" s="41"/>
      <c r="E534" s="41"/>
      <c r="F534" s="42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</row>
    <row r="535">
      <c r="A535" s="41"/>
      <c r="B535" s="30"/>
      <c r="C535" s="30"/>
      <c r="D535" s="41"/>
      <c r="E535" s="41"/>
      <c r="F535" s="42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</row>
    <row r="536">
      <c r="A536" s="41"/>
      <c r="B536" s="30"/>
      <c r="C536" s="30"/>
      <c r="D536" s="41"/>
      <c r="E536" s="41"/>
      <c r="F536" s="42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</row>
    <row r="537">
      <c r="A537" s="41"/>
      <c r="B537" s="30"/>
      <c r="C537" s="30"/>
      <c r="D537" s="41"/>
      <c r="E537" s="41"/>
      <c r="F537" s="42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</row>
    <row r="538">
      <c r="A538" s="41"/>
      <c r="B538" s="30"/>
      <c r="C538" s="30"/>
      <c r="D538" s="41"/>
      <c r="E538" s="41"/>
      <c r="F538" s="42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</row>
    <row r="539">
      <c r="A539" s="41"/>
      <c r="B539" s="30"/>
      <c r="C539" s="30"/>
      <c r="D539" s="41"/>
      <c r="E539" s="41"/>
      <c r="F539" s="42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</row>
    <row r="540">
      <c r="A540" s="41"/>
      <c r="B540" s="30"/>
      <c r="C540" s="30"/>
      <c r="D540" s="41"/>
      <c r="E540" s="41"/>
      <c r="F540" s="42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</row>
    <row r="541">
      <c r="A541" s="41"/>
      <c r="B541" s="30"/>
      <c r="C541" s="30"/>
      <c r="D541" s="41"/>
      <c r="E541" s="41"/>
      <c r="F541" s="42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</row>
    <row r="542">
      <c r="A542" s="41"/>
      <c r="B542" s="30"/>
      <c r="C542" s="30"/>
      <c r="D542" s="41"/>
      <c r="E542" s="41"/>
      <c r="F542" s="42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</row>
    <row r="543">
      <c r="A543" s="41"/>
      <c r="B543" s="30"/>
      <c r="C543" s="30"/>
      <c r="D543" s="41"/>
      <c r="E543" s="41"/>
      <c r="F543" s="42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</row>
    <row r="544">
      <c r="A544" s="41"/>
      <c r="B544" s="30"/>
      <c r="C544" s="30"/>
      <c r="D544" s="41"/>
      <c r="E544" s="41"/>
      <c r="F544" s="42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</row>
    <row r="545">
      <c r="A545" s="41"/>
      <c r="B545" s="30"/>
      <c r="C545" s="30"/>
      <c r="D545" s="41"/>
      <c r="E545" s="41"/>
      <c r="F545" s="42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</row>
    <row r="546">
      <c r="A546" s="41"/>
      <c r="B546" s="30"/>
      <c r="C546" s="30"/>
      <c r="D546" s="41"/>
      <c r="E546" s="41"/>
      <c r="F546" s="42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</row>
    <row r="547">
      <c r="A547" s="41"/>
      <c r="B547" s="30"/>
      <c r="C547" s="30"/>
      <c r="D547" s="41"/>
      <c r="E547" s="41"/>
      <c r="F547" s="42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</row>
    <row r="548">
      <c r="A548" s="41"/>
      <c r="B548" s="30"/>
      <c r="C548" s="30"/>
      <c r="D548" s="41"/>
      <c r="E548" s="41"/>
      <c r="F548" s="42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</row>
    <row r="549">
      <c r="A549" s="41"/>
      <c r="B549" s="30"/>
      <c r="C549" s="30"/>
      <c r="D549" s="41"/>
      <c r="E549" s="41"/>
      <c r="F549" s="42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</row>
    <row r="550">
      <c r="A550" s="41"/>
      <c r="B550" s="30"/>
      <c r="C550" s="30"/>
      <c r="D550" s="41"/>
      <c r="E550" s="41"/>
      <c r="F550" s="42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</row>
    <row r="551">
      <c r="A551" s="41"/>
      <c r="B551" s="30"/>
      <c r="C551" s="30"/>
      <c r="D551" s="41"/>
      <c r="E551" s="41"/>
      <c r="F551" s="42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</row>
    <row r="552">
      <c r="A552" s="41"/>
      <c r="B552" s="30"/>
      <c r="C552" s="30"/>
      <c r="D552" s="41"/>
      <c r="E552" s="41"/>
      <c r="F552" s="42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</row>
    <row r="553">
      <c r="A553" s="41"/>
      <c r="B553" s="30"/>
      <c r="C553" s="30"/>
      <c r="D553" s="41"/>
      <c r="E553" s="41"/>
      <c r="F553" s="42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</row>
    <row r="554">
      <c r="A554" s="41"/>
      <c r="B554" s="30"/>
      <c r="C554" s="30"/>
      <c r="D554" s="41"/>
      <c r="E554" s="41"/>
      <c r="F554" s="42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</row>
    <row r="555">
      <c r="A555" s="41"/>
      <c r="B555" s="30"/>
      <c r="C555" s="30"/>
      <c r="D555" s="41"/>
      <c r="E555" s="41"/>
      <c r="F555" s="42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</row>
    <row r="556">
      <c r="A556" s="41"/>
      <c r="B556" s="30"/>
      <c r="C556" s="30"/>
      <c r="D556" s="41"/>
      <c r="E556" s="41"/>
      <c r="F556" s="42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</row>
    <row r="557">
      <c r="A557" s="41"/>
      <c r="B557" s="30"/>
      <c r="C557" s="30"/>
      <c r="D557" s="41"/>
      <c r="E557" s="41"/>
      <c r="F557" s="42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</row>
    <row r="558">
      <c r="A558" s="41"/>
      <c r="B558" s="30"/>
      <c r="C558" s="30"/>
      <c r="D558" s="41"/>
      <c r="E558" s="41"/>
      <c r="F558" s="42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</row>
    <row r="559">
      <c r="A559" s="41"/>
      <c r="B559" s="30"/>
      <c r="C559" s="30"/>
      <c r="D559" s="41"/>
      <c r="E559" s="41"/>
      <c r="F559" s="42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</row>
    <row r="560">
      <c r="A560" s="41"/>
      <c r="B560" s="30"/>
      <c r="C560" s="30"/>
      <c r="D560" s="41"/>
      <c r="E560" s="41"/>
      <c r="F560" s="42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</row>
    <row r="561">
      <c r="A561" s="41"/>
      <c r="B561" s="30"/>
      <c r="C561" s="30"/>
      <c r="D561" s="41"/>
      <c r="E561" s="41"/>
      <c r="F561" s="42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</row>
    <row r="562">
      <c r="A562" s="41"/>
      <c r="B562" s="30"/>
      <c r="C562" s="30"/>
      <c r="D562" s="41"/>
      <c r="E562" s="41"/>
      <c r="F562" s="42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</row>
    <row r="563">
      <c r="A563" s="41"/>
      <c r="B563" s="30"/>
      <c r="C563" s="30"/>
      <c r="D563" s="41"/>
      <c r="E563" s="41"/>
      <c r="F563" s="42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</row>
    <row r="564">
      <c r="A564" s="41"/>
      <c r="B564" s="30"/>
      <c r="C564" s="30"/>
      <c r="D564" s="41"/>
      <c r="E564" s="41"/>
      <c r="F564" s="42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</row>
    <row r="565">
      <c r="A565" s="41"/>
      <c r="B565" s="30"/>
      <c r="C565" s="30"/>
      <c r="D565" s="41"/>
      <c r="E565" s="41"/>
      <c r="F565" s="42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</row>
    <row r="566">
      <c r="A566" s="41"/>
      <c r="B566" s="30"/>
      <c r="C566" s="30"/>
      <c r="D566" s="41"/>
      <c r="E566" s="41"/>
      <c r="F566" s="42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</row>
    <row r="567">
      <c r="A567" s="41"/>
      <c r="B567" s="30"/>
      <c r="C567" s="30"/>
      <c r="D567" s="41"/>
      <c r="E567" s="41"/>
      <c r="F567" s="42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</row>
    <row r="568">
      <c r="A568" s="41"/>
      <c r="B568" s="30"/>
      <c r="C568" s="30"/>
      <c r="D568" s="41"/>
      <c r="E568" s="41"/>
      <c r="F568" s="42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</row>
    <row r="569">
      <c r="A569" s="41"/>
      <c r="B569" s="30"/>
      <c r="C569" s="30"/>
      <c r="D569" s="41"/>
      <c r="E569" s="41"/>
      <c r="F569" s="42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</row>
    <row r="570">
      <c r="A570" s="41"/>
      <c r="B570" s="30"/>
      <c r="C570" s="30"/>
      <c r="D570" s="41"/>
      <c r="E570" s="41"/>
      <c r="F570" s="42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</row>
    <row r="571">
      <c r="A571" s="41"/>
      <c r="B571" s="30"/>
      <c r="C571" s="30"/>
      <c r="D571" s="41"/>
      <c r="E571" s="41"/>
      <c r="F571" s="42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</row>
    <row r="572">
      <c r="A572" s="41"/>
      <c r="B572" s="30"/>
      <c r="C572" s="30"/>
      <c r="D572" s="41"/>
      <c r="E572" s="41"/>
      <c r="F572" s="42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</row>
    <row r="573">
      <c r="A573" s="41"/>
      <c r="B573" s="30"/>
      <c r="C573" s="30"/>
      <c r="D573" s="41"/>
      <c r="E573" s="41"/>
      <c r="F573" s="42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</row>
    <row r="574">
      <c r="A574" s="41"/>
      <c r="B574" s="30"/>
      <c r="C574" s="30"/>
      <c r="D574" s="41"/>
      <c r="E574" s="41"/>
      <c r="F574" s="42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</row>
    <row r="575">
      <c r="A575" s="41"/>
      <c r="B575" s="30"/>
      <c r="C575" s="30"/>
      <c r="D575" s="41"/>
      <c r="E575" s="41"/>
      <c r="F575" s="42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</row>
    <row r="576">
      <c r="A576" s="41"/>
      <c r="B576" s="30"/>
      <c r="C576" s="30"/>
      <c r="D576" s="41"/>
      <c r="E576" s="41"/>
      <c r="F576" s="42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</row>
    <row r="577">
      <c r="A577" s="41"/>
      <c r="B577" s="30"/>
      <c r="C577" s="30"/>
      <c r="D577" s="41"/>
      <c r="E577" s="41"/>
      <c r="F577" s="42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</row>
    <row r="578">
      <c r="A578" s="41"/>
      <c r="B578" s="30"/>
      <c r="C578" s="30"/>
      <c r="D578" s="41"/>
      <c r="E578" s="41"/>
      <c r="F578" s="42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</row>
    <row r="579">
      <c r="A579" s="41"/>
      <c r="B579" s="30"/>
      <c r="C579" s="30"/>
      <c r="D579" s="41"/>
      <c r="E579" s="41"/>
      <c r="F579" s="42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</row>
    <row r="580">
      <c r="A580" s="41"/>
      <c r="B580" s="30"/>
      <c r="C580" s="30"/>
      <c r="D580" s="41"/>
      <c r="E580" s="41"/>
      <c r="F580" s="42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</row>
    <row r="581">
      <c r="A581" s="41"/>
      <c r="B581" s="30"/>
      <c r="C581" s="30"/>
      <c r="D581" s="41"/>
      <c r="E581" s="41"/>
      <c r="F581" s="42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</row>
    <row r="582">
      <c r="A582" s="41"/>
      <c r="B582" s="30"/>
      <c r="C582" s="30"/>
      <c r="D582" s="41"/>
      <c r="E582" s="41"/>
      <c r="F582" s="42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</row>
    <row r="583">
      <c r="A583" s="41"/>
      <c r="B583" s="30"/>
      <c r="C583" s="30"/>
      <c r="D583" s="41"/>
      <c r="E583" s="41"/>
      <c r="F583" s="42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</row>
    <row r="584">
      <c r="A584" s="41"/>
      <c r="B584" s="30"/>
      <c r="C584" s="30"/>
      <c r="D584" s="41"/>
      <c r="E584" s="41"/>
      <c r="F584" s="42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</row>
    <row r="585">
      <c r="A585" s="41"/>
      <c r="B585" s="30"/>
      <c r="C585" s="30"/>
      <c r="D585" s="41"/>
      <c r="E585" s="41"/>
      <c r="F585" s="42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</row>
    <row r="586">
      <c r="A586" s="41"/>
      <c r="B586" s="30"/>
      <c r="C586" s="30"/>
      <c r="D586" s="41"/>
      <c r="E586" s="41"/>
      <c r="F586" s="42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</row>
    <row r="587">
      <c r="A587" s="41"/>
      <c r="B587" s="30"/>
      <c r="C587" s="30"/>
      <c r="D587" s="41"/>
      <c r="E587" s="41"/>
      <c r="F587" s="42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</row>
    <row r="588">
      <c r="A588" s="41"/>
      <c r="B588" s="30"/>
      <c r="C588" s="30"/>
      <c r="D588" s="41"/>
      <c r="E588" s="41"/>
      <c r="F588" s="42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</row>
    <row r="589">
      <c r="A589" s="41"/>
      <c r="B589" s="30"/>
      <c r="C589" s="30"/>
      <c r="D589" s="41"/>
      <c r="E589" s="41"/>
      <c r="F589" s="42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</row>
    <row r="590">
      <c r="A590" s="41"/>
      <c r="B590" s="30"/>
      <c r="C590" s="30"/>
      <c r="D590" s="41"/>
      <c r="E590" s="41"/>
      <c r="F590" s="42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</row>
    <row r="591">
      <c r="A591" s="41"/>
      <c r="B591" s="30"/>
      <c r="C591" s="30"/>
      <c r="D591" s="41"/>
      <c r="E591" s="41"/>
      <c r="F591" s="42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</row>
    <row r="592">
      <c r="A592" s="41"/>
      <c r="B592" s="30"/>
      <c r="C592" s="30"/>
      <c r="D592" s="41"/>
      <c r="E592" s="41"/>
      <c r="F592" s="42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</row>
    <row r="593">
      <c r="A593" s="41"/>
      <c r="B593" s="30"/>
      <c r="C593" s="30"/>
      <c r="D593" s="41"/>
      <c r="E593" s="41"/>
      <c r="F593" s="42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</row>
    <row r="594">
      <c r="A594" s="41"/>
      <c r="B594" s="30"/>
      <c r="C594" s="30"/>
      <c r="D594" s="41"/>
      <c r="E594" s="41"/>
      <c r="F594" s="42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</row>
    <row r="595">
      <c r="A595" s="41"/>
      <c r="B595" s="30"/>
      <c r="C595" s="30"/>
      <c r="D595" s="41"/>
      <c r="E595" s="41"/>
      <c r="F595" s="42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</row>
    <row r="596">
      <c r="A596" s="41"/>
      <c r="B596" s="30"/>
      <c r="C596" s="30"/>
      <c r="D596" s="41"/>
      <c r="E596" s="41"/>
      <c r="F596" s="42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</row>
    <row r="597">
      <c r="A597" s="41"/>
      <c r="B597" s="30"/>
      <c r="C597" s="30"/>
      <c r="D597" s="41"/>
      <c r="E597" s="41"/>
      <c r="F597" s="42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</row>
    <row r="598">
      <c r="A598" s="41"/>
      <c r="B598" s="30"/>
      <c r="C598" s="30"/>
      <c r="D598" s="41"/>
      <c r="E598" s="41"/>
      <c r="F598" s="42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</row>
    <row r="599">
      <c r="A599" s="41"/>
      <c r="B599" s="30"/>
      <c r="C599" s="30"/>
      <c r="D599" s="41"/>
      <c r="E599" s="41"/>
      <c r="F599" s="42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</row>
    <row r="600">
      <c r="A600" s="41"/>
      <c r="B600" s="30"/>
      <c r="C600" s="30"/>
      <c r="D600" s="41"/>
      <c r="E600" s="41"/>
      <c r="F600" s="42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</row>
    <row r="601">
      <c r="A601" s="41"/>
      <c r="B601" s="30"/>
      <c r="C601" s="30"/>
      <c r="D601" s="41"/>
      <c r="E601" s="41"/>
      <c r="F601" s="42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</row>
    <row r="602">
      <c r="A602" s="41"/>
      <c r="B602" s="30"/>
      <c r="C602" s="30"/>
      <c r="D602" s="41"/>
      <c r="E602" s="41"/>
      <c r="F602" s="42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</row>
    <row r="603">
      <c r="A603" s="41"/>
      <c r="B603" s="30"/>
      <c r="C603" s="30"/>
      <c r="D603" s="41"/>
      <c r="E603" s="41"/>
      <c r="F603" s="42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</row>
    <row r="604">
      <c r="A604" s="41"/>
      <c r="B604" s="30"/>
      <c r="C604" s="30"/>
      <c r="D604" s="41"/>
      <c r="E604" s="41"/>
      <c r="F604" s="42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</row>
    <row r="605">
      <c r="A605" s="41"/>
      <c r="B605" s="30"/>
      <c r="C605" s="30"/>
      <c r="D605" s="41"/>
      <c r="E605" s="41"/>
      <c r="F605" s="42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</row>
    <row r="606">
      <c r="A606" s="41"/>
      <c r="B606" s="30"/>
      <c r="C606" s="30"/>
      <c r="D606" s="41"/>
      <c r="E606" s="41"/>
      <c r="F606" s="42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</row>
    <row r="607">
      <c r="A607" s="41"/>
      <c r="B607" s="30"/>
      <c r="C607" s="30"/>
      <c r="D607" s="41"/>
      <c r="E607" s="41"/>
      <c r="F607" s="42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</row>
    <row r="608">
      <c r="A608" s="41"/>
      <c r="B608" s="30"/>
      <c r="C608" s="30"/>
      <c r="D608" s="41"/>
      <c r="E608" s="41"/>
      <c r="F608" s="42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</row>
    <row r="609">
      <c r="A609" s="41"/>
      <c r="B609" s="30"/>
      <c r="C609" s="30"/>
      <c r="D609" s="41"/>
      <c r="E609" s="41"/>
      <c r="F609" s="42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</row>
    <row r="610">
      <c r="A610" s="41"/>
      <c r="B610" s="30"/>
      <c r="C610" s="30"/>
      <c r="D610" s="41"/>
      <c r="E610" s="41"/>
      <c r="F610" s="42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</row>
    <row r="611">
      <c r="A611" s="41"/>
      <c r="B611" s="30"/>
      <c r="C611" s="30"/>
      <c r="D611" s="41"/>
      <c r="E611" s="41"/>
      <c r="F611" s="42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</row>
    <row r="612">
      <c r="A612" s="41"/>
      <c r="B612" s="30"/>
      <c r="C612" s="30"/>
      <c r="D612" s="41"/>
      <c r="E612" s="41"/>
      <c r="F612" s="42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</row>
    <row r="613">
      <c r="A613" s="41"/>
      <c r="B613" s="30"/>
      <c r="C613" s="30"/>
      <c r="D613" s="41"/>
      <c r="E613" s="41"/>
      <c r="F613" s="42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</row>
    <row r="614">
      <c r="A614" s="41"/>
      <c r="B614" s="30"/>
      <c r="C614" s="30"/>
      <c r="D614" s="41"/>
      <c r="E614" s="41"/>
      <c r="F614" s="42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</row>
    <row r="615">
      <c r="A615" s="41"/>
      <c r="B615" s="30"/>
      <c r="C615" s="30"/>
      <c r="D615" s="41"/>
      <c r="E615" s="41"/>
      <c r="F615" s="42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</row>
    <row r="616">
      <c r="A616" s="41"/>
      <c r="B616" s="30"/>
      <c r="C616" s="30"/>
      <c r="D616" s="41"/>
      <c r="E616" s="41"/>
      <c r="F616" s="42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</row>
    <row r="617">
      <c r="A617" s="41"/>
      <c r="B617" s="30"/>
      <c r="C617" s="30"/>
      <c r="D617" s="41"/>
      <c r="E617" s="41"/>
      <c r="F617" s="42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</row>
    <row r="618">
      <c r="A618" s="41"/>
      <c r="B618" s="30"/>
      <c r="C618" s="30"/>
      <c r="D618" s="41"/>
      <c r="E618" s="41"/>
      <c r="F618" s="42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</row>
    <row r="619">
      <c r="A619" s="41"/>
      <c r="B619" s="30"/>
      <c r="C619" s="30"/>
      <c r="D619" s="41"/>
      <c r="E619" s="41"/>
      <c r="F619" s="42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</row>
    <row r="620">
      <c r="A620" s="41"/>
      <c r="B620" s="30"/>
      <c r="C620" s="30"/>
      <c r="D620" s="41"/>
      <c r="E620" s="41"/>
      <c r="F620" s="42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</row>
    <row r="621">
      <c r="A621" s="41"/>
      <c r="B621" s="30"/>
      <c r="C621" s="30"/>
      <c r="D621" s="41"/>
      <c r="E621" s="41"/>
      <c r="F621" s="42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</row>
    <row r="622">
      <c r="A622" s="41"/>
      <c r="B622" s="30"/>
      <c r="C622" s="30"/>
      <c r="D622" s="41"/>
      <c r="E622" s="41"/>
      <c r="F622" s="42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</row>
    <row r="623">
      <c r="A623" s="41"/>
      <c r="B623" s="30"/>
      <c r="C623" s="30"/>
      <c r="D623" s="41"/>
      <c r="E623" s="41"/>
      <c r="F623" s="42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</row>
    <row r="624">
      <c r="A624" s="41"/>
      <c r="B624" s="30"/>
      <c r="C624" s="30"/>
      <c r="D624" s="41"/>
      <c r="E624" s="41"/>
      <c r="F624" s="42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</row>
    <row r="625">
      <c r="A625" s="41"/>
      <c r="B625" s="30"/>
      <c r="C625" s="30"/>
      <c r="D625" s="41"/>
      <c r="E625" s="41"/>
      <c r="F625" s="42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</row>
    <row r="626">
      <c r="A626" s="41"/>
      <c r="B626" s="30"/>
      <c r="C626" s="30"/>
      <c r="D626" s="41"/>
      <c r="E626" s="41"/>
      <c r="F626" s="42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</row>
    <row r="627">
      <c r="A627" s="41"/>
      <c r="B627" s="30"/>
      <c r="C627" s="30"/>
      <c r="D627" s="41"/>
      <c r="E627" s="41"/>
      <c r="F627" s="42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</row>
    <row r="628">
      <c r="A628" s="41"/>
      <c r="B628" s="30"/>
      <c r="C628" s="30"/>
      <c r="D628" s="41"/>
      <c r="E628" s="41"/>
      <c r="F628" s="42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</row>
    <row r="629">
      <c r="A629" s="41"/>
      <c r="B629" s="30"/>
      <c r="C629" s="30"/>
      <c r="D629" s="41"/>
      <c r="E629" s="41"/>
      <c r="F629" s="42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</row>
    <row r="630">
      <c r="A630" s="41"/>
      <c r="B630" s="30"/>
      <c r="C630" s="30"/>
      <c r="D630" s="41"/>
      <c r="E630" s="41"/>
      <c r="F630" s="42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</row>
    <row r="631">
      <c r="A631" s="41"/>
      <c r="B631" s="30"/>
      <c r="C631" s="30"/>
      <c r="D631" s="41"/>
      <c r="E631" s="41"/>
      <c r="F631" s="42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</row>
    <row r="632">
      <c r="A632" s="41"/>
      <c r="B632" s="30"/>
      <c r="C632" s="30"/>
      <c r="D632" s="41"/>
      <c r="E632" s="41"/>
      <c r="F632" s="42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</row>
    <row r="633">
      <c r="A633" s="41"/>
      <c r="B633" s="30"/>
      <c r="C633" s="30"/>
      <c r="D633" s="41"/>
      <c r="E633" s="41"/>
      <c r="F633" s="42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</row>
    <row r="634">
      <c r="A634" s="41"/>
      <c r="B634" s="30"/>
      <c r="C634" s="30"/>
      <c r="D634" s="41"/>
      <c r="E634" s="41"/>
      <c r="F634" s="42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</row>
    <row r="635">
      <c r="A635" s="41"/>
      <c r="B635" s="30"/>
      <c r="C635" s="30"/>
      <c r="D635" s="41"/>
      <c r="E635" s="41"/>
      <c r="F635" s="42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</row>
    <row r="636">
      <c r="A636" s="41"/>
      <c r="B636" s="30"/>
      <c r="C636" s="30"/>
      <c r="D636" s="41"/>
      <c r="E636" s="41"/>
      <c r="F636" s="42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</row>
    <row r="637">
      <c r="A637" s="41"/>
      <c r="B637" s="30"/>
      <c r="C637" s="30"/>
      <c r="D637" s="41"/>
      <c r="E637" s="41"/>
      <c r="F637" s="42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</row>
    <row r="638">
      <c r="A638" s="41"/>
      <c r="B638" s="30"/>
      <c r="C638" s="30"/>
      <c r="D638" s="41"/>
      <c r="E638" s="41"/>
      <c r="F638" s="42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</row>
    <row r="639">
      <c r="A639" s="41"/>
      <c r="B639" s="30"/>
      <c r="C639" s="30"/>
      <c r="D639" s="41"/>
      <c r="E639" s="41"/>
      <c r="F639" s="42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</row>
    <row r="640">
      <c r="A640" s="41"/>
      <c r="B640" s="30"/>
      <c r="C640" s="30"/>
      <c r="D640" s="41"/>
      <c r="E640" s="41"/>
      <c r="F640" s="42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</row>
    <row r="641">
      <c r="A641" s="41"/>
      <c r="B641" s="30"/>
      <c r="C641" s="30"/>
      <c r="D641" s="41"/>
      <c r="E641" s="41"/>
      <c r="F641" s="42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</row>
    <row r="642">
      <c r="A642" s="41"/>
      <c r="B642" s="30"/>
      <c r="C642" s="30"/>
      <c r="D642" s="41"/>
      <c r="E642" s="41"/>
      <c r="F642" s="42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</row>
    <row r="643">
      <c r="A643" s="41"/>
      <c r="B643" s="30"/>
      <c r="C643" s="30"/>
      <c r="D643" s="41"/>
      <c r="E643" s="41"/>
      <c r="F643" s="42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</row>
    <row r="644">
      <c r="A644" s="41"/>
      <c r="B644" s="30"/>
      <c r="C644" s="30"/>
      <c r="D644" s="41"/>
      <c r="E644" s="41"/>
      <c r="F644" s="42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</row>
    <row r="645">
      <c r="A645" s="41"/>
      <c r="B645" s="30"/>
      <c r="C645" s="30"/>
      <c r="D645" s="41"/>
      <c r="E645" s="41"/>
      <c r="F645" s="42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</row>
    <row r="646">
      <c r="A646" s="41"/>
      <c r="B646" s="30"/>
      <c r="C646" s="30"/>
      <c r="D646" s="41"/>
      <c r="E646" s="41"/>
      <c r="F646" s="42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</row>
    <row r="647">
      <c r="A647" s="41"/>
      <c r="B647" s="30"/>
      <c r="C647" s="30"/>
      <c r="D647" s="41"/>
      <c r="E647" s="41"/>
      <c r="F647" s="42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</row>
    <row r="648">
      <c r="A648" s="41"/>
      <c r="B648" s="30"/>
      <c r="C648" s="30"/>
      <c r="D648" s="41"/>
      <c r="E648" s="41"/>
      <c r="F648" s="42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</row>
    <row r="649">
      <c r="A649" s="41"/>
      <c r="B649" s="30"/>
      <c r="C649" s="30"/>
      <c r="D649" s="41"/>
      <c r="E649" s="41"/>
      <c r="F649" s="42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</row>
    <row r="650">
      <c r="A650" s="41"/>
      <c r="B650" s="30"/>
      <c r="C650" s="30"/>
      <c r="D650" s="41"/>
      <c r="E650" s="41"/>
      <c r="F650" s="42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</row>
    <row r="651">
      <c r="A651" s="41"/>
      <c r="B651" s="30"/>
      <c r="C651" s="30"/>
      <c r="D651" s="41"/>
      <c r="E651" s="41"/>
      <c r="F651" s="42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</row>
    <row r="652">
      <c r="A652" s="41"/>
      <c r="B652" s="30"/>
      <c r="C652" s="30"/>
      <c r="D652" s="41"/>
      <c r="E652" s="41"/>
      <c r="F652" s="42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</row>
    <row r="653">
      <c r="A653" s="41"/>
      <c r="B653" s="30"/>
      <c r="C653" s="30"/>
      <c r="D653" s="41"/>
      <c r="E653" s="41"/>
      <c r="F653" s="42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</row>
    <row r="654">
      <c r="A654" s="41"/>
      <c r="B654" s="30"/>
      <c r="C654" s="30"/>
      <c r="D654" s="41"/>
      <c r="E654" s="41"/>
      <c r="F654" s="42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</row>
    <row r="655">
      <c r="A655" s="41"/>
      <c r="B655" s="30"/>
      <c r="C655" s="30"/>
      <c r="D655" s="41"/>
      <c r="E655" s="41"/>
      <c r="F655" s="42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</row>
    <row r="656">
      <c r="A656" s="41"/>
      <c r="B656" s="30"/>
      <c r="C656" s="30"/>
      <c r="D656" s="41"/>
      <c r="E656" s="41"/>
      <c r="F656" s="42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</row>
    <row r="657">
      <c r="A657" s="41"/>
      <c r="B657" s="30"/>
      <c r="C657" s="30"/>
      <c r="D657" s="41"/>
      <c r="E657" s="41"/>
      <c r="F657" s="42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</row>
    <row r="658">
      <c r="A658" s="41"/>
      <c r="B658" s="30"/>
      <c r="C658" s="30"/>
      <c r="D658" s="41"/>
      <c r="E658" s="41"/>
      <c r="F658" s="42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</row>
    <row r="659">
      <c r="A659" s="41"/>
      <c r="B659" s="30"/>
      <c r="C659" s="30"/>
      <c r="D659" s="41"/>
      <c r="E659" s="41"/>
      <c r="F659" s="42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</row>
    <row r="660">
      <c r="A660" s="41"/>
      <c r="B660" s="30"/>
      <c r="C660" s="30"/>
      <c r="D660" s="41"/>
      <c r="E660" s="41"/>
      <c r="F660" s="42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</row>
    <row r="661">
      <c r="A661" s="41"/>
      <c r="B661" s="30"/>
      <c r="C661" s="30"/>
      <c r="D661" s="41"/>
      <c r="E661" s="41"/>
      <c r="F661" s="42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</row>
    <row r="662">
      <c r="A662" s="41"/>
      <c r="B662" s="30"/>
      <c r="C662" s="30"/>
      <c r="D662" s="41"/>
      <c r="E662" s="41"/>
      <c r="F662" s="42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</row>
    <row r="663">
      <c r="A663" s="41"/>
      <c r="B663" s="30"/>
      <c r="C663" s="30"/>
      <c r="D663" s="41"/>
      <c r="E663" s="41"/>
      <c r="F663" s="42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</row>
    <row r="664">
      <c r="A664" s="41"/>
      <c r="B664" s="30"/>
      <c r="C664" s="30"/>
      <c r="D664" s="41"/>
      <c r="E664" s="41"/>
      <c r="F664" s="42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</row>
    <row r="665">
      <c r="A665" s="41"/>
      <c r="B665" s="30"/>
      <c r="C665" s="30"/>
      <c r="D665" s="41"/>
      <c r="E665" s="41"/>
      <c r="F665" s="42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</row>
    <row r="666">
      <c r="A666" s="41"/>
      <c r="B666" s="30"/>
      <c r="C666" s="30"/>
      <c r="D666" s="41"/>
      <c r="E666" s="41"/>
      <c r="F666" s="42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</row>
    <row r="667">
      <c r="A667" s="41"/>
      <c r="B667" s="30"/>
      <c r="C667" s="30"/>
      <c r="D667" s="41"/>
      <c r="E667" s="41"/>
      <c r="F667" s="42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</row>
    <row r="668">
      <c r="A668" s="41"/>
      <c r="B668" s="30"/>
      <c r="C668" s="30"/>
      <c r="D668" s="41"/>
      <c r="E668" s="41"/>
      <c r="F668" s="42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</row>
    <row r="669">
      <c r="A669" s="41"/>
      <c r="B669" s="30"/>
      <c r="C669" s="30"/>
      <c r="D669" s="41"/>
      <c r="E669" s="41"/>
      <c r="F669" s="42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</row>
    <row r="670">
      <c r="A670" s="41"/>
      <c r="B670" s="30"/>
      <c r="C670" s="30"/>
      <c r="D670" s="41"/>
      <c r="E670" s="41"/>
      <c r="F670" s="42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</row>
    <row r="671">
      <c r="A671" s="41"/>
      <c r="B671" s="30"/>
      <c r="C671" s="30"/>
      <c r="D671" s="41"/>
      <c r="E671" s="41"/>
      <c r="F671" s="42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</row>
    <row r="672">
      <c r="A672" s="41"/>
      <c r="B672" s="30"/>
      <c r="C672" s="30"/>
      <c r="D672" s="41"/>
      <c r="E672" s="41"/>
      <c r="F672" s="42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</row>
    <row r="673">
      <c r="A673" s="41"/>
      <c r="B673" s="30"/>
      <c r="C673" s="30"/>
      <c r="D673" s="41"/>
      <c r="E673" s="41"/>
      <c r="F673" s="42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</row>
    <row r="674">
      <c r="A674" s="41"/>
      <c r="B674" s="30"/>
      <c r="C674" s="30"/>
      <c r="D674" s="41"/>
      <c r="E674" s="41"/>
      <c r="F674" s="42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</row>
    <row r="675">
      <c r="A675" s="41"/>
      <c r="B675" s="30"/>
      <c r="C675" s="30"/>
      <c r="D675" s="41"/>
      <c r="E675" s="41"/>
      <c r="F675" s="42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</row>
    <row r="676">
      <c r="A676" s="41"/>
      <c r="B676" s="30"/>
      <c r="C676" s="30"/>
      <c r="D676" s="41"/>
      <c r="E676" s="41"/>
      <c r="F676" s="42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</row>
    <row r="677">
      <c r="A677" s="41"/>
      <c r="B677" s="30"/>
      <c r="C677" s="30"/>
      <c r="D677" s="41"/>
      <c r="E677" s="41"/>
      <c r="F677" s="42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</row>
    <row r="678">
      <c r="A678" s="41"/>
      <c r="B678" s="30"/>
      <c r="C678" s="30"/>
      <c r="D678" s="41"/>
      <c r="E678" s="41"/>
      <c r="F678" s="42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</row>
    <row r="679">
      <c r="A679" s="41"/>
      <c r="B679" s="30"/>
      <c r="C679" s="30"/>
      <c r="D679" s="41"/>
      <c r="E679" s="41"/>
      <c r="F679" s="42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</row>
    <row r="680">
      <c r="A680" s="41"/>
      <c r="B680" s="30"/>
      <c r="C680" s="30"/>
      <c r="D680" s="41"/>
      <c r="E680" s="41"/>
      <c r="F680" s="42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</row>
    <row r="681">
      <c r="A681" s="41"/>
      <c r="B681" s="30"/>
      <c r="C681" s="30"/>
      <c r="D681" s="41"/>
      <c r="E681" s="41"/>
      <c r="F681" s="42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</row>
    <row r="682">
      <c r="A682" s="41"/>
      <c r="B682" s="30"/>
      <c r="C682" s="30"/>
      <c r="D682" s="41"/>
      <c r="E682" s="41"/>
      <c r="F682" s="42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</row>
    <row r="683">
      <c r="A683" s="41"/>
      <c r="B683" s="30"/>
      <c r="C683" s="30"/>
      <c r="D683" s="41"/>
      <c r="E683" s="41"/>
      <c r="F683" s="42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</row>
    <row r="684">
      <c r="A684" s="41"/>
      <c r="B684" s="30"/>
      <c r="C684" s="30"/>
      <c r="D684" s="41"/>
      <c r="E684" s="41"/>
      <c r="F684" s="42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</row>
    <row r="685">
      <c r="A685" s="41"/>
      <c r="B685" s="30"/>
      <c r="C685" s="30"/>
      <c r="D685" s="41"/>
      <c r="E685" s="41"/>
      <c r="F685" s="42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</row>
    <row r="686">
      <c r="A686" s="41"/>
      <c r="B686" s="30"/>
      <c r="C686" s="30"/>
      <c r="D686" s="41"/>
      <c r="E686" s="41"/>
      <c r="F686" s="42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</row>
    <row r="687">
      <c r="A687" s="41"/>
      <c r="B687" s="30"/>
      <c r="C687" s="30"/>
      <c r="D687" s="41"/>
      <c r="E687" s="41"/>
      <c r="F687" s="42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</row>
    <row r="688">
      <c r="A688" s="41"/>
      <c r="B688" s="30"/>
      <c r="C688" s="30"/>
      <c r="D688" s="41"/>
      <c r="E688" s="41"/>
      <c r="F688" s="42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</row>
    <row r="689">
      <c r="A689" s="41"/>
      <c r="B689" s="30"/>
      <c r="C689" s="30"/>
      <c r="D689" s="41"/>
      <c r="E689" s="41"/>
      <c r="F689" s="42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</row>
    <row r="690">
      <c r="A690" s="41"/>
      <c r="B690" s="30"/>
      <c r="C690" s="30"/>
      <c r="D690" s="41"/>
      <c r="E690" s="41"/>
      <c r="F690" s="42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</row>
    <row r="691">
      <c r="A691" s="41"/>
      <c r="B691" s="30"/>
      <c r="C691" s="30"/>
      <c r="D691" s="41"/>
      <c r="E691" s="41"/>
      <c r="F691" s="42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</row>
    <row r="692">
      <c r="A692" s="41"/>
      <c r="B692" s="30"/>
      <c r="C692" s="30"/>
      <c r="D692" s="41"/>
      <c r="E692" s="41"/>
      <c r="F692" s="42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</row>
    <row r="693">
      <c r="A693" s="41"/>
      <c r="B693" s="30"/>
      <c r="C693" s="30"/>
      <c r="D693" s="41"/>
      <c r="E693" s="41"/>
      <c r="F693" s="42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</row>
    <row r="694">
      <c r="A694" s="41"/>
      <c r="B694" s="30"/>
      <c r="C694" s="30"/>
      <c r="D694" s="41"/>
      <c r="E694" s="41"/>
      <c r="F694" s="42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</row>
    <row r="695">
      <c r="A695" s="41"/>
      <c r="B695" s="30"/>
      <c r="C695" s="30"/>
      <c r="D695" s="41"/>
      <c r="E695" s="41"/>
      <c r="F695" s="42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</row>
    <row r="696">
      <c r="A696" s="41"/>
      <c r="B696" s="30"/>
      <c r="C696" s="30"/>
      <c r="D696" s="41"/>
      <c r="E696" s="41"/>
      <c r="F696" s="42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</row>
    <row r="697">
      <c r="A697" s="41"/>
      <c r="B697" s="30"/>
      <c r="C697" s="30"/>
      <c r="D697" s="41"/>
      <c r="E697" s="41"/>
      <c r="F697" s="42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</row>
    <row r="698">
      <c r="A698" s="41"/>
      <c r="B698" s="30"/>
      <c r="C698" s="30"/>
      <c r="D698" s="41"/>
      <c r="E698" s="41"/>
      <c r="F698" s="42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</row>
    <row r="699">
      <c r="A699" s="41"/>
      <c r="B699" s="30"/>
      <c r="C699" s="30"/>
      <c r="D699" s="41"/>
      <c r="E699" s="41"/>
      <c r="F699" s="42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</row>
    <row r="700">
      <c r="A700" s="41"/>
      <c r="B700" s="30"/>
      <c r="C700" s="30"/>
      <c r="D700" s="41"/>
      <c r="E700" s="41"/>
      <c r="F700" s="42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</row>
    <row r="701">
      <c r="A701" s="41"/>
      <c r="B701" s="30"/>
      <c r="C701" s="30"/>
      <c r="D701" s="41"/>
      <c r="E701" s="41"/>
      <c r="F701" s="42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</row>
    <row r="702">
      <c r="A702" s="41"/>
      <c r="B702" s="30"/>
      <c r="C702" s="30"/>
      <c r="D702" s="41"/>
      <c r="E702" s="41"/>
      <c r="F702" s="42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</row>
    <row r="703">
      <c r="A703" s="41"/>
      <c r="B703" s="30"/>
      <c r="C703" s="30"/>
      <c r="D703" s="41"/>
      <c r="E703" s="41"/>
      <c r="F703" s="42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</row>
    <row r="704">
      <c r="A704" s="41"/>
      <c r="B704" s="30"/>
      <c r="C704" s="30"/>
      <c r="D704" s="41"/>
      <c r="E704" s="41"/>
      <c r="F704" s="42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</row>
    <row r="705">
      <c r="A705" s="41"/>
      <c r="B705" s="30"/>
      <c r="C705" s="30"/>
      <c r="D705" s="41"/>
      <c r="E705" s="41"/>
      <c r="F705" s="42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</row>
    <row r="706">
      <c r="A706" s="41"/>
      <c r="B706" s="30"/>
      <c r="C706" s="30"/>
      <c r="D706" s="41"/>
      <c r="E706" s="41"/>
      <c r="F706" s="42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</row>
    <row r="707">
      <c r="A707" s="41"/>
      <c r="B707" s="30"/>
      <c r="C707" s="30"/>
      <c r="D707" s="41"/>
      <c r="E707" s="41"/>
      <c r="F707" s="42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</row>
    <row r="708">
      <c r="A708" s="41"/>
      <c r="B708" s="30"/>
      <c r="C708" s="30"/>
      <c r="D708" s="41"/>
      <c r="E708" s="41"/>
      <c r="F708" s="42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</row>
    <row r="709">
      <c r="A709" s="41"/>
      <c r="B709" s="30"/>
      <c r="C709" s="30"/>
      <c r="D709" s="41"/>
      <c r="E709" s="41"/>
      <c r="F709" s="42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</row>
    <row r="710">
      <c r="A710" s="41"/>
      <c r="B710" s="30"/>
      <c r="C710" s="30"/>
      <c r="D710" s="41"/>
      <c r="E710" s="41"/>
      <c r="F710" s="42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</row>
    <row r="711">
      <c r="A711" s="41"/>
      <c r="B711" s="30"/>
      <c r="C711" s="30"/>
      <c r="D711" s="41"/>
      <c r="E711" s="41"/>
      <c r="F711" s="42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</row>
    <row r="712">
      <c r="A712" s="41"/>
      <c r="B712" s="30"/>
      <c r="C712" s="30"/>
      <c r="D712" s="41"/>
      <c r="E712" s="41"/>
      <c r="F712" s="42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</row>
    <row r="713">
      <c r="A713" s="41"/>
      <c r="B713" s="30"/>
      <c r="C713" s="30"/>
      <c r="D713" s="41"/>
      <c r="E713" s="41"/>
      <c r="F713" s="42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</row>
    <row r="714">
      <c r="A714" s="41"/>
      <c r="B714" s="30"/>
      <c r="C714" s="30"/>
      <c r="D714" s="41"/>
      <c r="E714" s="41"/>
      <c r="F714" s="42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</row>
    <row r="715">
      <c r="A715" s="41"/>
      <c r="B715" s="30"/>
      <c r="C715" s="30"/>
      <c r="D715" s="41"/>
      <c r="E715" s="41"/>
      <c r="F715" s="42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</row>
    <row r="716">
      <c r="A716" s="41"/>
      <c r="B716" s="30"/>
      <c r="C716" s="30"/>
      <c r="D716" s="41"/>
      <c r="E716" s="41"/>
      <c r="F716" s="42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</row>
    <row r="717">
      <c r="A717" s="41"/>
      <c r="B717" s="30"/>
      <c r="C717" s="30"/>
      <c r="D717" s="41"/>
      <c r="E717" s="41"/>
      <c r="F717" s="42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</row>
    <row r="718">
      <c r="A718" s="41"/>
      <c r="B718" s="30"/>
      <c r="C718" s="30"/>
      <c r="D718" s="41"/>
      <c r="E718" s="41"/>
      <c r="F718" s="42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</row>
    <row r="719">
      <c r="A719" s="41"/>
      <c r="B719" s="30"/>
      <c r="C719" s="30"/>
      <c r="D719" s="41"/>
      <c r="E719" s="41"/>
      <c r="F719" s="42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</row>
    <row r="720">
      <c r="A720" s="41"/>
      <c r="B720" s="30"/>
      <c r="C720" s="30"/>
      <c r="D720" s="41"/>
      <c r="E720" s="41"/>
      <c r="F720" s="42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</row>
    <row r="721">
      <c r="A721" s="41"/>
      <c r="B721" s="30"/>
      <c r="C721" s="30"/>
      <c r="D721" s="41"/>
      <c r="E721" s="41"/>
      <c r="F721" s="42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</row>
    <row r="722">
      <c r="A722" s="41"/>
      <c r="B722" s="30"/>
      <c r="C722" s="30"/>
      <c r="D722" s="41"/>
      <c r="E722" s="41"/>
      <c r="F722" s="42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</row>
    <row r="723">
      <c r="A723" s="41"/>
      <c r="B723" s="30"/>
      <c r="C723" s="30"/>
      <c r="D723" s="41"/>
      <c r="E723" s="41"/>
      <c r="F723" s="42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</row>
    <row r="724">
      <c r="A724" s="41"/>
      <c r="B724" s="30"/>
      <c r="C724" s="30"/>
      <c r="D724" s="41"/>
      <c r="E724" s="41"/>
      <c r="F724" s="42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</row>
    <row r="725">
      <c r="A725" s="41"/>
      <c r="B725" s="30"/>
      <c r="C725" s="30"/>
      <c r="D725" s="41"/>
      <c r="E725" s="41"/>
      <c r="F725" s="42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</row>
    <row r="726">
      <c r="A726" s="41"/>
      <c r="B726" s="30"/>
      <c r="C726" s="30"/>
      <c r="D726" s="41"/>
      <c r="E726" s="41"/>
      <c r="F726" s="42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</row>
    <row r="727">
      <c r="A727" s="41"/>
      <c r="B727" s="30"/>
      <c r="C727" s="30"/>
      <c r="D727" s="41"/>
      <c r="E727" s="41"/>
      <c r="F727" s="42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</row>
    <row r="728">
      <c r="A728" s="41"/>
      <c r="B728" s="30"/>
      <c r="C728" s="30"/>
      <c r="D728" s="41"/>
      <c r="E728" s="41"/>
      <c r="F728" s="42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</row>
    <row r="729">
      <c r="A729" s="41"/>
      <c r="B729" s="30"/>
      <c r="C729" s="30"/>
      <c r="D729" s="41"/>
      <c r="E729" s="41"/>
      <c r="F729" s="42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</row>
    <row r="730">
      <c r="A730" s="41"/>
      <c r="B730" s="30"/>
      <c r="C730" s="30"/>
      <c r="D730" s="41"/>
      <c r="E730" s="41"/>
      <c r="F730" s="42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</row>
    <row r="731">
      <c r="A731" s="41"/>
      <c r="B731" s="30"/>
      <c r="C731" s="30"/>
      <c r="D731" s="41"/>
      <c r="E731" s="41"/>
      <c r="F731" s="42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</row>
    <row r="732">
      <c r="A732" s="41"/>
      <c r="B732" s="30"/>
      <c r="C732" s="30"/>
      <c r="D732" s="41"/>
      <c r="E732" s="41"/>
      <c r="F732" s="42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</row>
    <row r="733">
      <c r="A733" s="41"/>
      <c r="B733" s="30"/>
      <c r="C733" s="30"/>
      <c r="D733" s="41"/>
      <c r="E733" s="41"/>
      <c r="F733" s="42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</row>
    <row r="734">
      <c r="A734" s="41"/>
      <c r="B734" s="30"/>
      <c r="C734" s="30"/>
      <c r="D734" s="41"/>
      <c r="E734" s="41"/>
      <c r="F734" s="42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</row>
    <row r="735">
      <c r="A735" s="41"/>
      <c r="B735" s="30"/>
      <c r="C735" s="30"/>
      <c r="D735" s="41"/>
      <c r="E735" s="41"/>
      <c r="F735" s="42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</row>
    <row r="736">
      <c r="A736" s="41"/>
      <c r="B736" s="30"/>
      <c r="C736" s="30"/>
      <c r="D736" s="41"/>
      <c r="E736" s="41"/>
      <c r="F736" s="42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</row>
    <row r="737">
      <c r="A737" s="41"/>
      <c r="B737" s="30"/>
      <c r="C737" s="30"/>
      <c r="D737" s="41"/>
      <c r="E737" s="41"/>
      <c r="F737" s="42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</row>
    <row r="738">
      <c r="A738" s="41"/>
      <c r="B738" s="30"/>
      <c r="C738" s="30"/>
      <c r="D738" s="41"/>
      <c r="E738" s="41"/>
      <c r="F738" s="42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</row>
    <row r="739">
      <c r="A739" s="41"/>
      <c r="B739" s="30"/>
      <c r="C739" s="30"/>
      <c r="D739" s="41"/>
      <c r="E739" s="41"/>
      <c r="F739" s="42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</row>
    <row r="740">
      <c r="A740" s="41"/>
      <c r="B740" s="30"/>
      <c r="C740" s="30"/>
      <c r="D740" s="41"/>
      <c r="E740" s="41"/>
      <c r="F740" s="42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</row>
    <row r="741">
      <c r="A741" s="41"/>
      <c r="B741" s="30"/>
      <c r="C741" s="30"/>
      <c r="D741" s="41"/>
      <c r="E741" s="41"/>
      <c r="F741" s="42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</row>
    <row r="742">
      <c r="A742" s="41"/>
      <c r="B742" s="30"/>
      <c r="C742" s="30"/>
      <c r="D742" s="41"/>
      <c r="E742" s="41"/>
      <c r="F742" s="42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</row>
    <row r="743">
      <c r="A743" s="41"/>
      <c r="B743" s="30"/>
      <c r="C743" s="30"/>
      <c r="D743" s="41"/>
      <c r="E743" s="41"/>
      <c r="F743" s="42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</row>
    <row r="744">
      <c r="A744" s="41"/>
      <c r="B744" s="30"/>
      <c r="C744" s="30"/>
      <c r="D744" s="41"/>
      <c r="E744" s="41"/>
      <c r="F744" s="42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</row>
    <row r="745">
      <c r="A745" s="41"/>
      <c r="B745" s="30"/>
      <c r="C745" s="30"/>
      <c r="D745" s="41"/>
      <c r="E745" s="41"/>
      <c r="F745" s="42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</row>
    <row r="746">
      <c r="A746" s="41"/>
      <c r="B746" s="30"/>
      <c r="C746" s="30"/>
      <c r="D746" s="41"/>
      <c r="E746" s="41"/>
      <c r="F746" s="42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</row>
    <row r="747">
      <c r="A747" s="41"/>
      <c r="B747" s="30"/>
      <c r="C747" s="30"/>
      <c r="D747" s="41"/>
      <c r="E747" s="41"/>
      <c r="F747" s="42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</row>
    <row r="748">
      <c r="A748" s="41"/>
      <c r="B748" s="30"/>
      <c r="C748" s="30"/>
      <c r="D748" s="41"/>
      <c r="E748" s="41"/>
      <c r="F748" s="42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</row>
    <row r="749">
      <c r="A749" s="41"/>
      <c r="B749" s="30"/>
      <c r="C749" s="30"/>
      <c r="D749" s="41"/>
      <c r="E749" s="41"/>
      <c r="F749" s="42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</row>
    <row r="750">
      <c r="A750" s="41"/>
      <c r="B750" s="30"/>
      <c r="C750" s="30"/>
      <c r="D750" s="41"/>
      <c r="E750" s="41"/>
      <c r="F750" s="42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</row>
    <row r="751">
      <c r="A751" s="41"/>
      <c r="B751" s="30"/>
      <c r="C751" s="30"/>
      <c r="D751" s="41"/>
      <c r="E751" s="41"/>
      <c r="F751" s="42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</row>
    <row r="752">
      <c r="A752" s="41"/>
      <c r="B752" s="30"/>
      <c r="C752" s="30"/>
      <c r="D752" s="41"/>
      <c r="E752" s="41"/>
      <c r="F752" s="42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</row>
    <row r="753">
      <c r="A753" s="41"/>
      <c r="B753" s="30"/>
      <c r="C753" s="30"/>
      <c r="D753" s="41"/>
      <c r="E753" s="41"/>
      <c r="F753" s="42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</row>
    <row r="754">
      <c r="A754" s="41"/>
      <c r="B754" s="30"/>
      <c r="C754" s="30"/>
      <c r="D754" s="41"/>
      <c r="E754" s="41"/>
      <c r="F754" s="42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</row>
    <row r="755">
      <c r="A755" s="41"/>
      <c r="B755" s="30"/>
      <c r="C755" s="30"/>
      <c r="D755" s="41"/>
      <c r="E755" s="41"/>
      <c r="F755" s="42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</row>
    <row r="756">
      <c r="A756" s="41"/>
      <c r="B756" s="30"/>
      <c r="C756" s="30"/>
      <c r="D756" s="41"/>
      <c r="E756" s="41"/>
      <c r="F756" s="42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</row>
    <row r="757">
      <c r="A757" s="41"/>
      <c r="B757" s="30"/>
      <c r="C757" s="30"/>
      <c r="D757" s="41"/>
      <c r="E757" s="41"/>
      <c r="F757" s="42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</row>
    <row r="758">
      <c r="A758" s="41"/>
      <c r="B758" s="30"/>
      <c r="C758" s="30"/>
      <c r="D758" s="41"/>
      <c r="E758" s="41"/>
      <c r="F758" s="42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</row>
    <row r="759">
      <c r="A759" s="41"/>
      <c r="B759" s="30"/>
      <c r="C759" s="30"/>
      <c r="D759" s="41"/>
      <c r="E759" s="41"/>
      <c r="F759" s="42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</row>
    <row r="760">
      <c r="A760" s="41"/>
      <c r="B760" s="30"/>
      <c r="C760" s="30"/>
      <c r="D760" s="41"/>
      <c r="E760" s="41"/>
      <c r="F760" s="42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</row>
    <row r="761">
      <c r="A761" s="41"/>
      <c r="B761" s="30"/>
      <c r="C761" s="30"/>
      <c r="D761" s="41"/>
      <c r="E761" s="41"/>
      <c r="F761" s="42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</row>
    <row r="762">
      <c r="A762" s="41"/>
      <c r="B762" s="30"/>
      <c r="C762" s="30"/>
      <c r="D762" s="41"/>
      <c r="E762" s="41"/>
      <c r="F762" s="42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</row>
    <row r="763">
      <c r="A763" s="41"/>
      <c r="B763" s="30"/>
      <c r="C763" s="30"/>
      <c r="D763" s="41"/>
      <c r="E763" s="41"/>
      <c r="F763" s="42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</row>
    <row r="764">
      <c r="A764" s="41"/>
      <c r="B764" s="30"/>
      <c r="C764" s="30"/>
      <c r="D764" s="41"/>
      <c r="E764" s="41"/>
      <c r="F764" s="42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</row>
    <row r="765">
      <c r="A765" s="41"/>
      <c r="B765" s="30"/>
      <c r="C765" s="30"/>
      <c r="D765" s="41"/>
      <c r="E765" s="41"/>
      <c r="F765" s="42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</row>
    <row r="766">
      <c r="A766" s="41"/>
      <c r="B766" s="30"/>
      <c r="C766" s="30"/>
      <c r="D766" s="41"/>
      <c r="E766" s="41"/>
      <c r="F766" s="42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</row>
    <row r="767">
      <c r="A767" s="41"/>
      <c r="B767" s="30"/>
      <c r="C767" s="30"/>
      <c r="D767" s="41"/>
      <c r="E767" s="41"/>
      <c r="F767" s="42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</row>
    <row r="768">
      <c r="A768" s="41"/>
      <c r="B768" s="30"/>
      <c r="C768" s="30"/>
      <c r="D768" s="41"/>
      <c r="E768" s="41"/>
      <c r="F768" s="42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</row>
    <row r="769">
      <c r="A769" s="41"/>
      <c r="B769" s="30"/>
      <c r="C769" s="30"/>
      <c r="D769" s="41"/>
      <c r="E769" s="41"/>
      <c r="F769" s="42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</row>
    <row r="770">
      <c r="A770" s="41"/>
      <c r="B770" s="30"/>
      <c r="C770" s="30"/>
      <c r="D770" s="41"/>
      <c r="E770" s="41"/>
      <c r="F770" s="42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</row>
    <row r="771">
      <c r="A771" s="41"/>
      <c r="B771" s="30"/>
      <c r="C771" s="30"/>
      <c r="D771" s="41"/>
      <c r="E771" s="41"/>
      <c r="F771" s="42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</row>
    <row r="772">
      <c r="A772" s="41"/>
      <c r="B772" s="30"/>
      <c r="C772" s="30"/>
      <c r="D772" s="41"/>
      <c r="E772" s="41"/>
      <c r="F772" s="42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</row>
    <row r="773">
      <c r="A773" s="41"/>
      <c r="B773" s="30"/>
      <c r="C773" s="30"/>
      <c r="D773" s="41"/>
      <c r="E773" s="41"/>
      <c r="F773" s="42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</row>
    <row r="774">
      <c r="A774" s="41"/>
      <c r="B774" s="30"/>
      <c r="C774" s="30"/>
      <c r="D774" s="41"/>
      <c r="E774" s="41"/>
      <c r="F774" s="42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</row>
    <row r="775">
      <c r="A775" s="41"/>
      <c r="B775" s="30"/>
      <c r="C775" s="30"/>
      <c r="D775" s="41"/>
      <c r="E775" s="41"/>
      <c r="F775" s="42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</row>
    <row r="776">
      <c r="A776" s="41"/>
      <c r="B776" s="30"/>
      <c r="C776" s="30"/>
      <c r="D776" s="41"/>
      <c r="E776" s="41"/>
      <c r="F776" s="42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</row>
    <row r="777">
      <c r="A777" s="41"/>
      <c r="B777" s="30"/>
      <c r="C777" s="30"/>
      <c r="D777" s="41"/>
      <c r="E777" s="41"/>
      <c r="F777" s="42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</row>
    <row r="778">
      <c r="A778" s="41"/>
      <c r="B778" s="30"/>
      <c r="C778" s="30"/>
      <c r="D778" s="41"/>
      <c r="E778" s="41"/>
      <c r="F778" s="42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</row>
    <row r="779">
      <c r="A779" s="41"/>
      <c r="B779" s="30"/>
      <c r="C779" s="30"/>
      <c r="D779" s="41"/>
      <c r="E779" s="41"/>
      <c r="F779" s="42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</row>
    <row r="780">
      <c r="A780" s="41"/>
      <c r="B780" s="30"/>
      <c r="C780" s="30"/>
      <c r="D780" s="41"/>
      <c r="E780" s="41"/>
      <c r="F780" s="42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</row>
    <row r="781">
      <c r="A781" s="41"/>
      <c r="B781" s="30"/>
      <c r="C781" s="30"/>
      <c r="D781" s="41"/>
      <c r="E781" s="41"/>
      <c r="F781" s="42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</row>
    <row r="782">
      <c r="A782" s="41"/>
      <c r="B782" s="30"/>
      <c r="C782" s="30"/>
      <c r="D782" s="41"/>
      <c r="E782" s="41"/>
      <c r="F782" s="42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</row>
    <row r="783">
      <c r="A783" s="41"/>
      <c r="B783" s="30"/>
      <c r="C783" s="30"/>
      <c r="D783" s="41"/>
      <c r="E783" s="41"/>
      <c r="F783" s="42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</row>
    <row r="784">
      <c r="A784" s="41"/>
      <c r="B784" s="30"/>
      <c r="C784" s="30"/>
      <c r="D784" s="41"/>
      <c r="E784" s="41"/>
      <c r="F784" s="42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</row>
    <row r="785">
      <c r="A785" s="41"/>
      <c r="B785" s="30"/>
      <c r="C785" s="30"/>
      <c r="D785" s="41"/>
      <c r="E785" s="41"/>
      <c r="F785" s="42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</row>
    <row r="786">
      <c r="A786" s="41"/>
      <c r="B786" s="30"/>
      <c r="C786" s="30"/>
      <c r="D786" s="41"/>
      <c r="E786" s="41"/>
      <c r="F786" s="42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</row>
    <row r="787">
      <c r="A787" s="41"/>
      <c r="B787" s="30"/>
      <c r="C787" s="30"/>
      <c r="D787" s="41"/>
      <c r="E787" s="41"/>
      <c r="F787" s="42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</row>
    <row r="788">
      <c r="A788" s="41"/>
      <c r="B788" s="30"/>
      <c r="C788" s="30"/>
      <c r="D788" s="41"/>
      <c r="E788" s="41"/>
      <c r="F788" s="42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</row>
    <row r="789">
      <c r="A789" s="41"/>
      <c r="B789" s="30"/>
      <c r="C789" s="30"/>
      <c r="D789" s="41"/>
      <c r="E789" s="41"/>
      <c r="F789" s="42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</row>
    <row r="790">
      <c r="A790" s="41"/>
      <c r="B790" s="30"/>
      <c r="C790" s="30"/>
      <c r="D790" s="41"/>
      <c r="E790" s="41"/>
      <c r="F790" s="42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</row>
    <row r="791">
      <c r="A791" s="41"/>
      <c r="B791" s="30"/>
      <c r="C791" s="30"/>
      <c r="D791" s="41"/>
      <c r="E791" s="41"/>
      <c r="F791" s="42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</row>
    <row r="792">
      <c r="A792" s="41"/>
      <c r="B792" s="30"/>
      <c r="C792" s="30"/>
      <c r="D792" s="41"/>
      <c r="E792" s="41"/>
      <c r="F792" s="42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</row>
    <row r="793">
      <c r="A793" s="41"/>
      <c r="B793" s="30"/>
      <c r="C793" s="30"/>
      <c r="D793" s="41"/>
      <c r="E793" s="41"/>
      <c r="F793" s="42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</row>
    <row r="794">
      <c r="A794" s="41"/>
      <c r="B794" s="30"/>
      <c r="C794" s="30"/>
      <c r="D794" s="41"/>
      <c r="E794" s="41"/>
      <c r="F794" s="42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</row>
    <row r="795">
      <c r="A795" s="41"/>
      <c r="B795" s="30"/>
      <c r="C795" s="30"/>
      <c r="D795" s="41"/>
      <c r="E795" s="41"/>
      <c r="F795" s="42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</row>
    <row r="796">
      <c r="A796" s="41"/>
      <c r="B796" s="30"/>
      <c r="C796" s="30"/>
      <c r="D796" s="41"/>
      <c r="E796" s="41"/>
      <c r="F796" s="42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</row>
    <row r="797">
      <c r="A797" s="41"/>
      <c r="B797" s="30"/>
      <c r="C797" s="30"/>
      <c r="D797" s="41"/>
      <c r="E797" s="41"/>
      <c r="F797" s="42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</row>
    <row r="798">
      <c r="A798" s="41"/>
      <c r="B798" s="30"/>
      <c r="C798" s="30"/>
      <c r="D798" s="41"/>
      <c r="E798" s="41"/>
      <c r="F798" s="42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</row>
    <row r="799">
      <c r="A799" s="41"/>
      <c r="B799" s="30"/>
      <c r="C799" s="30"/>
      <c r="D799" s="41"/>
      <c r="E799" s="41"/>
      <c r="F799" s="42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</row>
    <row r="800">
      <c r="A800" s="41"/>
      <c r="B800" s="30"/>
      <c r="C800" s="30"/>
      <c r="D800" s="41"/>
      <c r="E800" s="41"/>
      <c r="F800" s="42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</row>
    <row r="801">
      <c r="A801" s="41"/>
      <c r="B801" s="30"/>
      <c r="C801" s="30"/>
      <c r="D801" s="41"/>
      <c r="E801" s="41"/>
      <c r="F801" s="42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</row>
    <row r="802">
      <c r="A802" s="41"/>
      <c r="B802" s="30"/>
      <c r="C802" s="30"/>
      <c r="D802" s="41"/>
      <c r="E802" s="41"/>
      <c r="F802" s="42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</row>
    <row r="803">
      <c r="A803" s="41"/>
      <c r="B803" s="30"/>
      <c r="C803" s="30"/>
      <c r="D803" s="41"/>
      <c r="E803" s="41"/>
      <c r="F803" s="42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</row>
    <row r="804">
      <c r="A804" s="41"/>
      <c r="B804" s="30"/>
      <c r="C804" s="30"/>
      <c r="D804" s="41"/>
      <c r="E804" s="41"/>
      <c r="F804" s="42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</row>
    <row r="805">
      <c r="A805" s="41"/>
      <c r="B805" s="30"/>
      <c r="C805" s="30"/>
      <c r="D805" s="41"/>
      <c r="E805" s="41"/>
      <c r="F805" s="42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</row>
    <row r="806">
      <c r="A806" s="41"/>
      <c r="B806" s="30"/>
      <c r="C806" s="30"/>
      <c r="D806" s="41"/>
      <c r="E806" s="41"/>
      <c r="F806" s="42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</row>
    <row r="807">
      <c r="A807" s="41"/>
      <c r="B807" s="30"/>
      <c r="C807" s="30"/>
      <c r="D807" s="41"/>
      <c r="E807" s="41"/>
      <c r="F807" s="42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</row>
    <row r="808">
      <c r="A808" s="41"/>
      <c r="B808" s="30"/>
      <c r="C808" s="30"/>
      <c r="D808" s="41"/>
      <c r="E808" s="41"/>
      <c r="F808" s="42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</row>
    <row r="809">
      <c r="A809" s="41"/>
      <c r="B809" s="30"/>
      <c r="C809" s="30"/>
      <c r="D809" s="41"/>
      <c r="E809" s="41"/>
      <c r="F809" s="42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</row>
    <row r="810">
      <c r="A810" s="41"/>
      <c r="B810" s="30"/>
      <c r="C810" s="30"/>
      <c r="D810" s="41"/>
      <c r="E810" s="41"/>
      <c r="F810" s="42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</row>
    <row r="811">
      <c r="A811" s="41"/>
      <c r="B811" s="30"/>
      <c r="C811" s="30"/>
      <c r="D811" s="41"/>
      <c r="E811" s="41"/>
      <c r="F811" s="42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</row>
    <row r="812">
      <c r="A812" s="41"/>
      <c r="B812" s="30"/>
      <c r="C812" s="30"/>
      <c r="D812" s="41"/>
      <c r="E812" s="41"/>
      <c r="F812" s="42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</row>
    <row r="813">
      <c r="A813" s="41"/>
      <c r="B813" s="30"/>
      <c r="C813" s="30"/>
      <c r="D813" s="41"/>
      <c r="E813" s="41"/>
      <c r="F813" s="42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</row>
    <row r="814">
      <c r="A814" s="41"/>
      <c r="B814" s="30"/>
      <c r="C814" s="30"/>
      <c r="D814" s="41"/>
      <c r="E814" s="41"/>
      <c r="F814" s="42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</row>
    <row r="815">
      <c r="A815" s="41"/>
      <c r="B815" s="30"/>
      <c r="C815" s="30"/>
      <c r="D815" s="41"/>
      <c r="E815" s="41"/>
      <c r="F815" s="42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</row>
    <row r="816">
      <c r="A816" s="41"/>
      <c r="B816" s="30"/>
      <c r="C816" s="30"/>
      <c r="D816" s="41"/>
      <c r="E816" s="41"/>
      <c r="F816" s="42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</row>
    <row r="817">
      <c r="A817" s="41"/>
      <c r="B817" s="30"/>
      <c r="C817" s="30"/>
      <c r="D817" s="41"/>
      <c r="E817" s="41"/>
      <c r="F817" s="42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</row>
    <row r="818">
      <c r="A818" s="41"/>
      <c r="B818" s="30"/>
      <c r="C818" s="30"/>
      <c r="D818" s="41"/>
      <c r="E818" s="41"/>
      <c r="F818" s="42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</row>
    <row r="819">
      <c r="A819" s="41"/>
      <c r="B819" s="30"/>
      <c r="C819" s="30"/>
      <c r="D819" s="41"/>
      <c r="E819" s="41"/>
      <c r="F819" s="42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</row>
    <row r="820">
      <c r="A820" s="41"/>
      <c r="B820" s="30"/>
      <c r="C820" s="30"/>
      <c r="D820" s="41"/>
      <c r="E820" s="41"/>
      <c r="F820" s="42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</row>
    <row r="821">
      <c r="A821" s="41"/>
      <c r="B821" s="30"/>
      <c r="C821" s="30"/>
      <c r="D821" s="41"/>
      <c r="E821" s="41"/>
      <c r="F821" s="42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</row>
    <row r="822">
      <c r="A822" s="41"/>
      <c r="B822" s="30"/>
      <c r="C822" s="30"/>
      <c r="D822" s="41"/>
      <c r="E822" s="41"/>
      <c r="F822" s="42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</row>
    <row r="823">
      <c r="A823" s="41"/>
      <c r="B823" s="30"/>
      <c r="C823" s="30"/>
      <c r="D823" s="41"/>
      <c r="E823" s="41"/>
      <c r="F823" s="42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</row>
    <row r="824">
      <c r="A824" s="41"/>
      <c r="B824" s="30"/>
      <c r="C824" s="30"/>
      <c r="D824" s="41"/>
      <c r="E824" s="41"/>
      <c r="F824" s="42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</row>
    <row r="825">
      <c r="A825" s="41"/>
      <c r="B825" s="30"/>
      <c r="C825" s="30"/>
      <c r="D825" s="41"/>
      <c r="E825" s="41"/>
      <c r="F825" s="42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</row>
    <row r="826">
      <c r="A826" s="41"/>
      <c r="B826" s="30"/>
      <c r="C826" s="30"/>
      <c r="D826" s="41"/>
      <c r="E826" s="41"/>
      <c r="F826" s="42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</row>
    <row r="827">
      <c r="A827" s="41"/>
      <c r="B827" s="30"/>
      <c r="C827" s="30"/>
      <c r="D827" s="41"/>
      <c r="E827" s="41"/>
      <c r="F827" s="42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</row>
    <row r="828">
      <c r="A828" s="41"/>
      <c r="B828" s="30"/>
      <c r="C828" s="30"/>
      <c r="D828" s="41"/>
      <c r="E828" s="41"/>
      <c r="F828" s="42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</row>
    <row r="829">
      <c r="A829" s="41"/>
      <c r="B829" s="30"/>
      <c r="C829" s="30"/>
      <c r="D829" s="41"/>
      <c r="E829" s="41"/>
      <c r="F829" s="42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</row>
    <row r="830">
      <c r="A830" s="41"/>
      <c r="B830" s="30"/>
      <c r="C830" s="30"/>
      <c r="D830" s="41"/>
      <c r="E830" s="41"/>
      <c r="F830" s="42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</row>
    <row r="831">
      <c r="A831" s="41"/>
      <c r="B831" s="30"/>
      <c r="C831" s="30"/>
      <c r="D831" s="41"/>
      <c r="E831" s="41"/>
      <c r="F831" s="42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</row>
    <row r="832">
      <c r="A832" s="41"/>
      <c r="B832" s="30"/>
      <c r="C832" s="30"/>
      <c r="D832" s="41"/>
      <c r="E832" s="41"/>
      <c r="F832" s="42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</row>
    <row r="833">
      <c r="A833" s="41"/>
      <c r="B833" s="30"/>
      <c r="C833" s="30"/>
      <c r="D833" s="41"/>
      <c r="E833" s="41"/>
      <c r="F833" s="42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</row>
    <row r="834">
      <c r="A834" s="41"/>
      <c r="B834" s="30"/>
      <c r="C834" s="30"/>
      <c r="D834" s="41"/>
      <c r="E834" s="41"/>
      <c r="F834" s="42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</row>
    <row r="835">
      <c r="A835" s="41"/>
      <c r="B835" s="30"/>
      <c r="C835" s="30"/>
      <c r="D835" s="41"/>
      <c r="E835" s="41"/>
      <c r="F835" s="42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</row>
    <row r="836">
      <c r="A836" s="41"/>
      <c r="B836" s="30"/>
      <c r="C836" s="30"/>
      <c r="D836" s="41"/>
      <c r="E836" s="41"/>
      <c r="F836" s="42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</row>
    <row r="837">
      <c r="A837" s="41"/>
      <c r="B837" s="30"/>
      <c r="C837" s="30"/>
      <c r="D837" s="41"/>
      <c r="E837" s="41"/>
      <c r="F837" s="42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</row>
    <row r="838">
      <c r="A838" s="41"/>
      <c r="B838" s="30"/>
      <c r="C838" s="30"/>
      <c r="D838" s="41"/>
      <c r="E838" s="41"/>
      <c r="F838" s="42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</row>
    <row r="839">
      <c r="A839" s="41"/>
      <c r="B839" s="30"/>
      <c r="C839" s="30"/>
      <c r="D839" s="41"/>
      <c r="E839" s="41"/>
      <c r="F839" s="42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</row>
    <row r="840">
      <c r="A840" s="41"/>
      <c r="B840" s="30"/>
      <c r="C840" s="30"/>
      <c r="D840" s="41"/>
      <c r="E840" s="41"/>
      <c r="F840" s="42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</row>
    <row r="841">
      <c r="A841" s="41"/>
      <c r="B841" s="30"/>
      <c r="C841" s="30"/>
      <c r="D841" s="41"/>
      <c r="E841" s="41"/>
      <c r="F841" s="42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</row>
    <row r="842">
      <c r="A842" s="41"/>
      <c r="B842" s="30"/>
      <c r="C842" s="30"/>
      <c r="D842" s="41"/>
      <c r="E842" s="41"/>
      <c r="F842" s="42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</row>
    <row r="843">
      <c r="A843" s="41"/>
      <c r="B843" s="30"/>
      <c r="C843" s="30"/>
      <c r="D843" s="41"/>
      <c r="E843" s="41"/>
      <c r="F843" s="42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</row>
    <row r="844">
      <c r="A844" s="41"/>
      <c r="B844" s="30"/>
      <c r="C844" s="30"/>
      <c r="D844" s="41"/>
      <c r="E844" s="41"/>
      <c r="F844" s="42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</row>
    <row r="845">
      <c r="A845" s="41"/>
      <c r="B845" s="30"/>
      <c r="C845" s="30"/>
      <c r="D845" s="41"/>
      <c r="E845" s="41"/>
      <c r="F845" s="42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</row>
    <row r="846">
      <c r="A846" s="41"/>
      <c r="B846" s="30"/>
      <c r="C846" s="30"/>
      <c r="D846" s="41"/>
      <c r="E846" s="41"/>
      <c r="F846" s="42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</row>
    <row r="847">
      <c r="A847" s="41"/>
      <c r="B847" s="30"/>
      <c r="C847" s="30"/>
      <c r="D847" s="41"/>
      <c r="E847" s="41"/>
      <c r="F847" s="42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</row>
    <row r="848">
      <c r="A848" s="41"/>
      <c r="B848" s="30"/>
      <c r="C848" s="30"/>
      <c r="D848" s="41"/>
      <c r="E848" s="41"/>
      <c r="F848" s="42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</row>
    <row r="849">
      <c r="A849" s="41"/>
      <c r="B849" s="30"/>
      <c r="C849" s="30"/>
      <c r="D849" s="41"/>
      <c r="E849" s="41"/>
      <c r="F849" s="42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</row>
    <row r="850">
      <c r="A850" s="41"/>
      <c r="B850" s="30"/>
      <c r="C850" s="30"/>
      <c r="D850" s="41"/>
      <c r="E850" s="41"/>
      <c r="F850" s="42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</row>
    <row r="851">
      <c r="A851" s="41"/>
      <c r="B851" s="30"/>
      <c r="C851" s="30"/>
      <c r="D851" s="41"/>
      <c r="E851" s="41"/>
      <c r="F851" s="42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</row>
    <row r="852">
      <c r="A852" s="41"/>
      <c r="B852" s="30"/>
      <c r="C852" s="30"/>
      <c r="D852" s="41"/>
      <c r="E852" s="41"/>
      <c r="F852" s="42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</row>
    <row r="853">
      <c r="A853" s="41"/>
      <c r="B853" s="30"/>
      <c r="C853" s="30"/>
      <c r="D853" s="41"/>
      <c r="E853" s="41"/>
      <c r="F853" s="42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</row>
    <row r="854">
      <c r="A854" s="41"/>
      <c r="B854" s="30"/>
      <c r="C854" s="30"/>
      <c r="D854" s="41"/>
      <c r="E854" s="41"/>
      <c r="F854" s="42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</row>
    <row r="855">
      <c r="A855" s="41"/>
      <c r="B855" s="30"/>
      <c r="C855" s="30"/>
      <c r="D855" s="41"/>
      <c r="E855" s="41"/>
      <c r="F855" s="42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</row>
    <row r="856">
      <c r="A856" s="41"/>
      <c r="B856" s="30"/>
      <c r="C856" s="30"/>
      <c r="D856" s="41"/>
      <c r="E856" s="41"/>
      <c r="F856" s="42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</row>
    <row r="857">
      <c r="A857" s="41"/>
      <c r="B857" s="30"/>
      <c r="C857" s="30"/>
      <c r="D857" s="41"/>
      <c r="E857" s="41"/>
      <c r="F857" s="42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</row>
    <row r="858">
      <c r="A858" s="41"/>
      <c r="B858" s="30"/>
      <c r="C858" s="30"/>
      <c r="D858" s="41"/>
      <c r="E858" s="41"/>
      <c r="F858" s="42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</row>
    <row r="859">
      <c r="A859" s="41"/>
      <c r="B859" s="30"/>
      <c r="C859" s="30"/>
      <c r="D859" s="41"/>
      <c r="E859" s="41"/>
      <c r="F859" s="42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</row>
    <row r="860">
      <c r="A860" s="41"/>
      <c r="B860" s="30"/>
      <c r="C860" s="30"/>
      <c r="D860" s="41"/>
      <c r="E860" s="41"/>
      <c r="F860" s="42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</row>
    <row r="861">
      <c r="A861" s="41"/>
      <c r="B861" s="30"/>
      <c r="C861" s="30"/>
      <c r="D861" s="41"/>
      <c r="E861" s="41"/>
      <c r="F861" s="42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</row>
    <row r="862">
      <c r="A862" s="41"/>
      <c r="B862" s="30"/>
      <c r="C862" s="30"/>
      <c r="D862" s="41"/>
      <c r="E862" s="41"/>
      <c r="F862" s="42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</row>
    <row r="863">
      <c r="A863" s="41"/>
      <c r="B863" s="30"/>
      <c r="C863" s="30"/>
      <c r="D863" s="41"/>
      <c r="E863" s="41"/>
      <c r="F863" s="42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</row>
    <row r="864">
      <c r="A864" s="41"/>
      <c r="B864" s="30"/>
      <c r="C864" s="30"/>
      <c r="D864" s="41"/>
      <c r="E864" s="41"/>
      <c r="F864" s="42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</row>
    <row r="865">
      <c r="A865" s="41"/>
      <c r="B865" s="30"/>
      <c r="C865" s="30"/>
      <c r="D865" s="41"/>
      <c r="E865" s="41"/>
      <c r="F865" s="42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</row>
    <row r="866">
      <c r="A866" s="41"/>
      <c r="B866" s="30"/>
      <c r="C866" s="30"/>
      <c r="D866" s="41"/>
      <c r="E866" s="41"/>
      <c r="F866" s="42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</row>
    <row r="867">
      <c r="A867" s="41"/>
      <c r="B867" s="30"/>
      <c r="C867" s="30"/>
      <c r="D867" s="41"/>
      <c r="E867" s="41"/>
      <c r="F867" s="42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</row>
    <row r="868">
      <c r="A868" s="41"/>
      <c r="B868" s="30"/>
      <c r="C868" s="30"/>
      <c r="D868" s="41"/>
      <c r="E868" s="41"/>
      <c r="F868" s="42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</row>
    <row r="869">
      <c r="A869" s="41"/>
      <c r="B869" s="30"/>
      <c r="C869" s="30"/>
      <c r="D869" s="41"/>
      <c r="E869" s="41"/>
      <c r="F869" s="42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</row>
    <row r="870">
      <c r="A870" s="41"/>
      <c r="B870" s="30"/>
      <c r="C870" s="30"/>
      <c r="D870" s="41"/>
      <c r="E870" s="41"/>
      <c r="F870" s="42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</row>
    <row r="871">
      <c r="A871" s="41"/>
      <c r="B871" s="30"/>
      <c r="C871" s="30"/>
      <c r="D871" s="41"/>
      <c r="E871" s="41"/>
      <c r="F871" s="42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</row>
    <row r="872">
      <c r="A872" s="41"/>
      <c r="B872" s="30"/>
      <c r="C872" s="30"/>
      <c r="D872" s="41"/>
      <c r="E872" s="41"/>
      <c r="F872" s="42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</row>
    <row r="873">
      <c r="A873" s="41"/>
      <c r="B873" s="30"/>
      <c r="C873" s="30"/>
      <c r="D873" s="41"/>
      <c r="E873" s="41"/>
      <c r="F873" s="42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</row>
    <row r="874">
      <c r="A874" s="41"/>
      <c r="B874" s="30"/>
      <c r="C874" s="30"/>
      <c r="D874" s="41"/>
      <c r="E874" s="41"/>
      <c r="F874" s="42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</row>
    <row r="875">
      <c r="A875" s="41"/>
      <c r="B875" s="30"/>
      <c r="C875" s="30"/>
      <c r="D875" s="41"/>
      <c r="E875" s="41"/>
      <c r="F875" s="42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</row>
    <row r="876">
      <c r="A876" s="41"/>
      <c r="B876" s="30"/>
      <c r="C876" s="30"/>
      <c r="D876" s="41"/>
      <c r="E876" s="41"/>
      <c r="F876" s="42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</row>
    <row r="877">
      <c r="A877" s="41"/>
      <c r="B877" s="30"/>
      <c r="C877" s="30"/>
      <c r="D877" s="41"/>
      <c r="E877" s="41"/>
      <c r="F877" s="42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</row>
    <row r="878">
      <c r="A878" s="41"/>
      <c r="B878" s="30"/>
      <c r="C878" s="30"/>
      <c r="D878" s="41"/>
      <c r="E878" s="41"/>
      <c r="F878" s="42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</row>
    <row r="879">
      <c r="A879" s="41"/>
      <c r="B879" s="30"/>
      <c r="C879" s="30"/>
      <c r="D879" s="41"/>
      <c r="E879" s="41"/>
      <c r="F879" s="42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</row>
    <row r="880">
      <c r="A880" s="41"/>
      <c r="B880" s="30"/>
      <c r="C880" s="30"/>
      <c r="D880" s="41"/>
      <c r="E880" s="41"/>
      <c r="F880" s="42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</row>
    <row r="881">
      <c r="A881" s="41"/>
      <c r="B881" s="30"/>
      <c r="C881" s="30"/>
      <c r="D881" s="41"/>
      <c r="E881" s="41"/>
      <c r="F881" s="42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</row>
    <row r="882">
      <c r="A882" s="41"/>
      <c r="B882" s="30"/>
      <c r="C882" s="30"/>
      <c r="D882" s="41"/>
      <c r="E882" s="41"/>
      <c r="F882" s="42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</row>
    <row r="883">
      <c r="A883" s="41"/>
      <c r="B883" s="30"/>
      <c r="C883" s="30"/>
      <c r="D883" s="41"/>
      <c r="E883" s="41"/>
      <c r="F883" s="42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</row>
    <row r="884">
      <c r="A884" s="41"/>
      <c r="B884" s="30"/>
      <c r="C884" s="30"/>
      <c r="D884" s="41"/>
      <c r="E884" s="41"/>
      <c r="F884" s="42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</row>
    <row r="885">
      <c r="A885" s="41"/>
      <c r="B885" s="30"/>
      <c r="C885" s="30"/>
      <c r="D885" s="41"/>
      <c r="E885" s="41"/>
      <c r="F885" s="42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</row>
    <row r="886">
      <c r="A886" s="41"/>
      <c r="B886" s="30"/>
      <c r="C886" s="30"/>
      <c r="D886" s="41"/>
      <c r="E886" s="41"/>
      <c r="F886" s="42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</row>
    <row r="887">
      <c r="A887" s="41"/>
      <c r="B887" s="30"/>
      <c r="C887" s="30"/>
      <c r="D887" s="41"/>
      <c r="E887" s="41"/>
      <c r="F887" s="42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</row>
    <row r="888">
      <c r="A888" s="41"/>
      <c r="B888" s="30"/>
      <c r="C888" s="30"/>
      <c r="D888" s="41"/>
      <c r="E888" s="41"/>
      <c r="F888" s="42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</row>
    <row r="889">
      <c r="A889" s="41"/>
      <c r="B889" s="30"/>
      <c r="C889" s="30"/>
      <c r="D889" s="41"/>
      <c r="E889" s="41"/>
      <c r="F889" s="42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</row>
    <row r="890">
      <c r="A890" s="41"/>
      <c r="B890" s="30"/>
      <c r="C890" s="30"/>
      <c r="D890" s="41"/>
      <c r="E890" s="41"/>
      <c r="F890" s="42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</row>
    <row r="891">
      <c r="A891" s="41"/>
      <c r="B891" s="30"/>
      <c r="C891" s="30"/>
      <c r="D891" s="41"/>
      <c r="E891" s="41"/>
      <c r="F891" s="42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</row>
    <row r="892">
      <c r="A892" s="41"/>
      <c r="B892" s="30"/>
      <c r="C892" s="30"/>
      <c r="D892" s="41"/>
      <c r="E892" s="41"/>
      <c r="F892" s="42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</row>
    <row r="893">
      <c r="A893" s="41"/>
      <c r="B893" s="30"/>
      <c r="C893" s="30"/>
      <c r="D893" s="41"/>
      <c r="E893" s="41"/>
      <c r="F893" s="42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</row>
    <row r="894">
      <c r="A894" s="41"/>
      <c r="B894" s="30"/>
      <c r="C894" s="30"/>
      <c r="D894" s="41"/>
      <c r="E894" s="41"/>
      <c r="F894" s="42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</row>
    <row r="895">
      <c r="A895" s="41"/>
      <c r="B895" s="30"/>
      <c r="C895" s="30"/>
      <c r="D895" s="41"/>
      <c r="E895" s="41"/>
      <c r="F895" s="42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</row>
    <row r="896">
      <c r="A896" s="41"/>
      <c r="B896" s="30"/>
      <c r="C896" s="30"/>
      <c r="D896" s="41"/>
      <c r="E896" s="41"/>
      <c r="F896" s="42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</row>
    <row r="897">
      <c r="A897" s="41"/>
      <c r="B897" s="30"/>
      <c r="C897" s="30"/>
      <c r="D897" s="41"/>
      <c r="E897" s="41"/>
      <c r="F897" s="42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</row>
    <row r="898">
      <c r="A898" s="41"/>
      <c r="B898" s="30"/>
      <c r="C898" s="30"/>
      <c r="D898" s="41"/>
      <c r="E898" s="41"/>
      <c r="F898" s="42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</row>
    <row r="899">
      <c r="A899" s="41"/>
      <c r="B899" s="30"/>
      <c r="C899" s="30"/>
      <c r="D899" s="41"/>
      <c r="E899" s="41"/>
      <c r="F899" s="42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</row>
    <row r="900">
      <c r="A900" s="41"/>
      <c r="B900" s="30"/>
      <c r="C900" s="30"/>
      <c r="D900" s="41"/>
      <c r="E900" s="41"/>
      <c r="F900" s="42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</row>
    <row r="901">
      <c r="A901" s="41"/>
      <c r="B901" s="30"/>
      <c r="C901" s="30"/>
      <c r="D901" s="41"/>
      <c r="E901" s="41"/>
      <c r="F901" s="42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</row>
    <row r="902">
      <c r="A902" s="41"/>
      <c r="B902" s="30"/>
      <c r="C902" s="30"/>
      <c r="D902" s="41"/>
      <c r="E902" s="41"/>
      <c r="F902" s="42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</row>
    <row r="903">
      <c r="A903" s="41"/>
      <c r="B903" s="30"/>
      <c r="C903" s="30"/>
      <c r="D903" s="41"/>
      <c r="E903" s="41"/>
      <c r="F903" s="42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</row>
    <row r="904">
      <c r="A904" s="41"/>
      <c r="B904" s="30"/>
      <c r="C904" s="30"/>
      <c r="D904" s="41"/>
      <c r="E904" s="41"/>
      <c r="F904" s="42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</row>
    <row r="905">
      <c r="A905" s="41"/>
      <c r="B905" s="30"/>
      <c r="C905" s="30"/>
      <c r="D905" s="41"/>
      <c r="E905" s="41"/>
      <c r="F905" s="42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</row>
    <row r="906">
      <c r="A906" s="41"/>
      <c r="B906" s="30"/>
      <c r="C906" s="30"/>
      <c r="D906" s="41"/>
      <c r="E906" s="41"/>
      <c r="F906" s="42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</row>
    <row r="907">
      <c r="A907" s="41"/>
      <c r="B907" s="30"/>
      <c r="C907" s="30"/>
      <c r="D907" s="41"/>
      <c r="E907" s="41"/>
      <c r="F907" s="42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</row>
    <row r="908">
      <c r="A908" s="41"/>
      <c r="B908" s="30"/>
      <c r="C908" s="30"/>
      <c r="D908" s="41"/>
      <c r="E908" s="41"/>
      <c r="F908" s="42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</row>
    <row r="909">
      <c r="A909" s="41"/>
      <c r="B909" s="30"/>
      <c r="C909" s="30"/>
      <c r="D909" s="41"/>
      <c r="E909" s="41"/>
      <c r="F909" s="42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</row>
    <row r="910">
      <c r="A910" s="41"/>
      <c r="B910" s="30"/>
      <c r="C910" s="30"/>
      <c r="D910" s="41"/>
      <c r="E910" s="41"/>
      <c r="F910" s="42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</row>
    <row r="911">
      <c r="A911" s="41"/>
      <c r="B911" s="30"/>
      <c r="C911" s="30"/>
      <c r="D911" s="41"/>
      <c r="E911" s="41"/>
      <c r="F911" s="42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</row>
    <row r="912">
      <c r="A912" s="41"/>
      <c r="B912" s="30"/>
      <c r="C912" s="30"/>
      <c r="D912" s="41"/>
      <c r="E912" s="41"/>
      <c r="F912" s="42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</row>
    <row r="913">
      <c r="A913" s="41"/>
      <c r="B913" s="30"/>
      <c r="C913" s="30"/>
      <c r="D913" s="41"/>
      <c r="E913" s="41"/>
      <c r="F913" s="42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</row>
    <row r="914">
      <c r="A914" s="41"/>
      <c r="B914" s="30"/>
      <c r="C914" s="30"/>
      <c r="D914" s="41"/>
      <c r="E914" s="41"/>
      <c r="F914" s="42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</row>
    <row r="915">
      <c r="A915" s="41"/>
      <c r="B915" s="30"/>
      <c r="C915" s="30"/>
      <c r="D915" s="41"/>
      <c r="E915" s="41"/>
      <c r="F915" s="42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</row>
    <row r="916">
      <c r="A916" s="41"/>
      <c r="B916" s="30"/>
      <c r="C916" s="30"/>
      <c r="D916" s="41"/>
      <c r="E916" s="41"/>
      <c r="F916" s="42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</row>
    <row r="917">
      <c r="A917" s="41"/>
      <c r="B917" s="30"/>
      <c r="C917" s="30"/>
      <c r="D917" s="41"/>
      <c r="E917" s="41"/>
      <c r="F917" s="42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</row>
    <row r="918">
      <c r="A918" s="41"/>
      <c r="B918" s="30"/>
      <c r="C918" s="30"/>
      <c r="D918" s="41"/>
      <c r="E918" s="41"/>
      <c r="F918" s="42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</row>
    <row r="919">
      <c r="A919" s="41"/>
      <c r="B919" s="30"/>
      <c r="C919" s="30"/>
      <c r="D919" s="41"/>
      <c r="E919" s="41"/>
      <c r="F919" s="42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</row>
    <row r="920">
      <c r="A920" s="41"/>
      <c r="B920" s="30"/>
      <c r="C920" s="30"/>
      <c r="D920" s="41"/>
      <c r="E920" s="41"/>
      <c r="F920" s="42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</row>
    <row r="921">
      <c r="A921" s="41"/>
      <c r="B921" s="30"/>
      <c r="C921" s="30"/>
      <c r="D921" s="41"/>
      <c r="E921" s="41"/>
      <c r="F921" s="42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</row>
    <row r="922">
      <c r="A922" s="41"/>
      <c r="B922" s="30"/>
      <c r="C922" s="30"/>
      <c r="D922" s="41"/>
      <c r="E922" s="41"/>
      <c r="F922" s="42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</row>
    <row r="923">
      <c r="A923" s="41"/>
      <c r="B923" s="30"/>
      <c r="C923" s="30"/>
      <c r="D923" s="41"/>
      <c r="E923" s="41"/>
      <c r="F923" s="42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</row>
    <row r="924">
      <c r="A924" s="41"/>
      <c r="B924" s="30"/>
      <c r="C924" s="30"/>
      <c r="D924" s="41"/>
      <c r="E924" s="41"/>
      <c r="F924" s="42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</row>
    <row r="925">
      <c r="A925" s="41"/>
      <c r="B925" s="30"/>
      <c r="C925" s="30"/>
      <c r="D925" s="41"/>
      <c r="E925" s="41"/>
      <c r="F925" s="42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</row>
    <row r="926">
      <c r="A926" s="41"/>
      <c r="B926" s="30"/>
      <c r="C926" s="30"/>
      <c r="D926" s="41"/>
      <c r="E926" s="41"/>
      <c r="F926" s="42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</row>
    <row r="927">
      <c r="A927" s="41"/>
      <c r="B927" s="30"/>
      <c r="C927" s="30"/>
      <c r="D927" s="41"/>
      <c r="E927" s="41"/>
      <c r="F927" s="42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</row>
    <row r="928">
      <c r="A928" s="41"/>
      <c r="B928" s="30"/>
      <c r="C928" s="30"/>
      <c r="D928" s="41"/>
      <c r="E928" s="41"/>
      <c r="F928" s="42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</row>
    <row r="929">
      <c r="A929" s="41"/>
      <c r="B929" s="30"/>
      <c r="C929" s="30"/>
      <c r="D929" s="41"/>
      <c r="E929" s="41"/>
      <c r="F929" s="42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</row>
    <row r="930">
      <c r="A930" s="41"/>
      <c r="B930" s="30"/>
      <c r="C930" s="30"/>
      <c r="D930" s="41"/>
      <c r="E930" s="41"/>
      <c r="F930" s="42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</row>
    <row r="931">
      <c r="A931" s="41"/>
      <c r="B931" s="30"/>
      <c r="C931" s="30"/>
      <c r="D931" s="41"/>
      <c r="E931" s="41"/>
      <c r="F931" s="42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</row>
    <row r="932">
      <c r="A932" s="41"/>
      <c r="B932" s="30"/>
      <c r="C932" s="30"/>
      <c r="D932" s="41"/>
      <c r="E932" s="41"/>
      <c r="F932" s="42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</row>
    <row r="933">
      <c r="A933" s="41"/>
      <c r="B933" s="30"/>
      <c r="C933" s="30"/>
      <c r="D933" s="41"/>
      <c r="E933" s="41"/>
      <c r="F933" s="42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</row>
    <row r="934">
      <c r="A934" s="41"/>
      <c r="B934" s="30"/>
      <c r="C934" s="30"/>
      <c r="D934" s="41"/>
      <c r="E934" s="41"/>
      <c r="F934" s="42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</row>
    <row r="935">
      <c r="A935" s="41"/>
      <c r="B935" s="30"/>
      <c r="C935" s="30"/>
      <c r="D935" s="41"/>
      <c r="E935" s="41"/>
      <c r="F935" s="42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</row>
    <row r="936">
      <c r="A936" s="41"/>
      <c r="B936" s="30"/>
      <c r="C936" s="30"/>
      <c r="D936" s="41"/>
      <c r="E936" s="41"/>
      <c r="F936" s="42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</row>
    <row r="937">
      <c r="A937" s="41"/>
      <c r="B937" s="30"/>
      <c r="C937" s="30"/>
      <c r="D937" s="41"/>
      <c r="E937" s="41"/>
      <c r="F937" s="42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</row>
    <row r="938">
      <c r="A938" s="41"/>
      <c r="B938" s="30"/>
      <c r="C938" s="30"/>
      <c r="D938" s="41"/>
      <c r="E938" s="41"/>
      <c r="F938" s="42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</row>
    <row r="939">
      <c r="A939" s="41"/>
      <c r="B939" s="30"/>
      <c r="C939" s="30"/>
      <c r="D939" s="41"/>
      <c r="E939" s="41"/>
      <c r="F939" s="42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</row>
    <row r="940">
      <c r="A940" s="41"/>
      <c r="B940" s="30"/>
      <c r="C940" s="30"/>
      <c r="D940" s="41"/>
      <c r="E940" s="41"/>
      <c r="F940" s="42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</row>
    <row r="941">
      <c r="A941" s="41"/>
      <c r="B941" s="30"/>
      <c r="C941" s="30"/>
      <c r="D941" s="41"/>
      <c r="E941" s="41"/>
      <c r="F941" s="42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</row>
    <row r="942">
      <c r="A942" s="41"/>
      <c r="B942" s="30"/>
      <c r="C942" s="30"/>
      <c r="D942" s="41"/>
      <c r="E942" s="41"/>
      <c r="F942" s="42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</row>
    <row r="943">
      <c r="A943" s="41"/>
      <c r="B943" s="30"/>
      <c r="C943" s="30"/>
      <c r="D943" s="41"/>
      <c r="E943" s="41"/>
      <c r="F943" s="42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</row>
    <row r="944">
      <c r="A944" s="41"/>
      <c r="B944" s="30"/>
      <c r="C944" s="30"/>
      <c r="D944" s="41"/>
      <c r="E944" s="41"/>
      <c r="F944" s="42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</row>
    <row r="945">
      <c r="A945" s="41"/>
      <c r="B945" s="30"/>
      <c r="C945" s="30"/>
      <c r="D945" s="41"/>
      <c r="E945" s="41"/>
      <c r="F945" s="42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</row>
    <row r="946">
      <c r="A946" s="41"/>
      <c r="B946" s="30"/>
      <c r="C946" s="30"/>
      <c r="D946" s="41"/>
      <c r="E946" s="41"/>
      <c r="F946" s="42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</row>
    <row r="947">
      <c r="A947" s="41"/>
      <c r="B947" s="30"/>
      <c r="C947" s="30"/>
      <c r="D947" s="41"/>
      <c r="E947" s="41"/>
      <c r="F947" s="42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</row>
    <row r="948">
      <c r="A948" s="41"/>
      <c r="B948" s="30"/>
      <c r="C948" s="30"/>
      <c r="D948" s="41"/>
      <c r="E948" s="41"/>
      <c r="F948" s="42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</row>
    <row r="949">
      <c r="A949" s="41"/>
      <c r="B949" s="30"/>
      <c r="C949" s="30"/>
      <c r="D949" s="41"/>
      <c r="E949" s="41"/>
      <c r="F949" s="42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</row>
    <row r="950">
      <c r="A950" s="41"/>
      <c r="B950" s="30"/>
      <c r="C950" s="30"/>
      <c r="D950" s="41"/>
      <c r="E950" s="41"/>
      <c r="F950" s="42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</row>
    <row r="951">
      <c r="A951" s="41"/>
      <c r="B951" s="30"/>
      <c r="C951" s="30"/>
      <c r="D951" s="41"/>
      <c r="E951" s="41"/>
      <c r="F951" s="42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</row>
    <row r="952">
      <c r="A952" s="41"/>
      <c r="B952" s="30"/>
      <c r="C952" s="30"/>
      <c r="D952" s="41"/>
      <c r="E952" s="41"/>
      <c r="F952" s="42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</row>
    <row r="953">
      <c r="A953" s="41"/>
      <c r="B953" s="30"/>
      <c r="C953" s="30"/>
      <c r="D953" s="41"/>
      <c r="E953" s="41"/>
      <c r="F953" s="42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</row>
    <row r="954">
      <c r="A954" s="41"/>
      <c r="B954" s="30"/>
      <c r="C954" s="30"/>
      <c r="D954" s="41"/>
      <c r="E954" s="41"/>
      <c r="F954" s="42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</row>
    <row r="955">
      <c r="A955" s="41"/>
      <c r="B955" s="30"/>
      <c r="C955" s="30"/>
      <c r="D955" s="41"/>
      <c r="E955" s="41"/>
      <c r="F955" s="42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</row>
    <row r="956">
      <c r="A956" s="41"/>
      <c r="B956" s="30"/>
      <c r="C956" s="30"/>
      <c r="D956" s="41"/>
      <c r="E956" s="41"/>
      <c r="F956" s="42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</row>
    <row r="957">
      <c r="A957" s="41"/>
      <c r="B957" s="30"/>
      <c r="C957" s="30"/>
      <c r="D957" s="41"/>
      <c r="E957" s="41"/>
      <c r="F957" s="42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</row>
    <row r="958">
      <c r="A958" s="41"/>
      <c r="B958" s="30"/>
      <c r="C958" s="30"/>
      <c r="D958" s="41"/>
      <c r="E958" s="41"/>
      <c r="F958" s="42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</row>
    <row r="959">
      <c r="A959" s="41"/>
      <c r="B959" s="30"/>
      <c r="C959" s="30"/>
      <c r="D959" s="41"/>
      <c r="E959" s="41"/>
      <c r="F959" s="42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</row>
    <row r="960">
      <c r="A960" s="41"/>
      <c r="B960" s="30"/>
      <c r="C960" s="30"/>
      <c r="D960" s="41"/>
      <c r="E960" s="41"/>
      <c r="F960" s="42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</row>
    <row r="961">
      <c r="A961" s="41"/>
      <c r="B961" s="30"/>
      <c r="C961" s="30"/>
      <c r="D961" s="41"/>
      <c r="E961" s="41"/>
      <c r="F961" s="42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</row>
    <row r="962">
      <c r="A962" s="41"/>
      <c r="B962" s="30"/>
      <c r="C962" s="30"/>
      <c r="D962" s="41"/>
      <c r="E962" s="41"/>
      <c r="F962" s="42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</row>
    <row r="963">
      <c r="A963" s="41"/>
      <c r="B963" s="30"/>
      <c r="C963" s="30"/>
      <c r="D963" s="41"/>
      <c r="E963" s="41"/>
      <c r="F963" s="42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</row>
    <row r="964">
      <c r="A964" s="41"/>
      <c r="B964" s="30"/>
      <c r="C964" s="30"/>
      <c r="D964" s="41"/>
      <c r="E964" s="41"/>
      <c r="F964" s="42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</row>
    <row r="965">
      <c r="A965" s="41"/>
      <c r="B965" s="30"/>
      <c r="C965" s="30"/>
      <c r="D965" s="41"/>
      <c r="E965" s="41"/>
      <c r="F965" s="42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</row>
    <row r="966">
      <c r="A966" s="41"/>
      <c r="B966" s="30"/>
      <c r="C966" s="30"/>
      <c r="D966" s="41"/>
      <c r="E966" s="41"/>
      <c r="F966" s="42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</row>
    <row r="967">
      <c r="A967" s="41"/>
      <c r="B967" s="30"/>
      <c r="C967" s="30"/>
      <c r="D967" s="41"/>
      <c r="E967" s="41"/>
      <c r="F967" s="42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</row>
    <row r="968">
      <c r="A968" s="41"/>
      <c r="B968" s="30"/>
      <c r="C968" s="30"/>
      <c r="D968" s="41"/>
      <c r="E968" s="41"/>
      <c r="F968" s="42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</row>
    <row r="969">
      <c r="A969" s="41"/>
      <c r="B969" s="30"/>
      <c r="C969" s="30"/>
      <c r="D969" s="41"/>
      <c r="E969" s="41"/>
      <c r="F969" s="42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</row>
    <row r="970">
      <c r="A970" s="41"/>
      <c r="B970" s="30"/>
      <c r="C970" s="30"/>
      <c r="D970" s="41"/>
      <c r="E970" s="41"/>
      <c r="F970" s="42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</row>
    <row r="971">
      <c r="A971" s="41"/>
      <c r="B971" s="30"/>
      <c r="C971" s="30"/>
      <c r="D971" s="41"/>
      <c r="E971" s="41"/>
      <c r="F971" s="42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</row>
    <row r="972">
      <c r="A972" s="41"/>
      <c r="B972" s="30"/>
      <c r="C972" s="30"/>
      <c r="D972" s="41"/>
      <c r="E972" s="41"/>
      <c r="F972" s="42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</row>
    <row r="973">
      <c r="A973" s="41"/>
      <c r="B973" s="30"/>
      <c r="C973" s="30"/>
      <c r="D973" s="41"/>
      <c r="E973" s="41"/>
      <c r="F973" s="42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</row>
    <row r="974">
      <c r="A974" s="41"/>
      <c r="B974" s="30"/>
      <c r="C974" s="30"/>
      <c r="D974" s="41"/>
      <c r="E974" s="41"/>
      <c r="F974" s="42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</row>
    <row r="975">
      <c r="A975" s="41"/>
      <c r="B975" s="30"/>
      <c r="C975" s="30"/>
      <c r="D975" s="41"/>
      <c r="E975" s="41"/>
      <c r="F975" s="42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</row>
    <row r="976">
      <c r="A976" s="41"/>
      <c r="B976" s="30"/>
      <c r="C976" s="30"/>
      <c r="D976" s="41"/>
      <c r="E976" s="41"/>
      <c r="F976" s="42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</row>
    <row r="977">
      <c r="A977" s="41"/>
      <c r="B977" s="30"/>
      <c r="C977" s="30"/>
      <c r="D977" s="41"/>
      <c r="E977" s="41"/>
      <c r="F977" s="42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</row>
    <row r="978">
      <c r="A978" s="41"/>
      <c r="B978" s="30"/>
      <c r="C978" s="30"/>
      <c r="D978" s="41"/>
      <c r="E978" s="41"/>
      <c r="F978" s="42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</row>
    <row r="979">
      <c r="A979" s="41"/>
      <c r="B979" s="30"/>
      <c r="C979" s="30"/>
      <c r="D979" s="41"/>
      <c r="E979" s="41"/>
      <c r="F979" s="42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</row>
    <row r="980">
      <c r="A980" s="41"/>
      <c r="B980" s="30"/>
      <c r="C980" s="30"/>
      <c r="D980" s="41"/>
      <c r="E980" s="41"/>
      <c r="F980" s="42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</row>
    <row r="981">
      <c r="A981" s="41"/>
      <c r="B981" s="30"/>
      <c r="C981" s="30"/>
      <c r="D981" s="41"/>
      <c r="E981" s="41"/>
      <c r="F981" s="42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</row>
    <row r="982">
      <c r="A982" s="41"/>
      <c r="B982" s="30"/>
      <c r="C982" s="30"/>
      <c r="D982" s="41"/>
      <c r="E982" s="41"/>
      <c r="F982" s="42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</row>
    <row r="983">
      <c r="A983" s="41"/>
      <c r="B983" s="30"/>
      <c r="C983" s="30"/>
      <c r="D983" s="41"/>
      <c r="E983" s="41"/>
      <c r="F983" s="42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</row>
    <row r="984">
      <c r="A984" s="41"/>
      <c r="B984" s="30"/>
      <c r="C984" s="30"/>
      <c r="D984" s="41"/>
      <c r="E984" s="41"/>
      <c r="F984" s="42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</row>
    <row r="985">
      <c r="A985" s="41"/>
      <c r="B985" s="30"/>
      <c r="C985" s="30"/>
      <c r="D985" s="41"/>
      <c r="E985" s="41"/>
      <c r="F985" s="42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</row>
    <row r="986">
      <c r="A986" s="41"/>
      <c r="B986" s="30"/>
      <c r="C986" s="30"/>
      <c r="D986" s="41"/>
      <c r="E986" s="41"/>
      <c r="F986" s="42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</row>
    <row r="987">
      <c r="A987" s="41"/>
      <c r="B987" s="30"/>
      <c r="C987" s="30"/>
      <c r="D987" s="41"/>
      <c r="E987" s="41"/>
      <c r="F987" s="42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</row>
    <row r="988">
      <c r="A988" s="41"/>
      <c r="B988" s="30"/>
      <c r="C988" s="30"/>
      <c r="D988" s="41"/>
      <c r="E988" s="41"/>
      <c r="F988" s="42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</row>
    <row r="989">
      <c r="A989" s="41"/>
      <c r="B989" s="30"/>
      <c r="C989" s="30"/>
      <c r="D989" s="41"/>
      <c r="E989" s="41"/>
      <c r="F989" s="42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</row>
    <row r="990">
      <c r="A990" s="41"/>
      <c r="B990" s="30"/>
      <c r="C990" s="30"/>
      <c r="D990" s="41"/>
      <c r="E990" s="41"/>
      <c r="F990" s="42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</row>
    <row r="991">
      <c r="A991" s="41"/>
      <c r="B991" s="30"/>
      <c r="C991" s="30"/>
      <c r="D991" s="41"/>
      <c r="E991" s="41"/>
      <c r="F991" s="42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</row>
    <row r="992">
      <c r="A992" s="41"/>
      <c r="B992" s="30"/>
      <c r="C992" s="30"/>
      <c r="D992" s="41"/>
      <c r="E992" s="41"/>
      <c r="F992" s="42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</row>
    <row r="993">
      <c r="A993" s="41"/>
      <c r="B993" s="30"/>
      <c r="C993" s="30"/>
      <c r="D993" s="41"/>
      <c r="E993" s="41"/>
      <c r="F993" s="42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</row>
    <row r="994">
      <c r="A994" s="41"/>
      <c r="B994" s="30"/>
      <c r="C994" s="30"/>
      <c r="D994" s="41"/>
      <c r="E994" s="41"/>
      <c r="F994" s="42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</row>
    <row r="995">
      <c r="A995" s="41"/>
      <c r="B995" s="30"/>
      <c r="C995" s="30"/>
      <c r="D995" s="41"/>
      <c r="E995" s="41"/>
      <c r="F995" s="42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</row>
    <row r="996">
      <c r="A996" s="41"/>
      <c r="B996" s="30"/>
      <c r="C996" s="30"/>
      <c r="D996" s="41"/>
      <c r="E996" s="41"/>
      <c r="F996" s="42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</row>
    <row r="997">
      <c r="A997" s="41"/>
      <c r="B997" s="30"/>
      <c r="C997" s="30"/>
      <c r="D997" s="41"/>
      <c r="E997" s="41"/>
      <c r="F997" s="42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</row>
    <row r="998">
      <c r="A998" s="41"/>
      <c r="B998" s="30"/>
      <c r="C998" s="30"/>
      <c r="D998" s="41"/>
      <c r="E998" s="41"/>
      <c r="F998" s="42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</row>
    <row r="999">
      <c r="A999" s="41"/>
      <c r="B999" s="30"/>
      <c r="C999" s="30"/>
      <c r="D999" s="41"/>
      <c r="E999" s="41"/>
      <c r="F999" s="42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</row>
    <row r="1000">
      <c r="A1000" s="41"/>
      <c r="B1000" s="30"/>
      <c r="C1000" s="30"/>
      <c r="D1000" s="41"/>
      <c r="E1000" s="41"/>
      <c r="F1000" s="42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</row>
    <row r="1001">
      <c r="A1001" s="41"/>
      <c r="B1001" s="30"/>
      <c r="C1001" s="30"/>
      <c r="D1001" s="41"/>
      <c r="E1001" s="41"/>
      <c r="F1001" s="42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</row>
    <row r="1002">
      <c r="A1002" s="41"/>
      <c r="B1002" s="30"/>
      <c r="C1002" s="30"/>
      <c r="D1002" s="41"/>
      <c r="E1002" s="41"/>
      <c r="F1002" s="42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30"/>
      <c r="BI1002" s="30"/>
      <c r="BJ1002" s="30"/>
      <c r="BK1002" s="30"/>
      <c r="BL1002" s="30"/>
      <c r="BM1002" s="30"/>
      <c r="BN1002" s="30"/>
      <c r="BO1002" s="30"/>
      <c r="BP1002" s="30"/>
    </row>
    <row r="1003">
      <c r="A1003" s="41"/>
      <c r="B1003" s="30"/>
      <c r="C1003" s="30"/>
      <c r="D1003" s="41"/>
      <c r="E1003" s="41"/>
      <c r="F1003" s="42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30"/>
      <c r="BI1003" s="30"/>
      <c r="BJ1003" s="30"/>
      <c r="BK1003" s="30"/>
      <c r="BL1003" s="30"/>
      <c r="BM1003" s="30"/>
      <c r="BN1003" s="30"/>
      <c r="BO1003" s="30"/>
      <c r="BP1003" s="30"/>
    </row>
    <row r="1004">
      <c r="A1004" s="41"/>
      <c r="B1004" s="30"/>
      <c r="C1004" s="30"/>
      <c r="D1004" s="41"/>
      <c r="E1004" s="41"/>
      <c r="F1004" s="42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s="30"/>
      <c r="BD1004" s="30"/>
      <c r="BE1004" s="30"/>
      <c r="BF1004" s="30"/>
      <c r="BG1004" s="30"/>
      <c r="BH1004" s="30"/>
      <c r="BI1004" s="30"/>
      <c r="BJ1004" s="30"/>
      <c r="BK1004" s="30"/>
      <c r="BL1004" s="30"/>
      <c r="BM1004" s="30"/>
      <c r="BN1004" s="30"/>
      <c r="BO1004" s="30"/>
      <c r="BP1004" s="30"/>
    </row>
    <row r="1005">
      <c r="A1005" s="41"/>
      <c r="B1005" s="30"/>
      <c r="C1005" s="30"/>
      <c r="D1005" s="41"/>
      <c r="E1005" s="41"/>
      <c r="F1005" s="42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  <c r="BN1005" s="30"/>
      <c r="BO1005" s="30"/>
      <c r="BP1005" s="30"/>
    </row>
    <row r="1006">
      <c r="A1006" s="41"/>
      <c r="B1006" s="30"/>
      <c r="C1006" s="30"/>
      <c r="D1006" s="41"/>
      <c r="E1006" s="41"/>
      <c r="F1006" s="42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s="30"/>
      <c r="BD1006" s="30"/>
      <c r="BE1006" s="30"/>
      <c r="BF1006" s="30"/>
      <c r="BG1006" s="30"/>
      <c r="BH1006" s="30"/>
      <c r="BI1006" s="30"/>
      <c r="BJ1006" s="30"/>
      <c r="BK1006" s="30"/>
      <c r="BL1006" s="30"/>
      <c r="BM1006" s="30"/>
      <c r="BN1006" s="30"/>
      <c r="BO1006" s="30"/>
      <c r="BP1006" s="30"/>
    </row>
    <row r="1007">
      <c r="A1007" s="41"/>
      <c r="B1007" s="30"/>
      <c r="C1007" s="30"/>
      <c r="D1007" s="41"/>
      <c r="E1007" s="41"/>
      <c r="F1007" s="42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s="30"/>
      <c r="BD1007" s="30"/>
      <c r="BE1007" s="30"/>
      <c r="BF1007" s="30"/>
      <c r="BG1007" s="30"/>
      <c r="BH1007" s="30"/>
      <c r="BI1007" s="30"/>
      <c r="BJ1007" s="30"/>
      <c r="BK1007" s="30"/>
      <c r="BL1007" s="30"/>
      <c r="BM1007" s="30"/>
      <c r="BN1007" s="30"/>
      <c r="BO1007" s="30"/>
      <c r="BP1007" s="30"/>
    </row>
    <row r="1008">
      <c r="A1008" s="41"/>
      <c r="B1008" s="30"/>
      <c r="C1008" s="30"/>
      <c r="D1008" s="41"/>
      <c r="E1008" s="41"/>
      <c r="F1008" s="42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s="30"/>
      <c r="BD1008" s="30"/>
      <c r="BE1008" s="30"/>
      <c r="BF1008" s="30"/>
      <c r="BG1008" s="30"/>
      <c r="BH1008" s="30"/>
      <c r="BI1008" s="30"/>
      <c r="BJ1008" s="30"/>
      <c r="BK1008" s="30"/>
      <c r="BL1008" s="30"/>
      <c r="BM1008" s="30"/>
      <c r="BN1008" s="30"/>
      <c r="BO1008" s="30"/>
      <c r="BP1008" s="30"/>
    </row>
    <row r="1009">
      <c r="A1009" s="41"/>
      <c r="B1009" s="30"/>
      <c r="C1009" s="30"/>
      <c r="D1009" s="41"/>
      <c r="E1009" s="41"/>
      <c r="F1009" s="42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30"/>
      <c r="BD1009" s="30"/>
      <c r="BE1009" s="30"/>
      <c r="BF1009" s="30"/>
      <c r="BG1009" s="30"/>
      <c r="BH1009" s="30"/>
      <c r="BI1009" s="30"/>
      <c r="BJ1009" s="30"/>
      <c r="BK1009" s="30"/>
      <c r="BL1009" s="30"/>
      <c r="BM1009" s="30"/>
      <c r="BN1009" s="30"/>
      <c r="BO1009" s="30"/>
      <c r="BP1009" s="30"/>
    </row>
    <row r="1010">
      <c r="A1010" s="41"/>
      <c r="B1010" s="30"/>
      <c r="C1010" s="30"/>
      <c r="D1010" s="41"/>
      <c r="E1010" s="41"/>
      <c r="F1010" s="42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  <c r="BB1010" s="30"/>
      <c r="BC1010" s="30"/>
      <c r="BD1010" s="30"/>
      <c r="BE1010" s="30"/>
      <c r="BF1010" s="30"/>
      <c r="BG1010" s="30"/>
      <c r="BH1010" s="30"/>
      <c r="BI1010" s="30"/>
      <c r="BJ1010" s="30"/>
      <c r="BK1010" s="30"/>
      <c r="BL1010" s="30"/>
      <c r="BM1010" s="30"/>
      <c r="BN1010" s="30"/>
      <c r="BO1010" s="30"/>
      <c r="BP1010" s="30"/>
    </row>
    <row r="1011">
      <c r="A1011" s="41"/>
      <c r="B1011" s="30"/>
      <c r="C1011" s="30"/>
      <c r="D1011" s="41"/>
      <c r="E1011" s="41"/>
      <c r="F1011" s="42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s="30"/>
      <c r="BD1011" s="30"/>
      <c r="BE1011" s="30"/>
      <c r="BF1011" s="30"/>
      <c r="BG1011" s="30"/>
      <c r="BH1011" s="30"/>
      <c r="BI1011" s="30"/>
      <c r="BJ1011" s="30"/>
      <c r="BK1011" s="30"/>
      <c r="BL1011" s="30"/>
      <c r="BM1011" s="30"/>
      <c r="BN1011" s="30"/>
      <c r="BO1011" s="30"/>
      <c r="BP1011" s="30"/>
    </row>
    <row r="1012">
      <c r="A1012" s="41"/>
      <c r="B1012" s="30"/>
      <c r="C1012" s="30"/>
      <c r="D1012" s="41"/>
      <c r="E1012" s="41"/>
      <c r="F1012" s="42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s="30"/>
      <c r="BD1012" s="30"/>
      <c r="BE1012" s="30"/>
      <c r="BF1012" s="30"/>
      <c r="BG1012" s="30"/>
      <c r="BH1012" s="30"/>
      <c r="BI1012" s="30"/>
      <c r="BJ1012" s="30"/>
      <c r="BK1012" s="30"/>
      <c r="BL1012" s="30"/>
      <c r="BM1012" s="30"/>
      <c r="BN1012" s="30"/>
      <c r="BO1012" s="30"/>
      <c r="BP1012" s="30"/>
    </row>
    <row r="1013">
      <c r="A1013" s="41"/>
      <c r="B1013" s="30"/>
      <c r="C1013" s="30"/>
      <c r="D1013" s="41"/>
      <c r="E1013" s="41"/>
      <c r="F1013" s="42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s="30"/>
      <c r="BD1013" s="30"/>
      <c r="BE1013" s="30"/>
      <c r="BF1013" s="30"/>
      <c r="BG1013" s="30"/>
      <c r="BH1013" s="30"/>
      <c r="BI1013" s="30"/>
      <c r="BJ1013" s="30"/>
      <c r="BK1013" s="30"/>
      <c r="BL1013" s="30"/>
      <c r="BM1013" s="30"/>
      <c r="BN1013" s="30"/>
      <c r="BO1013" s="30"/>
      <c r="BP1013" s="30"/>
    </row>
    <row r="1014">
      <c r="A1014" s="41"/>
      <c r="B1014" s="30"/>
      <c r="C1014" s="30"/>
      <c r="D1014" s="41"/>
      <c r="E1014" s="41"/>
      <c r="F1014" s="42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  <c r="BB1014" s="30"/>
      <c r="BC1014" s="30"/>
      <c r="BD1014" s="30"/>
      <c r="BE1014" s="30"/>
      <c r="BF1014" s="30"/>
      <c r="BG1014" s="30"/>
      <c r="BH1014" s="30"/>
      <c r="BI1014" s="30"/>
      <c r="BJ1014" s="30"/>
      <c r="BK1014" s="30"/>
      <c r="BL1014" s="30"/>
      <c r="BM1014" s="30"/>
      <c r="BN1014" s="30"/>
      <c r="BO1014" s="30"/>
      <c r="BP1014" s="30"/>
    </row>
    <row r="1015">
      <c r="A1015" s="41"/>
      <c r="B1015" s="30"/>
      <c r="C1015" s="30"/>
      <c r="D1015" s="41"/>
      <c r="E1015" s="41"/>
      <c r="F1015" s="42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s="30"/>
      <c r="BD1015" s="30"/>
      <c r="BE1015" s="30"/>
      <c r="BF1015" s="30"/>
      <c r="BG1015" s="30"/>
      <c r="BH1015" s="30"/>
      <c r="BI1015" s="30"/>
      <c r="BJ1015" s="30"/>
      <c r="BK1015" s="30"/>
      <c r="BL1015" s="30"/>
      <c r="BM1015" s="30"/>
      <c r="BN1015" s="30"/>
      <c r="BO1015" s="30"/>
      <c r="BP1015" s="30"/>
    </row>
    <row r="1016">
      <c r="A1016" s="41"/>
      <c r="B1016" s="30"/>
      <c r="C1016" s="30"/>
      <c r="D1016" s="41"/>
      <c r="E1016" s="41"/>
      <c r="F1016" s="42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s="30"/>
      <c r="BD1016" s="30"/>
      <c r="BE1016" s="30"/>
      <c r="BF1016" s="30"/>
      <c r="BG1016" s="30"/>
      <c r="BH1016" s="30"/>
      <c r="BI1016" s="30"/>
      <c r="BJ1016" s="30"/>
      <c r="BK1016" s="30"/>
      <c r="BL1016" s="30"/>
      <c r="BM1016" s="30"/>
      <c r="BN1016" s="30"/>
      <c r="BO1016" s="30"/>
      <c r="BP1016" s="30"/>
    </row>
    <row r="1017">
      <c r="A1017" s="41"/>
      <c r="B1017" s="30"/>
      <c r="C1017" s="30"/>
      <c r="D1017" s="41"/>
      <c r="E1017" s="41"/>
      <c r="F1017" s="42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s="30"/>
      <c r="BD1017" s="30"/>
      <c r="BE1017" s="30"/>
      <c r="BF1017" s="30"/>
      <c r="BG1017" s="30"/>
      <c r="BH1017" s="30"/>
      <c r="BI1017" s="30"/>
      <c r="BJ1017" s="30"/>
      <c r="BK1017" s="30"/>
      <c r="BL1017" s="30"/>
      <c r="BM1017" s="30"/>
      <c r="BN1017" s="30"/>
      <c r="BO1017" s="30"/>
      <c r="BP1017" s="30"/>
    </row>
    <row r="1018">
      <c r="A1018" s="41"/>
      <c r="B1018" s="30"/>
      <c r="C1018" s="30"/>
      <c r="D1018" s="41"/>
      <c r="E1018" s="41"/>
      <c r="F1018" s="42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0"/>
      <c r="BG1018" s="30"/>
      <c r="BH1018" s="30"/>
      <c r="BI1018" s="30"/>
      <c r="BJ1018" s="30"/>
      <c r="BK1018" s="30"/>
      <c r="BL1018" s="30"/>
      <c r="BM1018" s="30"/>
      <c r="BN1018" s="30"/>
      <c r="BO1018" s="30"/>
      <c r="BP1018" s="30"/>
    </row>
    <row r="1019">
      <c r="A1019" s="41"/>
      <c r="B1019" s="30"/>
      <c r="C1019" s="30"/>
      <c r="D1019" s="41"/>
      <c r="E1019" s="41"/>
      <c r="F1019" s="42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s="30"/>
      <c r="BD1019" s="30"/>
      <c r="BE1019" s="30"/>
      <c r="BF1019" s="30"/>
      <c r="BG1019" s="30"/>
      <c r="BH1019" s="30"/>
      <c r="BI1019" s="30"/>
      <c r="BJ1019" s="30"/>
      <c r="BK1019" s="30"/>
      <c r="BL1019" s="30"/>
      <c r="BM1019" s="30"/>
      <c r="BN1019" s="30"/>
      <c r="BO1019" s="30"/>
      <c r="BP1019" s="30"/>
    </row>
    <row r="1020">
      <c r="A1020" s="41"/>
      <c r="B1020" s="30"/>
      <c r="C1020" s="30"/>
      <c r="D1020" s="41"/>
      <c r="E1020" s="41"/>
      <c r="F1020" s="42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s="30"/>
      <c r="BD1020" s="30"/>
      <c r="BE1020" s="30"/>
      <c r="BF1020" s="30"/>
      <c r="BG1020" s="30"/>
      <c r="BH1020" s="30"/>
      <c r="BI1020" s="30"/>
      <c r="BJ1020" s="30"/>
      <c r="BK1020" s="30"/>
      <c r="BL1020" s="30"/>
      <c r="BM1020" s="30"/>
      <c r="BN1020" s="30"/>
      <c r="BO1020" s="30"/>
      <c r="BP1020" s="30"/>
    </row>
  </sheetData>
  <mergeCells count="37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BM1:BN1"/>
    <mergeCell ref="BO1:BP1"/>
    <mergeCell ref="AY1:AZ1"/>
    <mergeCell ref="BA1:BB1"/>
    <mergeCell ref="BC1:BD1"/>
    <mergeCell ref="BE1:BF1"/>
    <mergeCell ref="BG1:BH1"/>
    <mergeCell ref="BI1:BJ1"/>
    <mergeCell ref="BK1:BL1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>
        <v>1.0</v>
      </c>
      <c r="H1" s="6"/>
      <c r="I1" s="5">
        <v>2.0</v>
      </c>
      <c r="J1" s="6"/>
      <c r="K1" s="5">
        <v>3.0</v>
      </c>
      <c r="L1" s="6"/>
      <c r="M1" s="5">
        <v>4.0</v>
      </c>
      <c r="N1" s="6"/>
      <c r="O1" s="5">
        <v>5.0</v>
      </c>
      <c r="P1" s="6"/>
      <c r="Q1" s="5">
        <v>6.0</v>
      </c>
      <c r="R1" s="6"/>
      <c r="S1" s="5">
        <v>7.0</v>
      </c>
      <c r="T1" s="6"/>
      <c r="U1" s="5">
        <v>8.0</v>
      </c>
      <c r="V1" s="6"/>
      <c r="W1" s="5">
        <v>9.0</v>
      </c>
      <c r="X1" s="6"/>
      <c r="Y1" s="5">
        <v>10.0</v>
      </c>
      <c r="Z1" s="6"/>
      <c r="AA1" s="5">
        <v>11.0</v>
      </c>
      <c r="AB1" s="6"/>
      <c r="AC1" s="5">
        <v>12.0</v>
      </c>
      <c r="AD1" s="6"/>
      <c r="AE1" s="5">
        <v>13.0</v>
      </c>
      <c r="AF1" s="6"/>
      <c r="AG1" s="5">
        <v>14.0</v>
      </c>
      <c r="AH1" s="6"/>
      <c r="AI1" s="5">
        <v>15.0</v>
      </c>
      <c r="AJ1" s="6"/>
      <c r="AK1" s="5">
        <v>16.0</v>
      </c>
      <c r="AL1" s="6"/>
      <c r="AM1" s="5">
        <v>17.0</v>
      </c>
      <c r="AN1" s="6"/>
      <c r="AO1" s="5">
        <v>18.0</v>
      </c>
      <c r="AP1" s="6"/>
      <c r="AQ1" s="5">
        <v>19.0</v>
      </c>
      <c r="AR1" s="6"/>
      <c r="AS1" s="5">
        <v>20.0</v>
      </c>
      <c r="AT1" s="6"/>
      <c r="AU1" s="5">
        <v>21.0</v>
      </c>
      <c r="AV1" s="6"/>
      <c r="AW1" s="5">
        <v>22.0</v>
      </c>
      <c r="AX1" s="6"/>
      <c r="AY1" s="5">
        <v>23.0</v>
      </c>
      <c r="AZ1" s="6"/>
      <c r="BA1" s="5">
        <v>24.0</v>
      </c>
      <c r="BB1" s="6"/>
      <c r="BC1" s="5">
        <v>25.0</v>
      </c>
      <c r="BD1" s="6"/>
      <c r="BE1" s="5">
        <v>26.0</v>
      </c>
      <c r="BF1" s="6"/>
      <c r="BG1" s="5">
        <v>27.0</v>
      </c>
      <c r="BH1" s="6"/>
      <c r="BI1" s="5">
        <v>28.0</v>
      </c>
      <c r="BJ1" s="6"/>
      <c r="BK1" s="5">
        <v>29.0</v>
      </c>
      <c r="BL1" s="6"/>
      <c r="BM1" s="5">
        <v>30.0</v>
      </c>
      <c r="BN1" s="6"/>
      <c r="BO1" s="5">
        <v>31.0</v>
      </c>
      <c r="BP1" s="7"/>
    </row>
    <row r="2">
      <c r="A2" s="8"/>
      <c r="B2" s="9"/>
      <c r="C2" s="9"/>
      <c r="D2" s="9"/>
      <c r="E2" s="9"/>
      <c r="F2" s="10"/>
      <c r="G2" s="11" t="s">
        <v>6</v>
      </c>
      <c r="H2" s="11" t="s">
        <v>7</v>
      </c>
      <c r="I2" s="43" t="s">
        <v>6</v>
      </c>
      <c r="J2" s="43" t="s">
        <v>7</v>
      </c>
      <c r="K2" s="11" t="s">
        <v>6</v>
      </c>
      <c r="L2" s="11" t="s">
        <v>7</v>
      </c>
      <c r="M2" s="11" t="s">
        <v>6</v>
      </c>
      <c r="N2" s="11" t="s">
        <v>7</v>
      </c>
      <c r="O2" s="11" t="s">
        <v>6</v>
      </c>
      <c r="P2" s="11" t="s">
        <v>7</v>
      </c>
      <c r="Q2" s="11" t="s">
        <v>6</v>
      </c>
      <c r="R2" s="11" t="s">
        <v>7</v>
      </c>
      <c r="S2" s="11" t="s">
        <v>6</v>
      </c>
      <c r="T2" s="11" t="s">
        <v>7</v>
      </c>
      <c r="U2" s="11" t="s">
        <v>6</v>
      </c>
      <c r="V2" s="11" t="s">
        <v>7</v>
      </c>
      <c r="W2" s="11" t="s">
        <v>6</v>
      </c>
      <c r="X2" s="11" t="s">
        <v>7</v>
      </c>
      <c r="Y2" s="11" t="s">
        <v>6</v>
      </c>
      <c r="Z2" s="11" t="s">
        <v>7</v>
      </c>
      <c r="AA2" s="11" t="s">
        <v>6</v>
      </c>
      <c r="AB2" s="11" t="s">
        <v>7</v>
      </c>
      <c r="AC2" s="11" t="s">
        <v>6</v>
      </c>
      <c r="AD2" s="11" t="s">
        <v>7</v>
      </c>
      <c r="AE2" s="11" t="s">
        <v>6</v>
      </c>
      <c r="AF2" s="11" t="s">
        <v>7</v>
      </c>
      <c r="AG2" s="11" t="s">
        <v>6</v>
      </c>
      <c r="AH2" s="11" t="s">
        <v>7</v>
      </c>
      <c r="AI2" s="11" t="s">
        <v>6</v>
      </c>
      <c r="AJ2" s="11" t="s">
        <v>7</v>
      </c>
      <c r="AK2" s="11" t="s">
        <v>6</v>
      </c>
      <c r="AL2" s="11" t="s">
        <v>7</v>
      </c>
      <c r="AM2" s="11" t="s">
        <v>6</v>
      </c>
      <c r="AN2" s="11" t="s">
        <v>7</v>
      </c>
      <c r="AO2" s="11" t="s">
        <v>6</v>
      </c>
      <c r="AP2" s="11" t="s">
        <v>7</v>
      </c>
      <c r="AQ2" s="11" t="s">
        <v>6</v>
      </c>
      <c r="AR2" s="11" t="s">
        <v>7</v>
      </c>
      <c r="AS2" s="11" t="s">
        <v>6</v>
      </c>
      <c r="AT2" s="11" t="s">
        <v>7</v>
      </c>
      <c r="AU2" s="11" t="s">
        <v>6</v>
      </c>
      <c r="AV2" s="11" t="s">
        <v>7</v>
      </c>
      <c r="AW2" s="11" t="s">
        <v>6</v>
      </c>
      <c r="AX2" s="11" t="s">
        <v>7</v>
      </c>
      <c r="AY2" s="11" t="s">
        <v>6</v>
      </c>
      <c r="AZ2" s="11" t="s">
        <v>7</v>
      </c>
      <c r="BA2" s="11" t="s">
        <v>6</v>
      </c>
      <c r="BB2" s="11" t="s">
        <v>7</v>
      </c>
      <c r="BC2" s="11" t="s">
        <v>6</v>
      </c>
      <c r="BD2" s="11" t="s">
        <v>7</v>
      </c>
      <c r="BE2" s="11" t="s">
        <v>6</v>
      </c>
      <c r="BF2" s="11" t="s">
        <v>7</v>
      </c>
      <c r="BG2" s="11" t="s">
        <v>6</v>
      </c>
      <c r="BH2" s="11" t="s">
        <v>7</v>
      </c>
      <c r="BI2" s="11" t="s">
        <v>6</v>
      </c>
      <c r="BJ2" s="11" t="s">
        <v>7</v>
      </c>
      <c r="BK2" s="11" t="s">
        <v>6</v>
      </c>
      <c r="BL2" s="11" t="s">
        <v>7</v>
      </c>
      <c r="BM2" s="11" t="s">
        <v>6</v>
      </c>
      <c r="BN2" s="11" t="s">
        <v>7</v>
      </c>
      <c r="BO2" s="11" t="s">
        <v>6</v>
      </c>
      <c r="BP2" s="12" t="s">
        <v>7</v>
      </c>
    </row>
    <row r="3">
      <c r="A3" s="13" t="s">
        <v>8</v>
      </c>
      <c r="B3" s="14">
        <f>IFERROR(__xludf.DUMMYFUNCTION("SUM(FILTER(G3:BP3,ISNUMBER(G3:BP3),MOD(COLUMN(G3:BP3)-COLUMN(G3),2)=0))"),1.1695E7)</f>
        <v>11695000</v>
      </c>
      <c r="C3" s="15">
        <f>IFERROR(__xludf.DUMMYFUNCTION("SUM(FILTER(G3:BP3,ISNUMBER(G3:BP3),MOD(COLUMN(G3:BP3)-COLUMN(G3),2)=1))"),417280.0)</f>
        <v>417280</v>
      </c>
      <c r="D3" s="16">
        <f>C3/B3</f>
        <v>0.03568020522</v>
      </c>
      <c r="E3" s="13">
        <f>IFERROR(__xludf.DUMMYFUNCTION("COUNT(FILTER(G3:BP3,ISNUMBER(G3:BP3),MOD(COLUMN(G3:BP3)-COLUMN(G3),2)=0))
"),3.0)</f>
        <v>3</v>
      </c>
      <c r="F3" s="17">
        <f>B3/E3</f>
        <v>3898333.333</v>
      </c>
      <c r="G3" s="15"/>
      <c r="H3" s="15"/>
      <c r="I3" s="44">
        <v>2548000.0</v>
      </c>
      <c r="J3" s="44">
        <v>142550.0</v>
      </c>
      <c r="K3" s="15">
        <v>6091000.0</v>
      </c>
      <c r="L3" s="15">
        <v>14360.0</v>
      </c>
      <c r="M3" s="15">
        <v>3056000.0</v>
      </c>
      <c r="N3" s="15">
        <v>260370.0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</row>
    <row r="4">
      <c r="A4" s="18"/>
      <c r="B4" s="14"/>
      <c r="C4" s="14"/>
      <c r="D4" s="19"/>
      <c r="E4" s="20"/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15"/>
      <c r="AJ4" s="15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15"/>
      <c r="BB4" s="15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>
      <c r="A5" s="20" t="s">
        <v>10</v>
      </c>
      <c r="B5" s="14">
        <f>IFERROR(__xludf.DUMMYFUNCTION("SUM(FILTER(G5:BP5,ISNUMBER(G5:BP5),MOD(COLUMN(G5:BP5)-COLUMN(G5),2)=0))"),1.9131E7)</f>
        <v>19131000</v>
      </c>
      <c r="C5" s="14">
        <f>IFERROR(__xludf.DUMMYFUNCTION("SUM(FILTER(G5:BP5,ISNUMBER(G5:BP5),MOD(COLUMN(G5:BP5)-COLUMN(G5),2)=1))"),1189550.0)</f>
        <v>1189550</v>
      </c>
      <c r="D5" s="19">
        <f>C5/B5</f>
        <v>0.06217918561</v>
      </c>
      <c r="E5" s="20">
        <f>IFERROR(__xludf.DUMMYFUNCTION("COUNT(FILTER(G5:BP5,ISNUMBER(G5:BP5),MOD(COLUMN(G5:BP5)-COLUMN(G5),2)=0))
"),3.0)</f>
        <v>3</v>
      </c>
      <c r="F5" s="21">
        <f>B5/E5</f>
        <v>6377000</v>
      </c>
      <c r="G5" s="14"/>
      <c r="H5" s="14"/>
      <c r="I5" s="14">
        <v>8051000.0</v>
      </c>
      <c r="J5" s="14">
        <v>527050.0</v>
      </c>
      <c r="K5" s="14">
        <v>3915000.0</v>
      </c>
      <c r="L5" s="14">
        <v>293250.0</v>
      </c>
      <c r="M5" s="14">
        <v>7165000.0</v>
      </c>
      <c r="N5" s="14">
        <v>369250.0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5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15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5"/>
      <c r="BB5" s="15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</row>
    <row r="6">
      <c r="A6" s="18"/>
      <c r="B6" s="14"/>
      <c r="C6" s="14"/>
      <c r="D6" s="19"/>
      <c r="E6" s="20"/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5"/>
      <c r="AJ6" s="15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15"/>
      <c r="BB6" s="15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>
      <c r="A7" s="20" t="s">
        <v>11</v>
      </c>
      <c r="B7" s="14">
        <f>IFERROR(__xludf.DUMMYFUNCTION("SUM(FILTER(G7:BP7,ISNUMBER(G7:BP7),MOD(COLUMN(G7:BP7)-COLUMN(G7),2)=0))"),1627200.0)</f>
        <v>1627200</v>
      </c>
      <c r="C7" s="14">
        <f>IFERROR(__xludf.DUMMYFUNCTION("SUM(FILTER(G7:BP7,ISNUMBER(G7:BP7),MOD(COLUMN(G7:BP7)-COLUMN(G7),2)=1))"),174110.0)</f>
        <v>174110</v>
      </c>
      <c r="D7" s="19">
        <f>C7/B7</f>
        <v>0.1069997542</v>
      </c>
      <c r="E7" s="20">
        <f>IFERROR(__xludf.DUMMYFUNCTION("COUNT(FILTER(G7:BP7,ISNUMBER(G7:BP7),MOD(COLUMN(G7:BP7)-COLUMN(G7),2)=0))
"),3.0)</f>
        <v>3</v>
      </c>
      <c r="F7" s="21">
        <f>B7/E7</f>
        <v>542400</v>
      </c>
      <c r="G7" s="14"/>
      <c r="H7" s="14"/>
      <c r="I7" s="14">
        <v>523200.0</v>
      </c>
      <c r="J7" s="14">
        <v>70220.0</v>
      </c>
      <c r="K7" s="14">
        <v>160000.0</v>
      </c>
      <c r="L7" s="14">
        <v>74960.0</v>
      </c>
      <c r="M7" s="14">
        <v>944000.0</v>
      </c>
      <c r="N7" s="14">
        <v>28930.0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5"/>
      <c r="Z7" s="14"/>
      <c r="AA7" s="14"/>
      <c r="AB7" s="14"/>
      <c r="AC7" s="14"/>
      <c r="AD7" s="14"/>
      <c r="AE7" s="23"/>
      <c r="AF7" s="14"/>
      <c r="AG7" s="14"/>
      <c r="AH7" s="14"/>
      <c r="AI7" s="15"/>
      <c r="AJ7" s="15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5"/>
      <c r="BB7" s="15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>
      <c r="A8" s="18"/>
      <c r="B8" s="14"/>
      <c r="C8" s="14"/>
      <c r="D8" s="19"/>
      <c r="E8" s="20"/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15"/>
      <c r="AJ8" s="15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15"/>
      <c r="BB8" s="15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</row>
    <row r="9">
      <c r="A9" s="20" t="s">
        <v>13</v>
      </c>
      <c r="B9" s="14">
        <f>IFERROR(__xludf.DUMMYFUNCTION("SUM(FILTER(G9:BP9,ISNUMBER(G9:BP9),MOD(COLUMN(G9:BP9)-COLUMN(G9),2)=0))"),3936950.0)</f>
        <v>3936950</v>
      </c>
      <c r="C9" s="14">
        <f>IFERROR(__xludf.DUMMYFUNCTION("SUM(FILTER(G9:BP9,ISNUMBER(G9:BP9),MOD(COLUMN(G9:BP9)-COLUMN(G9),2)=1))"),196200.0)</f>
        <v>196200</v>
      </c>
      <c r="D9" s="19">
        <f>C9/B9</f>
        <v>0.04983553258</v>
      </c>
      <c r="E9" s="20">
        <f>IFERROR(__xludf.DUMMYFUNCTION("COUNT(FILTER(G9:BP9,ISNUMBER(G9:BP9),MOD(COLUMN(G9:BP9)-COLUMN(G9),2)=0))
"),3.0)</f>
        <v>3</v>
      </c>
      <c r="F9" s="21">
        <f>B9/E9</f>
        <v>1312316.667</v>
      </c>
      <c r="G9" s="14"/>
      <c r="H9" s="14"/>
      <c r="I9" s="14">
        <v>1687950.0</v>
      </c>
      <c r="J9" s="14">
        <v>104150.0</v>
      </c>
      <c r="K9" s="14">
        <v>1799000.0</v>
      </c>
      <c r="L9" s="14">
        <v>0.0</v>
      </c>
      <c r="M9" s="14">
        <v>450000.0</v>
      </c>
      <c r="N9" s="14">
        <v>92050.0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  <c r="Z9" s="14"/>
      <c r="AA9" s="14"/>
      <c r="AB9" s="14"/>
      <c r="AC9" s="14"/>
      <c r="AD9" s="14"/>
      <c r="AE9" s="14"/>
      <c r="AF9" s="14"/>
      <c r="AG9" s="14"/>
      <c r="AH9" s="14"/>
      <c r="AI9" s="15"/>
      <c r="AJ9" s="15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5"/>
      <c r="BB9" s="15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</row>
    <row r="10">
      <c r="A10" s="18"/>
      <c r="B10" s="14"/>
      <c r="C10" s="14"/>
      <c r="D10" s="19"/>
      <c r="E10" s="20"/>
      <c r="F10" s="2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15"/>
      <c r="AJ10" s="15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15"/>
      <c r="BB10" s="15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</row>
    <row r="11">
      <c r="A11" s="20" t="s">
        <v>15</v>
      </c>
      <c r="B11" s="14">
        <f>IFERROR(__xludf.DUMMYFUNCTION("SUM(FILTER(G11:BO11,ISNUMBER(G11:BO11),MOD(COLUMN(G11:BO11)-COLUMN(G11),2)=0))"),9438400.0)</f>
        <v>9438400</v>
      </c>
      <c r="C11" s="14">
        <f>IFERROR(__xludf.DUMMYFUNCTION("SUM(FILTER(G11:BO11,ISNUMBER(G11:BO11),MOD(COLUMN(G11:BO11)-COLUMN(G11),2)=1))"),527850.0)</f>
        <v>527850</v>
      </c>
      <c r="D11" s="19">
        <f>C11/B11</f>
        <v>0.05592579251</v>
      </c>
      <c r="E11" s="20">
        <f>IFERROR(__xludf.DUMMYFUNCTION("COUNT(FILTER(G11:BO11,ISNUMBER(G11:BO11),MOD(COLUMN(G11:BO11)-COLUMN(G11),2)=0))
"),3.0)</f>
        <v>3</v>
      </c>
      <c r="F11" s="21">
        <f>B11/E11</f>
        <v>3146133.333</v>
      </c>
      <c r="G11" s="14"/>
      <c r="H11" s="14"/>
      <c r="I11" s="22">
        <v>4889400.0</v>
      </c>
      <c r="J11" s="22">
        <v>103890.0</v>
      </c>
      <c r="K11" s="14">
        <v>2340000.0</v>
      </c>
      <c r="L11" s="14">
        <v>168850.0</v>
      </c>
      <c r="M11" s="14">
        <v>2209000.0</v>
      </c>
      <c r="N11" s="14">
        <v>255110.0</v>
      </c>
      <c r="O11" s="14"/>
      <c r="P11" s="14"/>
      <c r="Q11" s="22"/>
      <c r="R11" s="2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5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22"/>
      <c r="AZ11" s="22"/>
      <c r="BA11" s="15"/>
      <c r="BB11" s="15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18"/>
      <c r="B12" s="14"/>
      <c r="C12" s="14"/>
      <c r="D12" s="19"/>
      <c r="E12" s="20"/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5"/>
      <c r="AJ12" s="15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14"/>
      <c r="AZ12" s="14"/>
      <c r="BA12" s="15"/>
      <c r="BB12" s="15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</row>
    <row r="13">
      <c r="A13" s="20" t="s">
        <v>17</v>
      </c>
      <c r="B13" s="14">
        <f>IFERROR(__xludf.DUMMYFUNCTION("SUM(FILTER(G13:BP13,ISNUMBER(G13:BP13),MOD(COLUMN(G13:BP13)-COLUMN(G13),2)=0))"),1.64306E7)</f>
        <v>16430600</v>
      </c>
      <c r="C13" s="14">
        <f>IFERROR(__xludf.DUMMYFUNCTION("SUM(FILTER(G13:BP13,ISNUMBER(G13:BP13),MOD(COLUMN(G13:BP13)-COLUMN(G13),2)=1))"),629090.0)</f>
        <v>629090</v>
      </c>
      <c r="D13" s="19">
        <f>C13/B13</f>
        <v>0.03828770708</v>
      </c>
      <c r="E13" s="20">
        <f>IFERROR(__xludf.DUMMYFUNCTION("COUNT(FILTER(G13:BP13,ISNUMBER(G13:BP13),MOD(COLUMN(G13:BP13)-COLUMN(G13),2)=0))
"),3.0)</f>
        <v>3</v>
      </c>
      <c r="F13" s="21">
        <f>B13/E13</f>
        <v>5476866.667</v>
      </c>
      <c r="G13" s="14"/>
      <c r="H13" s="14"/>
      <c r="I13" s="14">
        <v>2827500.0</v>
      </c>
      <c r="J13" s="14">
        <v>212240.0</v>
      </c>
      <c r="K13" s="14">
        <v>4469200.0</v>
      </c>
      <c r="L13" s="14">
        <v>207500.0</v>
      </c>
      <c r="M13" s="14">
        <v>9133900.0</v>
      </c>
      <c r="N13" s="14">
        <v>209350.0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5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/>
      <c r="BB13" s="15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>
      <c r="A14" s="25"/>
      <c r="B14" s="26"/>
      <c r="C14" s="26"/>
      <c r="D14" s="25"/>
      <c r="E14" s="25"/>
      <c r="F14" s="27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15"/>
      <c r="AJ14" s="15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15"/>
      <c r="BB14" s="15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</row>
    <row r="15">
      <c r="A15" s="28" t="s">
        <v>18</v>
      </c>
      <c r="B15" s="14">
        <f>IFERROR(__xludf.DUMMYFUNCTION("SUM(FILTER(G15:BP15,ISNUMBER(G15:BP15),MOD(COLUMN(G15:BP15)-COLUMN(G15),2)=0))"),297000.0)</f>
        <v>297000</v>
      </c>
      <c r="C15" s="14">
        <f>IFERROR(__xludf.DUMMYFUNCTION("SUM(FILTER(G15:BP15,ISNUMBER(G15:BP15),MOD(COLUMN(G15:BP15)-COLUMN(G15),2)=1))"),56810.0)</f>
        <v>56810</v>
      </c>
      <c r="D15" s="19">
        <f>C15/B15</f>
        <v>0.1912794613</v>
      </c>
      <c r="E15" s="20">
        <f>IFERROR(__xludf.DUMMYFUNCTION("COUNT(FILTER(G15:BP15,ISNUMBER(G15:BP15),MOD(COLUMN(G15:BP15)-COLUMN(G15),2)=0))
"),1.0)</f>
        <v>1</v>
      </c>
      <c r="F15" s="21">
        <f>B15/E15</f>
        <v>297000</v>
      </c>
      <c r="G15" s="22"/>
      <c r="H15" s="22"/>
      <c r="I15" s="22"/>
      <c r="J15" s="22"/>
      <c r="K15" s="22">
        <v>297000.0</v>
      </c>
      <c r="L15" s="22">
        <v>56810.0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15"/>
      <c r="AJ15" s="15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15"/>
      <c r="BB15" s="15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</row>
    <row r="16">
      <c r="A16" s="18"/>
      <c r="B16" s="14"/>
      <c r="C16" s="14"/>
      <c r="D16" s="19"/>
      <c r="E16" s="20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15"/>
      <c r="AJ16" s="15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15"/>
      <c r="BB16" s="15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</row>
    <row r="17">
      <c r="A17" s="28" t="s">
        <v>19</v>
      </c>
      <c r="B17" s="14">
        <f>IFERROR(__xludf.DUMMYFUNCTION("SUM(FILTER(G17:BP17,ISNUMBER(G17:BP17),MOD(COLUMN(G17:BP17)-COLUMN(G17),2)=0))"),3459000.0)</f>
        <v>3459000</v>
      </c>
      <c r="C17" s="14">
        <f>IFERROR(__xludf.DUMMYFUNCTION("SUM(FILTER(G17:BP17,ISNUMBER(G17:BP17),MOD(COLUMN(G17:BP17)-COLUMN(G17),2)=1))"),188310.0)</f>
        <v>188310</v>
      </c>
      <c r="D17" s="19">
        <f>C17/B17</f>
        <v>0.05444058977</v>
      </c>
      <c r="E17" s="20">
        <f>IFERROR(__xludf.DUMMYFUNCTION("COUNT(FILTER(G17:BP17,ISNUMBER(G17:BP17),MOD(COLUMN(G17:BP17)-COLUMN(G17),2)=0))
"),2.0)</f>
        <v>2</v>
      </c>
      <c r="F17" s="21">
        <f>B17/E17</f>
        <v>1729500</v>
      </c>
      <c r="G17" s="22"/>
      <c r="H17" s="22"/>
      <c r="I17" s="22">
        <v>1645600.0</v>
      </c>
      <c r="J17" s="22">
        <v>94420.0</v>
      </c>
      <c r="K17" s="22">
        <v>1813400.0</v>
      </c>
      <c r="L17" s="22">
        <v>93890.0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15"/>
      <c r="AJ17" s="15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15"/>
      <c r="BB17" s="15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</row>
    <row r="18">
      <c r="A18" s="18"/>
      <c r="B18" s="14"/>
      <c r="C18" s="14"/>
      <c r="D18" s="19"/>
      <c r="E18" s="20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5"/>
      <c r="AJ18" s="15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15"/>
      <c r="BB18" s="15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</row>
    <row r="19">
      <c r="A19" s="28" t="s">
        <v>20</v>
      </c>
      <c r="B19" s="14">
        <f>IFERROR(__xludf.DUMMYFUNCTION("SUM(FILTER(G19:BP19,ISNUMBER(G19:BP19),MOD(COLUMN(G19:BP19)-COLUMN(G19),2)=0))"),4358000.0)</f>
        <v>4358000</v>
      </c>
      <c r="C19" s="14">
        <f>IFERROR(__xludf.DUMMYFUNCTION("SUM(FILTER(G19:BP19,ISNUMBER(G19:BP19),MOD(COLUMN(G19:BP19)-COLUMN(G19),2)=1))"),105460.0)</f>
        <v>105460</v>
      </c>
      <c r="D19" s="19">
        <f>C19/B19</f>
        <v>0.02419917393</v>
      </c>
      <c r="E19" s="20">
        <f>IFERROR(__xludf.DUMMYFUNCTION("COUNT(FILTER(G19:BP19,ISNUMBER(G19:BP19),MOD(COLUMN(G19:BP19)-COLUMN(G19),2)=0))
"),2.0)</f>
        <v>2</v>
      </c>
      <c r="F19" s="21">
        <f>B19/E19</f>
        <v>2179000</v>
      </c>
      <c r="G19" s="22"/>
      <c r="H19" s="22"/>
      <c r="I19" s="22">
        <v>3038000.0</v>
      </c>
      <c r="J19" s="22">
        <v>102570.0</v>
      </c>
      <c r="K19" s="22">
        <v>1320000.0</v>
      </c>
      <c r="L19" s="22">
        <v>2890.0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15"/>
      <c r="AJ19" s="15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15"/>
      <c r="BB19" s="15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</row>
    <row r="20">
      <c r="A20" s="25"/>
      <c r="B20" s="26"/>
      <c r="C20" s="26"/>
      <c r="D20" s="25"/>
      <c r="E20" s="25"/>
      <c r="F20" s="27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9"/>
      <c r="AG20" s="26"/>
      <c r="AH20" s="26"/>
      <c r="AI20" s="15"/>
      <c r="AJ20" s="15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15"/>
      <c r="BB20" s="15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</row>
    <row r="21">
      <c r="A21" s="28" t="s">
        <v>25</v>
      </c>
      <c r="B21" s="14">
        <f>IFERROR(__xludf.DUMMYFUNCTION("SUM(FILTER(G21:BP21,ISNUMBER(G21:BP21),MOD(COLUMN(G21:BP21)-COLUMN(G21),2)=0))"),8444680.0)</f>
        <v>8444680</v>
      </c>
      <c r="C21" s="14">
        <f>IFERROR(__xludf.DUMMYFUNCTION("SUM(FILTER(G21:BP21,ISNUMBER(G21:BP21),MOD(COLUMN(G21:BP21)-COLUMN(G21),2)=1))"),173059.0)</f>
        <v>173059</v>
      </c>
      <c r="D21" s="19">
        <f>C21/B21</f>
        <v>0.02049325729</v>
      </c>
      <c r="E21" s="20">
        <f>IFERROR(__xludf.DUMMYFUNCTION("COUNT(FILTER(G21:BP21,ISNUMBER(G21:BP21),MOD(COLUMN(G21:BP21)-COLUMN(G21),2)=0))
"),2.0)</f>
        <v>2</v>
      </c>
      <c r="F21" s="21">
        <f>B21/E21</f>
        <v>4222340</v>
      </c>
      <c r="G21" s="22"/>
      <c r="H21" s="22"/>
      <c r="I21" s="22">
        <v>4240980.0</v>
      </c>
      <c r="J21" s="22">
        <v>56549.0</v>
      </c>
      <c r="K21" s="22">
        <v>4203700.0</v>
      </c>
      <c r="L21" s="22">
        <v>116510.0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14"/>
      <c r="AG21" s="22"/>
      <c r="AH21" s="22"/>
      <c r="AI21" s="15"/>
      <c r="AJ21" s="15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15"/>
      <c r="BB21" s="15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</row>
    <row r="22">
      <c r="A22" s="18"/>
      <c r="B22" s="14"/>
      <c r="C22" s="14"/>
      <c r="D22" s="19"/>
      <c r="E22" s="20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5"/>
      <c r="AJ22" s="15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15"/>
      <c r="BB22" s="15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</row>
    <row r="23">
      <c r="A23" s="31" t="s">
        <v>26</v>
      </c>
      <c r="B23" s="14">
        <f>IFERROR(__xludf.DUMMYFUNCTION("SUM(FILTER(G23:BP23,ISNUMBER(G23:BP23),MOD(COLUMN(G23:BP23)-COLUMN(G23),2)=0))"),2956400.0)</f>
        <v>2956400</v>
      </c>
      <c r="C23" s="14">
        <f>IFERROR(__xludf.DUMMYFUNCTION("SUM(FILTER(G23:BP23,ISNUMBER(G23:BP23),MOD(COLUMN(G23:BP23)-COLUMN(G23),2)=1))"),276420.0)</f>
        <v>276420</v>
      </c>
      <c r="D23" s="19">
        <f>C23/B23</f>
        <v>0.09349884995</v>
      </c>
      <c r="E23" s="20">
        <f>IFERROR(__xludf.DUMMYFUNCTION("COUNT(FILTER(G23:BP23,ISNUMBER(G23:BP23),MOD(COLUMN(G23:BP23)-COLUMN(G23),2)=0))
"),2.0)</f>
        <v>2</v>
      </c>
      <c r="F23" s="21">
        <f>B23/E23</f>
        <v>1478200</v>
      </c>
      <c r="G23" s="22"/>
      <c r="H23" s="22"/>
      <c r="I23" s="22">
        <v>657000.0</v>
      </c>
      <c r="J23" s="22">
        <v>48660.0</v>
      </c>
      <c r="K23" s="22">
        <v>2299400.0</v>
      </c>
      <c r="L23" s="22">
        <v>227760.0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32"/>
      <c r="X23" s="3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15"/>
      <c r="AJ23" s="15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5"/>
      <c r="BB23" s="15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</row>
    <row r="24">
      <c r="A24" s="18"/>
      <c r="B24" s="14"/>
      <c r="C24" s="14"/>
      <c r="D24" s="19"/>
      <c r="E24" s="20"/>
      <c r="F24" s="21"/>
      <c r="G24" s="22"/>
      <c r="H24" s="22"/>
      <c r="I24" s="22"/>
      <c r="J24" s="22"/>
      <c r="K24" s="22"/>
      <c r="L24" s="22"/>
      <c r="M24" s="22"/>
      <c r="N24" s="22"/>
      <c r="O24" s="33"/>
      <c r="P24" s="22"/>
      <c r="Q24" s="22"/>
      <c r="R24" s="22"/>
      <c r="S24" s="22"/>
      <c r="T24" s="22"/>
      <c r="U24" s="22"/>
      <c r="V24" s="22"/>
      <c r="W24" s="32"/>
      <c r="X24" s="3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5"/>
      <c r="AJ24" s="15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15"/>
      <c r="BB24" s="15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</row>
    <row r="25">
      <c r="A25" s="31" t="s">
        <v>27</v>
      </c>
      <c r="B25" s="14">
        <f>IFERROR(__xludf.DUMMYFUNCTION("SUM(FILTER(G25:BP25,ISNUMBER(G25:BP25),MOD(COLUMN(G25:BP25)-COLUMN(G25),2)=0))"),1492620.0)</f>
        <v>1492620</v>
      </c>
      <c r="C25" s="14">
        <f>IFERROR(__xludf.DUMMYFUNCTION("SUM(FILTER(G25:BP25,ISNUMBER(G25:BP25),MOD(COLUMN(G25:BP25)-COLUMN(G25),2)=1))"),0.0)</f>
        <v>0</v>
      </c>
      <c r="D25" s="19">
        <f t="shared" ref="D25:D26" si="2">C25/B25</f>
        <v>0</v>
      </c>
      <c r="E25" s="20">
        <f>IFERROR(__xludf.DUMMYFUNCTION("COUNT(FILTER(G25:BP25,ISNUMBER(G25:BP25),MOD(COLUMN(G25:BP25)-COLUMN(G25),2)=0))
"),2.0)</f>
        <v>2</v>
      </c>
      <c r="F25" s="21">
        <f>B25/E25</f>
        <v>746310</v>
      </c>
      <c r="G25" s="22"/>
      <c r="H25" s="22"/>
      <c r="I25" s="22">
        <v>717000.0</v>
      </c>
      <c r="J25" s="22">
        <v>0.0</v>
      </c>
      <c r="K25" s="22">
        <v>775620.0</v>
      </c>
      <c r="L25" s="22">
        <v>0.0</v>
      </c>
      <c r="M25" s="22"/>
      <c r="N25" s="22"/>
      <c r="O25" s="22"/>
      <c r="P25" s="22"/>
      <c r="Q25" s="22"/>
      <c r="R25" s="22"/>
      <c r="S25" s="22"/>
      <c r="T25" s="22"/>
      <c r="W25" s="32"/>
      <c r="X25" s="3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5"/>
      <c r="AJ25" s="15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15"/>
      <c r="BB25" s="15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</row>
    <row r="26">
      <c r="A26" s="34" t="s">
        <v>28</v>
      </c>
      <c r="B26" s="35">
        <f t="shared" ref="B26:C26" si="1">SUM(B3:B25)</f>
        <v>83266850</v>
      </c>
      <c r="C26" s="35">
        <f t="shared" si="1"/>
        <v>3934139</v>
      </c>
      <c r="D26" s="36">
        <f t="shared" si="2"/>
        <v>0.04724736195</v>
      </c>
      <c r="E26" s="34">
        <f t="shared" ref="E26:H26" si="3">SUM(E3:E25)</f>
        <v>29</v>
      </c>
      <c r="F26" s="37">
        <f t="shared" si="3"/>
        <v>31405400</v>
      </c>
      <c r="G26" s="35">
        <f t="shared" si="3"/>
        <v>0</v>
      </c>
      <c r="H26" s="35">
        <f t="shared" si="3"/>
        <v>0</v>
      </c>
      <c r="I26" s="35">
        <f t="shared" ref="I26:J26" si="4">SUM(I4:I25)</f>
        <v>28277630</v>
      </c>
      <c r="J26" s="35">
        <f t="shared" si="4"/>
        <v>1319749</v>
      </c>
      <c r="K26" s="35">
        <f t="shared" ref="K26:T26" si="5">SUM(K3:K25)</f>
        <v>29483320</v>
      </c>
      <c r="L26" s="35">
        <f t="shared" si="5"/>
        <v>1256780</v>
      </c>
      <c r="M26" s="35">
        <f t="shared" si="5"/>
        <v>22957900</v>
      </c>
      <c r="N26" s="35">
        <f t="shared" si="5"/>
        <v>1215060</v>
      </c>
      <c r="O26" s="35">
        <f t="shared" si="5"/>
        <v>0</v>
      </c>
      <c r="P26" s="35">
        <f t="shared" si="5"/>
        <v>0</v>
      </c>
      <c r="Q26" s="35">
        <f t="shared" si="5"/>
        <v>0</v>
      </c>
      <c r="R26" s="35">
        <f t="shared" si="5"/>
        <v>0</v>
      </c>
      <c r="S26" s="35">
        <f t="shared" si="5"/>
        <v>0</v>
      </c>
      <c r="T26" s="35">
        <f t="shared" si="5"/>
        <v>0</v>
      </c>
      <c r="U26" s="35">
        <f t="shared" ref="U26:V26" si="6">SUM(U3:U24)</f>
        <v>0</v>
      </c>
      <c r="V26" s="35">
        <f t="shared" si="6"/>
        <v>0</v>
      </c>
      <c r="W26" s="35">
        <f t="shared" ref="W26:BP26" si="7">SUM(W3:W25)</f>
        <v>0</v>
      </c>
      <c r="X26" s="35">
        <f t="shared" si="7"/>
        <v>0</v>
      </c>
      <c r="Y26" s="35">
        <f t="shared" si="7"/>
        <v>0</v>
      </c>
      <c r="Z26" s="35">
        <f t="shared" si="7"/>
        <v>0</v>
      </c>
      <c r="AA26" s="35">
        <f t="shared" si="7"/>
        <v>0</v>
      </c>
      <c r="AB26" s="35">
        <f t="shared" si="7"/>
        <v>0</v>
      </c>
      <c r="AC26" s="35">
        <f t="shared" si="7"/>
        <v>0</v>
      </c>
      <c r="AD26" s="35">
        <f t="shared" si="7"/>
        <v>0</v>
      </c>
      <c r="AE26" s="35">
        <f t="shared" si="7"/>
        <v>0</v>
      </c>
      <c r="AF26" s="35">
        <f t="shared" si="7"/>
        <v>0</v>
      </c>
      <c r="AG26" s="35">
        <f t="shared" si="7"/>
        <v>0</v>
      </c>
      <c r="AH26" s="35">
        <f t="shared" si="7"/>
        <v>0</v>
      </c>
      <c r="AI26" s="35">
        <f t="shared" si="7"/>
        <v>0</v>
      </c>
      <c r="AJ26" s="35">
        <f t="shared" si="7"/>
        <v>0</v>
      </c>
      <c r="AK26" s="35">
        <f t="shared" si="7"/>
        <v>0</v>
      </c>
      <c r="AL26" s="35">
        <f t="shared" si="7"/>
        <v>0</v>
      </c>
      <c r="AM26" s="35">
        <f t="shared" si="7"/>
        <v>0</v>
      </c>
      <c r="AN26" s="35">
        <f t="shared" si="7"/>
        <v>0</v>
      </c>
      <c r="AO26" s="35">
        <f t="shared" si="7"/>
        <v>0</v>
      </c>
      <c r="AP26" s="35">
        <f t="shared" si="7"/>
        <v>0</v>
      </c>
      <c r="AQ26" s="35">
        <f t="shared" si="7"/>
        <v>0</v>
      </c>
      <c r="AR26" s="35">
        <f t="shared" si="7"/>
        <v>0</v>
      </c>
      <c r="AS26" s="35">
        <f t="shared" si="7"/>
        <v>0</v>
      </c>
      <c r="AT26" s="35">
        <f t="shared" si="7"/>
        <v>0</v>
      </c>
      <c r="AU26" s="35">
        <f t="shared" si="7"/>
        <v>0</v>
      </c>
      <c r="AV26" s="35">
        <f t="shared" si="7"/>
        <v>0</v>
      </c>
      <c r="AW26" s="35">
        <f t="shared" si="7"/>
        <v>0</v>
      </c>
      <c r="AX26" s="35">
        <f t="shared" si="7"/>
        <v>0</v>
      </c>
      <c r="AY26" s="35">
        <f t="shared" si="7"/>
        <v>0</v>
      </c>
      <c r="AZ26" s="35">
        <f t="shared" si="7"/>
        <v>0</v>
      </c>
      <c r="BA26" s="35">
        <f t="shared" si="7"/>
        <v>0</v>
      </c>
      <c r="BB26" s="35">
        <f t="shared" si="7"/>
        <v>0</v>
      </c>
      <c r="BC26" s="35">
        <f t="shared" si="7"/>
        <v>0</v>
      </c>
      <c r="BD26" s="35">
        <f t="shared" si="7"/>
        <v>0</v>
      </c>
      <c r="BE26" s="35">
        <f t="shared" si="7"/>
        <v>0</v>
      </c>
      <c r="BF26" s="35">
        <f t="shared" si="7"/>
        <v>0</v>
      </c>
      <c r="BG26" s="35">
        <f t="shared" si="7"/>
        <v>0</v>
      </c>
      <c r="BH26" s="35">
        <f t="shared" si="7"/>
        <v>0</v>
      </c>
      <c r="BI26" s="35">
        <f t="shared" si="7"/>
        <v>0</v>
      </c>
      <c r="BJ26" s="35">
        <f t="shared" si="7"/>
        <v>0</v>
      </c>
      <c r="BK26" s="35">
        <f t="shared" si="7"/>
        <v>0</v>
      </c>
      <c r="BL26" s="35">
        <f t="shared" si="7"/>
        <v>0</v>
      </c>
      <c r="BM26" s="35">
        <f t="shared" si="7"/>
        <v>0</v>
      </c>
      <c r="BN26" s="35">
        <f t="shared" si="7"/>
        <v>0</v>
      </c>
      <c r="BO26" s="35">
        <f t="shared" si="7"/>
        <v>0</v>
      </c>
      <c r="BP26" s="35">
        <f t="shared" si="7"/>
        <v>0</v>
      </c>
    </row>
  </sheetData>
  <mergeCells count="37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BM1:BN1"/>
    <mergeCell ref="BO1:BP1"/>
    <mergeCell ref="AY1:AZ1"/>
    <mergeCell ref="BA1:BB1"/>
    <mergeCell ref="BC1:BD1"/>
    <mergeCell ref="BE1:BF1"/>
    <mergeCell ref="BG1:BH1"/>
    <mergeCell ref="BI1:BJ1"/>
    <mergeCell ref="BK1:BL1"/>
  </mergeCells>
  <drawing r:id="rId1"/>
  <tableParts count="4">
    <tablePart r:id="rId6"/>
    <tablePart r:id="rId7"/>
    <tablePart r:id="rId8"/>
    <tablePart r:id="rId9"/>
  </tableParts>
</worksheet>
</file>