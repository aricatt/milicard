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 activeTab="10"/>
  </bookViews>
  <sheets>
    <sheet name="直播间档案" sheetId="4" r:id="rId1"/>
    <sheet name="主播档案" sheetId="5" r:id="rId2"/>
    <sheet name="仓库管理" sheetId="13" state="hidden" r:id="rId3"/>
    <sheet name="产品单位" sheetId="10" r:id="rId4"/>
    <sheet name="商品（规格）" sheetId="1" r:id="rId5"/>
    <sheet name="供应商档案" sheetId="11" r:id="rId6"/>
    <sheet name="采购到货表" sheetId="2" r:id="rId7"/>
    <sheet name="调货" sheetId="3" r:id="rId8"/>
    <sheet name="直播间库存及消耗" sheetId="6" r:id="rId9"/>
    <sheet name="总仓公共仓的库存" sheetId="8" r:id="rId10"/>
    <sheet name="直播间利润" sheetId="9" r:id="rId11"/>
    <sheet name="Sheet1" sheetId="12" r:id="rId1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Administrator</author>
  </authors>
  <commentList>
    <comment ref="C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增加备注字段以防有特殊情况说明</t>
        </r>
      </text>
    </comment>
  </commentList>
</comments>
</file>

<file path=xl/comments2.xml><?xml version="1.0" encoding="utf-8"?>
<comments xmlns="http://schemas.openxmlformats.org/spreadsheetml/2006/main">
  <authors>
    <author>Administrator</author>
  </authors>
  <commentList>
    <comment ref="C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增加备注字段以防有特殊情况说明</t>
        </r>
      </text>
    </comment>
  </commentList>
</comments>
</file>

<file path=xl/comments3.xml><?xml version="1.0" encoding="utf-8"?>
<comments xmlns="http://schemas.openxmlformats.org/spreadsheetml/2006/main">
  <authors>
    <author>Administrator</author>
  </authors>
  <commentList>
    <comment ref="A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基本是卡牌类商品，是否有必要将规格写入库？</t>
        </r>
      </text>
    </comment>
  </commentList>
</comments>
</file>

<file path=xl/comments4.xml><?xml version="1.0" encoding="utf-8"?>
<comments xmlns="http://schemas.openxmlformats.org/spreadsheetml/2006/main">
  <authors>
    <author>Administrator</author>
  </authors>
  <commentList>
    <comment ref="C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增加备注字段以防有特殊情况说明</t>
        </r>
      </text>
    </comment>
  </commentList>
</comments>
</file>

<file path=xl/comments5.xml><?xml version="1.0" encoding="utf-8"?>
<comments xmlns="http://schemas.openxmlformats.org/spreadsheetml/2006/main">
  <authors>
    <author>Administrator</author>
  </authors>
  <commentList>
    <comment ref="C15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是否对应上表的单位与数量？</t>
        </r>
      </text>
    </comment>
    <comment ref="G2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每条只能选择一个单位，同一时间可输入多条，例如1箱10包，则输入两条数据。</t>
        </r>
      </text>
    </comment>
  </commentList>
</comments>
</file>

<file path=xl/sharedStrings.xml><?xml version="1.0" encoding="utf-8"?>
<sst xmlns="http://schemas.openxmlformats.org/spreadsheetml/2006/main" count="451" uniqueCount="151">
  <si>
    <t>编号</t>
  </si>
  <si>
    <t>直播间号</t>
  </si>
  <si>
    <t>备注</t>
  </si>
  <si>
    <t>自动生成</t>
  </si>
  <si>
    <t>有几个直播间我们新增直播间号：例如直播间一，供后面仓位的选择</t>
  </si>
  <si>
    <t>名称</t>
  </si>
  <si>
    <t>位置</t>
  </si>
  <si>
    <t>主播名称</t>
  </si>
  <si>
    <t>有几个主播我们新增：例如欧皇蛙拆卡（来财版），供后面调货利润等表选择</t>
  </si>
  <si>
    <t>仓库名称</t>
  </si>
  <si>
    <t>仓库位置</t>
  </si>
  <si>
    <t>单位</t>
  </si>
  <si>
    <t>我们手动新增，例如箱、盒、包、抽，供后面箱规选择</t>
  </si>
  <si>
    <t>商品编码</t>
  </si>
  <si>
    <t>商品名称</t>
  </si>
  <si>
    <t>箱规</t>
  </si>
  <si>
    <t>厂家</t>
  </si>
  <si>
    <t>零售价</t>
  </si>
  <si>
    <t>手动填</t>
  </si>
  <si>
    <t>1箱有几盒</t>
  </si>
  <si>
    <t>1盒有几包/几抽</t>
  </si>
  <si>
    <t>我们手动填数字，</t>
  </si>
  <si>
    <t>箱规（盒/箱）</t>
  </si>
  <si>
    <t>盒规（包/盒）</t>
  </si>
  <si>
    <t>零售价（元）</t>
  </si>
  <si>
    <t>一级</t>
  </si>
  <si>
    <t>二级</t>
  </si>
  <si>
    <t>三级</t>
  </si>
  <si>
    <t>百闻牌第四弹</t>
  </si>
  <si>
    <t>数量</t>
  </si>
  <si>
    <t>单位（规格）</t>
  </si>
  <si>
    <t>单位（箱规）</t>
  </si>
  <si>
    <t>单位（盒规）</t>
  </si>
  <si>
    <t>百闻牌四弹</t>
  </si>
  <si>
    <t>填写</t>
  </si>
  <si>
    <t>选择</t>
  </si>
  <si>
    <t>箱</t>
  </si>
  <si>
    <t>盒</t>
  </si>
  <si>
    <t>包</t>
  </si>
  <si>
    <t>喜羊羊吧唧</t>
  </si>
  <si>
    <t>件</t>
  </si>
  <si>
    <t>个</t>
  </si>
  <si>
    <t>供应商名称</t>
  </si>
  <si>
    <t>我们手动新增</t>
  </si>
  <si>
    <t>老板，财务可看部分</t>
  </si>
  <si>
    <t>产品名称</t>
  </si>
  <si>
    <t>拿货价</t>
  </si>
  <si>
    <t>折扣</t>
  </si>
  <si>
    <t xml:space="preserve">拿货单价
</t>
  </si>
  <si>
    <t xml:space="preserve">一包拿货单价
</t>
  </si>
  <si>
    <t xml:space="preserve">一抽拿货单价
</t>
  </si>
  <si>
    <t>金额（CNY）</t>
  </si>
  <si>
    <t>采购日期</t>
  </si>
  <si>
    <t>供应商</t>
  </si>
  <si>
    <t>是否付款</t>
  </si>
  <si>
    <t>付款日期</t>
  </si>
  <si>
    <t>付款金额</t>
  </si>
  <si>
    <t>未付款金额</t>
  </si>
  <si>
    <t>到货数量</t>
  </si>
  <si>
    <t>到货时间</t>
  </si>
  <si>
    <t>到货仓位</t>
  </si>
  <si>
    <t>到货差</t>
  </si>
  <si>
    <t>根据选择的商品名称自动跳转</t>
  </si>
  <si>
    <t>选择商品库里的商品</t>
  </si>
  <si>
    <t>提供选择项箱/盒/包（产品规格表中的）</t>
  </si>
  <si>
    <t>根据商品库的数据，选择产品名称自动匹配</t>
  </si>
  <si>
    <t>有公式=拿货价/零售价</t>
  </si>
  <si>
    <t>公式=拿货价/这个商品在商品库里填的一箱有几盒</t>
  </si>
  <si>
    <t>公式=一盒拿货价/这个商品在商品库里填的1盒有几包</t>
  </si>
  <si>
    <t>公式=一箱拿货价/这个商品在商品库里填的1箱有几抽</t>
  </si>
  <si>
    <t>公式=拿货价*拿货数量</t>
  </si>
  <si>
    <t>手动填，有日期可选择</t>
  </si>
  <si>
    <t>供应商档案可供选择</t>
  </si>
  <si>
    <t>有选项是/否</t>
  </si>
  <si>
    <t>公式=J列金额-付款金额</t>
  </si>
  <si>
    <t>直播间档案表里数据仓位可选择</t>
  </si>
  <si>
    <t>公式=拿货数量-到货数量</t>
  </si>
  <si>
    <t>001</t>
  </si>
  <si>
    <t>可输入多条，有一条采购是分几次到货的，只至到货差为0时不可再填</t>
  </si>
  <si>
    <t>运营，仓管可看部分</t>
  </si>
  <si>
    <t>拿货单位</t>
  </si>
  <si>
    <t>拿货数量</t>
  </si>
  <si>
    <t>调出仓位</t>
  </si>
  <si>
    <t>调出主播</t>
  </si>
  <si>
    <t>调入仓位</t>
  </si>
  <si>
    <t>调入主播</t>
  </si>
  <si>
    <t>调货时间</t>
  </si>
  <si>
    <t>可选择主播档案里的主播</t>
  </si>
  <si>
    <t>可选择商品库的名称</t>
  </si>
  <si>
    <t>根据产品名称在产品库里对应的供应商自动跳转</t>
  </si>
  <si>
    <t>手动填，不填也可保存</t>
  </si>
  <si>
    <t>可导入表格，可手动一条一条填</t>
  </si>
  <si>
    <t>老板、财务可看全部</t>
  </si>
  <si>
    <t>日期</t>
  </si>
  <si>
    <t>直播间仓位</t>
  </si>
  <si>
    <t>主播</t>
  </si>
  <si>
    <t>期初数量</t>
  </si>
  <si>
    <t>调入数量</t>
  </si>
  <si>
    <t>调出数量</t>
  </si>
  <si>
    <t>期末数量</t>
  </si>
  <si>
    <t>消耗数量</t>
  </si>
  <si>
    <t>单价</t>
  </si>
  <si>
    <t>消耗金额</t>
  </si>
  <si>
    <t>选择直播间档案表里的</t>
  </si>
  <si>
    <t>可选择商品库里的名称</t>
  </si>
  <si>
    <t>最开始的期初是我们手动填，后续的是前一天的期末</t>
  </si>
  <si>
    <r>
      <rPr>
        <sz val="11"/>
        <color rgb="FF000000"/>
        <rFont val="宋体"/>
        <charset val="134"/>
      </rPr>
      <t>根据采购到货表里的到货时间</t>
    </r>
    <r>
      <rPr>
        <sz val="11"/>
        <color rgb="FF000000"/>
        <rFont val="Arial"/>
        <charset val="134"/>
      </rPr>
      <t>→</t>
    </r>
    <r>
      <rPr>
        <sz val="11"/>
        <color rgb="FF000000"/>
        <rFont val="宋体"/>
        <charset val="134"/>
      </rPr>
      <t>到货仓位（=直播间物理位置）→商品名称所对应的箱数</t>
    </r>
  </si>
  <si>
    <t>根据采购到货表里的到货时间→到货仓位（=直播间屋里位置）→商品名称所对应的盒数</t>
  </si>
  <si>
    <t>根据采购到货表里的到货时间→到货仓位（=直播间屋里位置）→商品名称所对应的包数</t>
  </si>
  <si>
    <t>对应调货表里的日期→调入仓位→调入主播，主动计算</t>
  </si>
  <si>
    <t>对应调货表里的日期→调出仓位→调出主播，主动计算</t>
  </si>
  <si>
    <t>手动填写直播间库存</t>
  </si>
  <si>
    <t>公式=期初箱数+调入箱数-调出箱数-期末箱数</t>
  </si>
  <si>
    <t>公式=期初盒数+调入盒数-调出盒数-期末盒数</t>
  </si>
  <si>
    <t>公式=期初包数+调入包数-调出包数-期末包数</t>
  </si>
  <si>
    <t>采购到货表中对应的商品名称自动跳转后面的箱单价</t>
  </si>
  <si>
    <t>采购到货表中对应的商品名称自动跳转后面的盒单价</t>
  </si>
  <si>
    <t>采购到货表中对应的商品名称自动跳转后面的包单价</t>
  </si>
  <si>
    <t>公式=消耗的箱数*商品的单价+消耗的盒数*盒单价+消耗的包数*包单价</t>
  </si>
  <si>
    <t>下面有合计数</t>
  </si>
  <si>
    <t>有日期可供选择，后续查6.1-6.2，就可以看到这个期间的数据，</t>
  </si>
  <si>
    <t>运营、仓管可看数据</t>
  </si>
  <si>
    <t>直播间物理地址</t>
  </si>
  <si>
    <t>直播间名称</t>
  </si>
  <si>
    <r>
      <rPr>
        <sz val="11"/>
        <color rgb="FF000000"/>
        <rFont val="宋体"/>
        <charset val="134"/>
      </rPr>
      <t>根据采购到货表里的到货时间</t>
    </r>
    <r>
      <rPr>
        <sz val="11"/>
        <color rgb="FF000000"/>
        <rFont val="Arial"/>
        <charset val="134"/>
      </rPr>
      <t>→</t>
    </r>
    <r>
      <rPr>
        <sz val="11"/>
        <color rgb="FF000000"/>
        <rFont val="宋体"/>
        <charset val="134"/>
      </rPr>
      <t>到货仓位（=直播间屋里位置）→商品名称所对应的箱数</t>
    </r>
  </si>
  <si>
    <t xml:space="preserve"> </t>
  </si>
  <si>
    <t>期初</t>
  </si>
  <si>
    <t>金额</t>
  </si>
  <si>
    <t>根据采购到货表里的到货时间→到货仓位（=直播间屋里位置）→商品名称所对应的箱数</t>
  </si>
  <si>
    <t>根据采购到货表里的到货时间-到货仓位（=直播间屋里位置）-商品名称所对应的包数</t>
  </si>
  <si>
    <t>对应调货表里的日期-调入仓位-调入主播，主动计算</t>
  </si>
  <si>
    <t>对应调货表里的日期-调出仓位-调出主播，主动计算</t>
  </si>
  <si>
    <t>公式=期初+到货+调入-调出</t>
  </si>
  <si>
    <t>先算完期末数量，消耗=期初数量+到货数量+调入数量-期末数量</t>
  </si>
  <si>
    <t>运营、仓管可看部分</t>
  </si>
  <si>
    <t>走平台GMV</t>
  </si>
  <si>
    <t>退款金额</t>
  </si>
  <si>
    <t>走水金额</t>
  </si>
  <si>
    <t>当日销售额</t>
  </si>
  <si>
    <t>实际消耗货值</t>
  </si>
  <si>
    <t>投流费用</t>
  </si>
  <si>
    <t>平台扣点</t>
  </si>
  <si>
    <t>利润</t>
  </si>
  <si>
    <t>毛利率</t>
  </si>
  <si>
    <t>有公式=走平台GMV+走水金额-退款金额</t>
  </si>
  <si>
    <t>根据日期+主播名称匹配直播间库存及消耗表中的消耗金额</t>
  </si>
  <si>
    <t>公式=（走平台GMV-退款金额）*扣点点数</t>
  </si>
  <si>
    <t>公式=当日销售额-实际消耗货值-投流费用-平台扣点</t>
  </si>
  <si>
    <t>公式=利润/当日销售额</t>
  </si>
  <si>
    <t>有日期可供选择，后续查6.1-6.2，就可以看到这个期间汇总的数据，</t>
  </si>
  <si>
    <t>公式=拿货价/数量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</si>
</sst>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/m/d;@"/>
  </numFmts>
  <fonts count="29">
    <font>
      <sz val="11"/>
      <color theme="1"/>
      <name val="宋体"/>
      <charset val="134"/>
      <scheme val="minor"/>
    </font>
    <font>
      <sz val="11"/>
      <color rgb="FF000000"/>
      <name val="宋体"/>
      <charset val="134"/>
    </font>
    <font>
      <sz val="11"/>
      <color rgb="FFFF0000"/>
      <name val="宋体"/>
      <charset val="134"/>
    </font>
    <font>
      <sz val="10"/>
      <color rgb="FF000000"/>
      <name val="微软雅黑"/>
      <charset val="134"/>
    </font>
    <font>
      <sz val="11"/>
      <color rgb="FF000000"/>
      <name val="微软雅黑"/>
      <charset val="134"/>
    </font>
    <font>
      <sz val="11"/>
      <color rgb="FFFF0000"/>
      <name val="宋体"/>
      <charset val="134"/>
      <scheme val="minor"/>
    </font>
    <font>
      <sz val="8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0000"/>
      <name val="Arial"/>
      <charset val="134"/>
    </font>
    <font>
      <b/>
      <sz val="9"/>
      <name val="宋体"/>
      <charset val="134"/>
    </font>
    <font>
      <sz val="9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rgb="FF3E3F68"/>
      </right>
      <top/>
      <bottom style="thin">
        <color rgb="FF3E3F68"/>
      </bottom>
      <diagonal/>
    </border>
    <border>
      <left style="thin">
        <color rgb="FF3E3F68"/>
      </left>
      <right style="thin">
        <color rgb="FF3E3F68"/>
      </right>
      <top style="thin">
        <color rgb="FF3E3F68"/>
      </top>
      <bottom style="thin">
        <color rgb="FF3E3F68"/>
      </bottom>
      <diagonal/>
    </border>
    <border>
      <left style="thin">
        <color rgb="FF3E3F68"/>
      </left>
      <right style="thin">
        <color rgb="FF3E3F68"/>
      </right>
      <top/>
      <bottom style="thin">
        <color rgb="FF3E3F68"/>
      </bottom>
      <diagonal/>
    </border>
    <border>
      <left style="thin">
        <color rgb="FF3E3F68"/>
      </left>
      <right style="double">
        <color rgb="FF3E3F68"/>
      </right>
      <top/>
      <bottom style="thin">
        <color rgb="FF3E3F68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3" borderId="13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14" applyNumberFormat="0" applyFill="0" applyAlignment="0" applyProtection="0">
      <alignment vertical="center"/>
    </xf>
    <xf numFmtId="0" fontId="13" fillId="0" borderId="14" applyNumberFormat="0" applyFill="0" applyAlignment="0" applyProtection="0">
      <alignment vertical="center"/>
    </xf>
    <xf numFmtId="0" fontId="14" fillId="0" borderId="15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4" borderId="16" applyNumberFormat="0" applyAlignment="0" applyProtection="0">
      <alignment vertical="center"/>
    </xf>
    <xf numFmtId="0" fontId="16" fillId="5" borderId="17" applyNumberFormat="0" applyAlignment="0" applyProtection="0">
      <alignment vertical="center"/>
    </xf>
    <xf numFmtId="0" fontId="17" fillId="5" borderId="16" applyNumberFormat="0" applyAlignment="0" applyProtection="0">
      <alignment vertical="center"/>
    </xf>
    <xf numFmtId="0" fontId="18" fillId="6" borderId="18" applyNumberFormat="0" applyAlignment="0" applyProtection="0">
      <alignment vertical="center"/>
    </xf>
    <xf numFmtId="0" fontId="19" fillId="0" borderId="19" applyNumberFormat="0" applyFill="0" applyAlignment="0" applyProtection="0">
      <alignment vertical="center"/>
    </xf>
    <xf numFmtId="0" fontId="20" fillId="0" borderId="20" applyNumberFormat="0" applyFill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</cellStyleXfs>
  <cellXfs count="67">
    <xf numFmtId="0" fontId="0" fillId="0" borderId="0" xfId="0">
      <alignment vertical="center"/>
    </xf>
    <xf numFmtId="0" fontId="0" fillId="0" borderId="1" xfId="0" applyFill="1" applyBorder="1">
      <alignment vertical="center"/>
    </xf>
    <xf numFmtId="0" fontId="0" fillId="0" borderId="0" xfId="0" applyFill="1">
      <alignment vertical="center"/>
    </xf>
    <xf numFmtId="0" fontId="0" fillId="2" borderId="1" xfId="0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9" fontId="2" fillId="0" borderId="1" xfId="0" applyNumberFormat="1" applyFont="1" applyFill="1" applyBorder="1" applyAlignment="1">
      <alignment horizontal="center" vertical="center"/>
    </xf>
    <xf numFmtId="0" fontId="0" fillId="0" borderId="0" xfId="0" applyFill="1" applyAlignment="1">
      <alignment horizontal="center" vertical="center" wrapText="1"/>
    </xf>
    <xf numFmtId="0" fontId="3" fillId="0" borderId="0" xfId="0" applyFont="1" applyFill="1" applyBorder="1" applyAlignment="1">
      <alignment horizontal="center" vertical="center" wrapText="1"/>
    </xf>
    <xf numFmtId="0" fontId="3" fillId="0" borderId="0" xfId="0" applyFont="1" applyFill="1" applyBorder="1" applyAlignment="1">
      <alignment horizontal="center" vertical="center"/>
    </xf>
    <xf numFmtId="10" fontId="1" fillId="0" borderId="0" xfId="0" applyNumberFormat="1" applyFont="1" applyFill="1" applyBorder="1" applyAlignment="1">
      <alignment horizontal="center" vertical="center" wrapText="1"/>
    </xf>
    <xf numFmtId="0" fontId="1" fillId="0" borderId="0" xfId="0" applyFont="1" applyFill="1" applyBorder="1" applyAlignment="1">
      <alignment horizontal="center" vertical="center" wrapText="1"/>
    </xf>
    <xf numFmtId="0" fontId="3" fillId="0" borderId="0" xfId="0" applyFont="1" applyFill="1" applyAlignment="1">
      <alignment horizontal="center" vertical="center" wrapText="1"/>
    </xf>
    <xf numFmtId="0" fontId="3" fillId="0" borderId="0" xfId="0" applyFont="1" applyFill="1" applyAlignment="1">
      <alignment horizontal="center" vertical="center"/>
    </xf>
    <xf numFmtId="10" fontId="1" fillId="0" borderId="0" xfId="0" applyNumberFormat="1" applyFont="1" applyFill="1" applyAlignment="1">
      <alignment horizontal="center" vertical="center" wrapText="1"/>
    </xf>
    <xf numFmtId="0" fontId="1" fillId="0" borderId="0" xfId="0" applyFont="1" applyFill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58" fontId="3" fillId="0" borderId="0" xfId="0" applyNumberFormat="1" applyFont="1" applyFill="1" applyAlignment="1">
      <alignment horizontal="center" vertical="center" wrapText="1"/>
    </xf>
    <xf numFmtId="0" fontId="4" fillId="2" borderId="2" xfId="0" applyFont="1" applyFill="1" applyBorder="1">
      <alignment vertical="center"/>
    </xf>
    <xf numFmtId="0" fontId="4" fillId="2" borderId="3" xfId="0" applyFont="1" applyFill="1" applyBorder="1">
      <alignment vertical="center"/>
    </xf>
    <xf numFmtId="0" fontId="4" fillId="2" borderId="4" xfId="0" applyFont="1" applyFill="1" applyBorder="1">
      <alignment vertical="center"/>
    </xf>
    <xf numFmtId="43" fontId="4" fillId="0" borderId="4" xfId="0" applyNumberFormat="1" applyFont="1" applyBorder="1">
      <alignment vertical="center"/>
    </xf>
    <xf numFmtId="0" fontId="4" fillId="0" borderId="4" xfId="0" applyFont="1" applyBorder="1">
      <alignment vertical="center"/>
    </xf>
    <xf numFmtId="43" fontId="4" fillId="2" borderId="4" xfId="0" applyNumberFormat="1" applyFont="1" applyFill="1" applyBorder="1">
      <alignment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43" fontId="4" fillId="0" borderId="4" xfId="0" applyNumberFormat="1" applyFont="1" applyBorder="1" applyAlignment="1">
      <alignment horizontal="center" vertical="center"/>
    </xf>
    <xf numFmtId="10" fontId="4" fillId="0" borderId="5" xfId="0" applyNumberFormat="1" applyFont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1" fillId="0" borderId="0" xfId="0" applyFont="1" applyFill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1" fillId="0" borderId="8" xfId="0" applyFont="1" applyFill="1" applyBorder="1" applyAlignment="1">
      <alignment horizontal="center" vertical="center"/>
    </xf>
    <xf numFmtId="0" fontId="1" fillId="2" borderId="9" xfId="0" applyFont="1" applyFill="1" applyBorder="1">
      <alignment vertical="center"/>
    </xf>
    <xf numFmtId="0" fontId="1" fillId="2" borderId="10" xfId="0" applyFont="1" applyFill="1" applyBorder="1">
      <alignment vertical="center"/>
    </xf>
    <xf numFmtId="0" fontId="1" fillId="0" borderId="10" xfId="0" applyFont="1" applyBorder="1">
      <alignment vertical="center"/>
    </xf>
    <xf numFmtId="0" fontId="1" fillId="0" borderId="11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1" fillId="0" borderId="8" xfId="0" applyFont="1" applyBorder="1" applyAlignment="1">
      <alignment horizontal="center" vertical="center"/>
    </xf>
    <xf numFmtId="0" fontId="1" fillId="0" borderId="10" xfId="0" applyFont="1" applyFill="1" applyBorder="1">
      <alignment vertical="center"/>
    </xf>
    <xf numFmtId="0" fontId="1" fillId="0" borderId="12" xfId="0" applyFont="1" applyFill="1" applyBorder="1">
      <alignment vertical="center"/>
    </xf>
    <xf numFmtId="0" fontId="1" fillId="0" borderId="11" xfId="0" applyFont="1" applyBorder="1" applyAlignment="1">
      <alignment vertical="center"/>
    </xf>
    <xf numFmtId="0" fontId="1" fillId="0" borderId="0" xfId="0" applyFont="1" applyAlignment="1">
      <alignment vertical="center"/>
    </xf>
    <xf numFmtId="0" fontId="0" fillId="0" borderId="0" xfId="0" applyAlignment="1">
      <alignment vertical="center"/>
    </xf>
    <xf numFmtId="0" fontId="1" fillId="2" borderId="9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left" vertical="center"/>
    </xf>
    <xf numFmtId="0" fontId="1" fillId="2" borderId="10" xfId="0" applyFont="1" applyFill="1" applyBorder="1" applyAlignment="1">
      <alignment horizontal="center" vertical="center"/>
    </xf>
    <xf numFmtId="176" fontId="1" fillId="2" borderId="6" xfId="0" applyNumberFormat="1" applyFont="1" applyFill="1" applyBorder="1" applyAlignment="1">
      <alignment horizontal="left" vertical="center"/>
    </xf>
    <xf numFmtId="0" fontId="5" fillId="0" borderId="0" xfId="0" applyFont="1" applyFill="1" applyAlignment="1">
      <alignment horizontal="center" vertical="center"/>
    </xf>
    <xf numFmtId="0" fontId="0" fillId="0" borderId="0" xfId="0" applyFill="1" applyAlignment="1">
      <alignment vertical="center"/>
    </xf>
    <xf numFmtId="58" fontId="3" fillId="0" borderId="0" xfId="0" applyNumberFormat="1" applyFont="1" applyFill="1" applyBorder="1" applyAlignment="1">
      <alignment horizontal="center" vertical="center"/>
    </xf>
    <xf numFmtId="58" fontId="3" fillId="0" borderId="0" xfId="0" applyNumberFormat="1" applyFont="1" applyFill="1" applyAlignment="1">
      <alignment horizontal="center" vertical="center"/>
    </xf>
    <xf numFmtId="0" fontId="0" fillId="2" borderId="0" xfId="0" applyFill="1">
      <alignment vertical="center"/>
    </xf>
    <xf numFmtId="0" fontId="5" fillId="0" borderId="0" xfId="0" applyFont="1">
      <alignment vertical="center"/>
    </xf>
    <xf numFmtId="0" fontId="5" fillId="0" borderId="0" xfId="0" applyFont="1" applyAlignment="1">
      <alignment horizontal="left" vertical="center"/>
    </xf>
    <xf numFmtId="0" fontId="0" fillId="2" borderId="0" xfId="0" applyFill="1" applyAlignment="1">
      <alignment horizontal="center" vertical="center"/>
    </xf>
    <xf numFmtId="0" fontId="0" fillId="0" borderId="0" xfId="0" applyAlignment="1">
      <alignment vertical="center" wrapText="1"/>
    </xf>
    <xf numFmtId="0" fontId="5" fillId="0" borderId="1" xfId="0" applyFont="1" applyBorder="1" applyAlignment="1">
      <alignment horizontal="left" vertical="center"/>
    </xf>
    <xf numFmtId="0" fontId="6" fillId="0" borderId="0" xfId="0" applyFont="1">
      <alignment vertical="center"/>
    </xf>
    <xf numFmtId="0" fontId="0" fillId="0" borderId="1" xfId="0" applyBorder="1">
      <alignment vertical="center"/>
    </xf>
    <xf numFmtId="0" fontId="0" fillId="0" borderId="0" xfId="0" applyAlignment="1">
      <alignment horizontal="left" vertical="center"/>
    </xf>
    <xf numFmtId="0" fontId="0" fillId="0" borderId="0" xfId="0" applyFill="1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6" Type="http://www.wps.cn/officeDocument/2023/relationships/customStorage" Target="customStorage/customStorage.xml"/><Relationship Id="rId15" Type="http://schemas.openxmlformats.org/officeDocument/2006/relationships/styles" Target="styles.xml"/><Relationship Id="rId14" Type="http://schemas.openxmlformats.org/officeDocument/2006/relationships/sharedStrings" Target="sharedStrings.xml"/><Relationship Id="rId13" Type="http://schemas.openxmlformats.org/officeDocument/2006/relationships/theme" Target="theme/theme1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comments" Target="../comments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.vml"/><Relationship Id="rId1" Type="http://schemas.openxmlformats.org/officeDocument/2006/relationships/comments" Target="../comments3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4.vml"/><Relationship Id="rId1" Type="http://schemas.openxmlformats.org/officeDocument/2006/relationships/comments" Target="../comments4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5.vml"/><Relationship Id="rId1" Type="http://schemas.openxmlformats.org/officeDocument/2006/relationships/comments" Target="../comments5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2"/>
  <sheetViews>
    <sheetView workbookViewId="0">
      <selection activeCell="D19" sqref="D19"/>
    </sheetView>
  </sheetViews>
  <sheetFormatPr defaultColWidth="8.89166666666667" defaultRowHeight="13.5" outlineLevelCol="3"/>
  <cols>
    <col min="1" max="1" width="12.775" customWidth="1"/>
    <col min="2" max="2" width="20.225" customWidth="1"/>
    <col min="3" max="3" width="18.25" customWidth="1"/>
    <col min="4" max="4" width="13.25" customWidth="1"/>
  </cols>
  <sheetData>
    <row r="1" spans="1:3">
      <c r="A1" t="s">
        <v>0</v>
      </c>
      <c r="B1" s="58" t="s">
        <v>1</v>
      </c>
      <c r="C1" s="59" t="s">
        <v>2</v>
      </c>
    </row>
    <row r="3" spans="1:2">
      <c r="A3" t="s">
        <v>3</v>
      </c>
      <c r="B3" t="s">
        <v>4</v>
      </c>
    </row>
    <row r="10" spans="1:4">
      <c r="A10" t="s">
        <v>0</v>
      </c>
      <c r="B10" t="s">
        <v>5</v>
      </c>
      <c r="C10" t="s">
        <v>6</v>
      </c>
      <c r="D10" t="s">
        <v>2</v>
      </c>
    </row>
    <row r="11" spans="1:3">
      <c r="A11" t="s">
        <v>3</v>
      </c>
      <c r="C11">
        <v>505</v>
      </c>
    </row>
    <row r="12" spans="1:3">
      <c r="A12" t="s">
        <v>3</v>
      </c>
      <c r="C12">
        <v>506</v>
      </c>
    </row>
  </sheetData>
  <pageMargins left="0.75" right="0.75" top="1" bottom="1" header="0.5" footer="0.5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4"/>
  <sheetViews>
    <sheetView workbookViewId="0">
      <selection activeCell="C12" sqref="C12"/>
    </sheetView>
  </sheetViews>
  <sheetFormatPr defaultColWidth="19.25" defaultRowHeight="13.5" outlineLevelRow="3" outlineLevelCol="2"/>
  <cols>
    <col min="1" max="16384" width="19.25" customWidth="1"/>
  </cols>
  <sheetData>
    <row r="1" spans="1:3">
      <c r="A1" t="s">
        <v>0</v>
      </c>
      <c r="B1" s="58" t="s">
        <v>7</v>
      </c>
      <c r="C1" s="59" t="s">
        <v>2</v>
      </c>
    </row>
    <row r="4" spans="1:2">
      <c r="A4" t="s">
        <v>3</v>
      </c>
      <c r="B4" t="s">
        <v>8</v>
      </c>
    </row>
  </sheetData>
  <pageMargins left="0.75" right="0.75" top="1" bottom="1" header="0.5" footer="0.5"/>
  <headerFooter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"/>
  <sheetViews>
    <sheetView workbookViewId="0">
      <selection activeCell="A1" sqref="A1:C1"/>
    </sheetView>
  </sheetViews>
  <sheetFormatPr defaultColWidth="16.125" defaultRowHeight="13.5" outlineLevelCol="3"/>
  <cols>
    <col min="2" max="2" width="16.125" customWidth="1"/>
    <col min="3" max="3" width="46.375" customWidth="1"/>
    <col min="4" max="16384" width="16.125" customWidth="1"/>
  </cols>
  <sheetData>
    <row r="1" spans="1:4">
      <c r="A1" t="s">
        <v>0</v>
      </c>
      <c r="B1" t="s">
        <v>9</v>
      </c>
      <c r="C1" t="s">
        <v>10</v>
      </c>
      <c r="D1" t="s">
        <v>2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3"/>
  <sheetViews>
    <sheetView workbookViewId="0">
      <selection activeCell="D9" sqref="D9"/>
    </sheetView>
  </sheetViews>
  <sheetFormatPr defaultColWidth="8.89166666666667" defaultRowHeight="13.5" outlineLevelRow="2" outlineLevelCol="1"/>
  <sheetData>
    <row r="1" spans="1:2">
      <c r="A1" t="s">
        <v>0</v>
      </c>
      <c r="B1" s="58" t="s">
        <v>11</v>
      </c>
    </row>
    <row r="3" spans="1:2">
      <c r="A3" t="s">
        <v>3</v>
      </c>
      <c r="B3" t="s">
        <v>12</v>
      </c>
    </row>
  </sheetData>
  <pageMargins left="0.75" right="0.75" top="1" bottom="1" header="0.5" footer="0.5"/>
  <headerFooter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Q17"/>
  <sheetViews>
    <sheetView workbookViewId="0">
      <selection activeCell="N10" sqref="N10"/>
    </sheetView>
  </sheetViews>
  <sheetFormatPr defaultColWidth="8.89166666666667" defaultRowHeight="13.5"/>
  <cols>
    <col min="1" max="1" width="13.875" customWidth="1"/>
    <col min="2" max="2" width="31.1083333333333" customWidth="1"/>
    <col min="3" max="3" width="12.5" customWidth="1"/>
    <col min="4" max="4" width="12.375" customWidth="1"/>
    <col min="6" max="6" width="13.875" customWidth="1"/>
    <col min="8" max="8" width="14.75" customWidth="1"/>
    <col min="9" max="9" width="22.625" customWidth="1"/>
    <col min="11" max="11" width="12.5" customWidth="1"/>
    <col min="13" max="13" width="12.5" customWidth="1"/>
    <col min="14" max="14" width="12.875" customWidth="1"/>
    <col min="15" max="15" width="11.875" customWidth="1"/>
  </cols>
  <sheetData>
    <row r="2" spans="1:6">
      <c r="A2" s="49" t="s">
        <v>13</v>
      </c>
      <c r="B2" s="58" t="s">
        <v>14</v>
      </c>
      <c r="C2" s="61" t="s">
        <v>15</v>
      </c>
      <c r="D2" s="61"/>
      <c r="E2" s="61" t="s">
        <v>16</v>
      </c>
      <c r="F2" s="58" t="s">
        <v>17</v>
      </c>
    </row>
    <row r="3" ht="27" spans="1:7">
      <c r="A3" s="49" t="s">
        <v>3</v>
      </c>
      <c r="B3" s="62" t="s">
        <v>18</v>
      </c>
      <c r="C3" s="62" t="s">
        <v>19</v>
      </c>
      <c r="D3" s="62" t="s">
        <v>20</v>
      </c>
      <c r="E3" s="62" t="s">
        <v>18</v>
      </c>
      <c r="F3" s="62" t="s">
        <v>18</v>
      </c>
      <c r="G3" s="62"/>
    </row>
    <row r="4" spans="3:5">
      <c r="C4" s="28" t="s">
        <v>21</v>
      </c>
      <c r="D4" s="28"/>
      <c r="E4" s="28"/>
    </row>
    <row r="5" customFormat="1" spans="3:5">
      <c r="C5" s="28"/>
      <c r="D5" s="28"/>
      <c r="E5" s="28"/>
    </row>
    <row r="6" s="60" customFormat="1" spans="1:17">
      <c r="A6" s="63" t="s">
        <v>0</v>
      </c>
      <c r="B6" s="63" t="s">
        <v>14</v>
      </c>
      <c r="C6" s="63" t="s">
        <v>22</v>
      </c>
      <c r="D6" s="63" t="s">
        <v>23</v>
      </c>
      <c r="E6" s="63" t="s">
        <v>16</v>
      </c>
      <c r="F6" s="63" t="s">
        <v>24</v>
      </c>
      <c r="H6"/>
      <c r="I6"/>
      <c r="J6" s="28" t="s">
        <v>25</v>
      </c>
      <c r="K6" s="28"/>
      <c r="L6" s="28" t="s">
        <v>26</v>
      </c>
      <c r="M6" s="28"/>
      <c r="N6" s="28" t="s">
        <v>27</v>
      </c>
      <c r="O6" s="28"/>
      <c r="P6"/>
      <c r="Q6"/>
    </row>
    <row r="7" s="60" customFormat="1" spans="1:17">
      <c r="A7" s="63">
        <v>20250619001</v>
      </c>
      <c r="B7" s="63" t="s">
        <v>28</v>
      </c>
      <c r="C7" s="63">
        <v>24</v>
      </c>
      <c r="D7" s="63">
        <v>6</v>
      </c>
      <c r="E7" s="63"/>
      <c r="F7" s="63"/>
      <c r="H7" s="63" t="s">
        <v>0</v>
      </c>
      <c r="I7" s="63" t="s">
        <v>14</v>
      </c>
      <c r="J7" s="65" t="s">
        <v>29</v>
      </c>
      <c r="K7" s="65" t="s">
        <v>30</v>
      </c>
      <c r="L7" s="65" t="s">
        <v>29</v>
      </c>
      <c r="M7" s="65" t="s">
        <v>31</v>
      </c>
      <c r="N7" s="65" t="s">
        <v>29</v>
      </c>
      <c r="O7" s="65" t="s">
        <v>32</v>
      </c>
      <c r="P7" s="63" t="s">
        <v>16</v>
      </c>
      <c r="Q7" s="63" t="s">
        <v>24</v>
      </c>
    </row>
    <row r="8" spans="8:17">
      <c r="H8" s="63">
        <v>20250619001</v>
      </c>
      <c r="I8" s="63" t="s">
        <v>33</v>
      </c>
      <c r="J8" s="65" t="s">
        <v>34</v>
      </c>
      <c r="K8" s="65" t="s">
        <v>35</v>
      </c>
      <c r="L8" s="65" t="s">
        <v>34</v>
      </c>
      <c r="M8" s="65" t="s">
        <v>35</v>
      </c>
      <c r="N8" s="65" t="s">
        <v>34</v>
      </c>
      <c r="O8" s="65" t="s">
        <v>35</v>
      </c>
      <c r="P8" s="65" t="s">
        <v>34</v>
      </c>
      <c r="Q8" s="65" t="s">
        <v>34</v>
      </c>
    </row>
    <row r="9" spans="8:17">
      <c r="H9" s="63">
        <v>20250619001</v>
      </c>
      <c r="I9" s="63" t="s">
        <v>33</v>
      </c>
      <c r="J9" s="66">
        <v>1</v>
      </c>
      <c r="K9" s="66" t="s">
        <v>36</v>
      </c>
      <c r="L9" s="66">
        <v>24</v>
      </c>
      <c r="M9" s="66" t="s">
        <v>37</v>
      </c>
      <c r="N9" s="66">
        <v>6</v>
      </c>
      <c r="O9" s="66" t="s">
        <v>38</v>
      </c>
      <c r="Q9">
        <v>4200</v>
      </c>
    </row>
    <row r="10" spans="9:15">
      <c r="I10" t="s">
        <v>39</v>
      </c>
      <c r="J10">
        <v>1</v>
      </c>
      <c r="K10" s="66" t="s">
        <v>36</v>
      </c>
      <c r="L10" s="66">
        <v>36</v>
      </c>
      <c r="M10" s="66" t="s">
        <v>40</v>
      </c>
      <c r="N10" s="66">
        <v>1</v>
      </c>
      <c r="O10" s="66" t="s">
        <v>41</v>
      </c>
    </row>
    <row r="17" spans="8:8">
      <c r="H17" s="64"/>
    </row>
  </sheetData>
  <mergeCells count="5">
    <mergeCell ref="C2:D2"/>
    <mergeCell ref="C4:D4"/>
    <mergeCell ref="J6:K6"/>
    <mergeCell ref="L6:M6"/>
    <mergeCell ref="N6:O6"/>
  </mergeCells>
  <dataValidations count="1">
    <dataValidation type="list" allowBlank="1" showInputMessage="1" showErrorMessage="1" sqref="K9:K10 M9:M10 O9:O10">
      <formula1>"箱,盒,抽,包,个,件"</formula1>
    </dataValidation>
  </dataValidations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C1" sqref="C1"/>
    </sheetView>
  </sheetViews>
  <sheetFormatPr defaultColWidth="8.89166666666667" defaultRowHeight="13.5" outlineLevelRow="2" outlineLevelCol="2"/>
  <cols>
    <col min="1" max="1" width="13.125" customWidth="1"/>
    <col min="2" max="2" width="17" customWidth="1"/>
  </cols>
  <sheetData>
    <row r="1" spans="1:3">
      <c r="A1" t="s">
        <v>0</v>
      </c>
      <c r="B1" s="58" t="s">
        <v>42</v>
      </c>
      <c r="C1" s="59" t="s">
        <v>2</v>
      </c>
    </row>
    <row r="3" spans="1:2">
      <c r="A3" t="s">
        <v>3</v>
      </c>
      <c r="B3" t="s">
        <v>43</v>
      </c>
    </row>
  </sheetData>
  <pageMargins left="0.75" right="0.75" top="1" bottom="1" header="0.5" footer="0.5"/>
  <headerFooter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21"/>
  <sheetViews>
    <sheetView workbookViewId="0">
      <selection activeCell="P23" sqref="P23"/>
    </sheetView>
  </sheetViews>
  <sheetFormatPr defaultColWidth="8.89166666666667" defaultRowHeight="13.5"/>
  <cols>
    <col min="1" max="1" width="8.10833333333333" style="2" customWidth="1"/>
    <col min="2" max="2" width="23.6666666666667" style="2" customWidth="1"/>
    <col min="3" max="6" width="8.89166666666667" style="2"/>
    <col min="7" max="7" width="12.625" style="2"/>
    <col min="8" max="8" width="15.4416666666667" style="2" customWidth="1"/>
    <col min="9" max="10" width="17.8916666666667" style="2" hidden="1" customWidth="1"/>
    <col min="11" max="20" width="8.89166666666667" style="2"/>
    <col min="21" max="21" width="19.5583333333333" style="2" customWidth="1"/>
    <col min="22" max="16384" width="8.89166666666667" style="2"/>
  </cols>
  <sheetData>
    <row r="1" spans="1:21">
      <c r="A1" s="54" t="s">
        <v>44</v>
      </c>
      <c r="B1" s="54"/>
      <c r="C1" s="54"/>
      <c r="D1" s="54"/>
      <c r="E1" s="54"/>
      <c r="F1" s="54"/>
      <c r="G1" s="54"/>
      <c r="H1" s="54"/>
      <c r="I1" s="54"/>
      <c r="J1" s="54"/>
      <c r="K1" s="54"/>
      <c r="L1" s="54"/>
      <c r="M1" s="54"/>
      <c r="N1" s="54"/>
      <c r="O1" s="54"/>
      <c r="P1" s="54"/>
      <c r="Q1" s="54"/>
      <c r="R1" s="54"/>
      <c r="S1" s="54"/>
      <c r="T1" s="54"/>
      <c r="U1" s="54"/>
    </row>
    <row r="2" s="1" customFormat="1" ht="43.2" customHeight="1" spans="1:21">
      <c r="A2" s="3" t="s">
        <v>13</v>
      </c>
      <c r="B2" s="4" t="s">
        <v>45</v>
      </c>
      <c r="C2" s="4" t="s">
        <v>11</v>
      </c>
      <c r="D2" s="4" t="s">
        <v>29</v>
      </c>
      <c r="E2" s="5" t="s">
        <v>17</v>
      </c>
      <c r="F2" s="6" t="s">
        <v>46</v>
      </c>
      <c r="G2" s="7" t="s">
        <v>47</v>
      </c>
      <c r="H2" s="5" t="s">
        <v>48</v>
      </c>
      <c r="I2" s="5" t="s">
        <v>49</v>
      </c>
      <c r="J2" s="5" t="s">
        <v>50</v>
      </c>
      <c r="K2" s="17" t="s">
        <v>51</v>
      </c>
      <c r="L2" s="4" t="s">
        <v>52</v>
      </c>
      <c r="M2" s="4" t="s">
        <v>53</v>
      </c>
      <c r="N2" s="18" t="s">
        <v>54</v>
      </c>
      <c r="O2" s="18" t="s">
        <v>55</v>
      </c>
      <c r="P2" s="18" t="s">
        <v>56</v>
      </c>
      <c r="Q2" s="17" t="s">
        <v>57</v>
      </c>
      <c r="R2" s="4" t="s">
        <v>58</v>
      </c>
      <c r="S2" s="4" t="s">
        <v>59</v>
      </c>
      <c r="T2" s="4" t="s">
        <v>60</v>
      </c>
      <c r="U2" s="19" t="s">
        <v>61</v>
      </c>
    </row>
    <row r="3" s="1" customFormat="1" spans="1:21">
      <c r="A3" s="3"/>
      <c r="B3" s="4"/>
      <c r="C3" s="4"/>
      <c r="D3" s="4"/>
      <c r="E3" s="5"/>
      <c r="F3" s="6"/>
      <c r="G3" s="7"/>
      <c r="H3" s="5"/>
      <c r="I3" s="5"/>
      <c r="J3" s="5"/>
      <c r="K3" s="17"/>
      <c r="L3" s="4"/>
      <c r="M3" s="4"/>
      <c r="N3" s="18"/>
      <c r="O3" s="18"/>
      <c r="P3" s="18"/>
      <c r="Q3" s="17"/>
      <c r="R3" s="4"/>
      <c r="S3" s="4"/>
      <c r="T3" s="4"/>
      <c r="U3" s="19"/>
    </row>
    <row r="4" spans="1:21">
      <c r="A4" s="8" t="s">
        <v>62</v>
      </c>
      <c r="B4" s="9" t="s">
        <v>63</v>
      </c>
      <c r="C4" s="9" t="s">
        <v>64</v>
      </c>
      <c r="D4" s="10" t="s">
        <v>18</v>
      </c>
      <c r="E4" s="10" t="s">
        <v>65</v>
      </c>
      <c r="F4" s="10" t="s">
        <v>18</v>
      </c>
      <c r="G4" s="11" t="s">
        <v>66</v>
      </c>
      <c r="H4" s="12" t="s">
        <v>67</v>
      </c>
      <c r="I4" s="12" t="s">
        <v>68</v>
      </c>
      <c r="J4" s="12" t="s">
        <v>69</v>
      </c>
      <c r="K4" s="12" t="s">
        <v>70</v>
      </c>
      <c r="L4" s="9" t="s">
        <v>71</v>
      </c>
      <c r="M4" s="10" t="s">
        <v>72</v>
      </c>
      <c r="N4" s="9" t="s">
        <v>73</v>
      </c>
      <c r="O4" s="9" t="s">
        <v>71</v>
      </c>
      <c r="P4" s="10" t="s">
        <v>18</v>
      </c>
      <c r="Q4" s="9" t="s">
        <v>74</v>
      </c>
      <c r="R4" s="10" t="s">
        <v>18</v>
      </c>
      <c r="S4" s="9" t="s">
        <v>71</v>
      </c>
      <c r="T4" s="20" t="s">
        <v>75</v>
      </c>
      <c r="U4" s="20" t="s">
        <v>76</v>
      </c>
    </row>
    <row r="5" spans="1:21">
      <c r="A5" s="8"/>
      <c r="B5" s="13"/>
      <c r="C5" s="13"/>
      <c r="D5" s="14"/>
      <c r="E5" s="14"/>
      <c r="F5" s="14"/>
      <c r="G5" s="15"/>
      <c r="H5" s="16"/>
      <c r="I5" s="16"/>
      <c r="J5" s="16"/>
      <c r="K5" s="16"/>
      <c r="L5" s="13"/>
      <c r="M5" s="14"/>
      <c r="N5" s="13"/>
      <c r="O5" s="13"/>
      <c r="P5" s="14"/>
      <c r="Q5" s="13"/>
      <c r="R5" s="14"/>
      <c r="S5" s="13"/>
      <c r="T5" s="20"/>
      <c r="U5" s="20"/>
    </row>
    <row r="6" ht="66" customHeight="1" spans="2:21">
      <c r="B6" s="13"/>
      <c r="C6" s="13"/>
      <c r="D6" s="14"/>
      <c r="E6" s="14"/>
      <c r="F6" s="14"/>
      <c r="G6" s="15"/>
      <c r="H6" s="16"/>
      <c r="I6" s="16"/>
      <c r="J6" s="16"/>
      <c r="K6" s="16"/>
      <c r="L6" s="13"/>
      <c r="M6" s="14"/>
      <c r="N6" s="13"/>
      <c r="O6" s="13"/>
      <c r="P6" s="14"/>
      <c r="Q6" s="13"/>
      <c r="R6" s="14"/>
      <c r="S6" s="13"/>
      <c r="T6" s="20"/>
      <c r="U6" s="20"/>
    </row>
    <row r="7" spans="1:8">
      <c r="A7" s="67" t="s">
        <v>77</v>
      </c>
      <c r="B7" s="2" t="s">
        <v>33</v>
      </c>
      <c r="C7" s="2" t="s">
        <v>37</v>
      </c>
      <c r="D7" s="2">
        <v>36</v>
      </c>
      <c r="E7" s="2">
        <v>4200</v>
      </c>
      <c r="F7" s="2">
        <v>2800</v>
      </c>
      <c r="G7" s="2">
        <f>F7/E7</f>
        <v>0.666666666666667</v>
      </c>
      <c r="H7" s="2">
        <f>F7/24</f>
        <v>116.666666666667</v>
      </c>
    </row>
    <row r="8" spans="2:21">
      <c r="B8" s="2" t="s">
        <v>33</v>
      </c>
      <c r="C8" s="2" t="s">
        <v>37</v>
      </c>
      <c r="D8" s="2">
        <v>100</v>
      </c>
      <c r="E8" s="2">
        <v>4200</v>
      </c>
      <c r="F8" s="2">
        <v>3000</v>
      </c>
      <c r="G8" s="2">
        <f>F8/E8</f>
        <v>0.714285714285714</v>
      </c>
      <c r="H8" s="2">
        <f>F8/24/6</f>
        <v>20.8333333333333</v>
      </c>
      <c r="R8" s="55" t="s">
        <v>78</v>
      </c>
      <c r="S8" s="55"/>
      <c r="T8" s="55"/>
      <c r="U8" s="55"/>
    </row>
    <row r="14" spans="1:21">
      <c r="A14" s="54" t="s">
        <v>79</v>
      </c>
      <c r="B14" s="54"/>
      <c r="C14" s="54"/>
      <c r="D14" s="54"/>
      <c r="E14" s="54"/>
      <c r="F14" s="54"/>
      <c r="G14" s="54"/>
      <c r="H14" s="54"/>
      <c r="I14" s="54"/>
      <c r="J14" s="54"/>
      <c r="K14" s="54"/>
      <c r="L14" s="54"/>
      <c r="M14" s="54"/>
      <c r="N14" s="54"/>
      <c r="O14" s="54"/>
      <c r="P14" s="54"/>
      <c r="Q14" s="54"/>
      <c r="R14" s="54"/>
      <c r="S14" s="54"/>
      <c r="T14" s="54"/>
      <c r="U14" s="54"/>
    </row>
    <row r="15" s="1" customFormat="1" ht="43.2" customHeight="1" spans="1:15">
      <c r="A15" s="3" t="s">
        <v>13</v>
      </c>
      <c r="B15" s="4" t="s">
        <v>45</v>
      </c>
      <c r="C15" s="4" t="s">
        <v>80</v>
      </c>
      <c r="D15" s="4" t="s">
        <v>81</v>
      </c>
      <c r="E15" s="4" t="s">
        <v>52</v>
      </c>
      <c r="F15" s="4" t="s">
        <v>53</v>
      </c>
      <c r="G15" s="4" t="s">
        <v>58</v>
      </c>
      <c r="H15" s="4" t="s">
        <v>59</v>
      </c>
      <c r="I15" s="4" t="s">
        <v>60</v>
      </c>
      <c r="J15" s="4"/>
      <c r="K15" s="19" t="s">
        <v>61</v>
      </c>
      <c r="L15" s="19"/>
      <c r="M15" s="19"/>
      <c r="N15" s="19"/>
      <c r="O15" s="19"/>
    </row>
    <row r="16" s="1" customFormat="1" spans="1:15">
      <c r="A16" s="3"/>
      <c r="B16" s="4"/>
      <c r="C16" s="4"/>
      <c r="D16" s="4"/>
      <c r="E16" s="4"/>
      <c r="F16" s="4"/>
      <c r="G16" s="4"/>
      <c r="H16" s="4"/>
      <c r="I16" s="4"/>
      <c r="J16" s="4"/>
      <c r="K16" s="19"/>
      <c r="L16" s="19"/>
      <c r="M16" s="19"/>
      <c r="N16" s="19"/>
      <c r="O16" s="19"/>
    </row>
    <row r="17" ht="16.5" spans="1:15">
      <c r="A17" s="8" t="s">
        <v>62</v>
      </c>
      <c r="B17" s="9" t="s">
        <v>63</v>
      </c>
      <c r="C17" s="9" t="s">
        <v>64</v>
      </c>
      <c r="D17" s="10" t="s">
        <v>18</v>
      </c>
      <c r="E17" s="10" t="s">
        <v>18</v>
      </c>
      <c r="F17" s="10" t="s">
        <v>72</v>
      </c>
      <c r="G17" s="10" t="s">
        <v>18</v>
      </c>
      <c r="H17" s="9" t="s">
        <v>71</v>
      </c>
      <c r="I17" s="20" t="s">
        <v>75</v>
      </c>
      <c r="J17" s="20"/>
      <c r="K17" s="20" t="s">
        <v>76</v>
      </c>
      <c r="L17" s="10"/>
      <c r="M17" s="56"/>
      <c r="N17" s="20"/>
      <c r="O17" s="20"/>
    </row>
    <row r="18" ht="16.5" spans="1:15">
      <c r="A18" s="8"/>
      <c r="B18" s="13"/>
      <c r="C18" s="13"/>
      <c r="D18" s="14"/>
      <c r="E18" s="14"/>
      <c r="F18" s="14"/>
      <c r="G18" s="14"/>
      <c r="H18" s="13"/>
      <c r="I18" s="20"/>
      <c r="J18" s="20"/>
      <c r="K18" s="20"/>
      <c r="L18" s="14"/>
      <c r="M18" s="57"/>
      <c r="N18" s="20"/>
      <c r="O18" s="20"/>
    </row>
    <row r="19" ht="16.5" spans="2:15">
      <c r="B19" s="13"/>
      <c r="C19" s="13"/>
      <c r="D19" s="14"/>
      <c r="E19" s="14"/>
      <c r="F19" s="14"/>
      <c r="G19" s="14"/>
      <c r="H19" s="13"/>
      <c r="I19" s="20"/>
      <c r="J19" s="20"/>
      <c r="K19" s="20"/>
      <c r="L19" s="14"/>
      <c r="M19" s="57"/>
      <c r="N19" s="20"/>
      <c r="O19" s="20"/>
    </row>
    <row r="21" spans="7:15">
      <c r="G21" s="55" t="s">
        <v>78</v>
      </c>
      <c r="H21" s="55"/>
      <c r="I21" s="55"/>
      <c r="J21" s="55"/>
      <c r="K21" s="55"/>
      <c r="L21" s="55"/>
      <c r="M21" s="55"/>
      <c r="N21" s="55"/>
      <c r="O21" s="55"/>
    </row>
  </sheetData>
  <mergeCells count="72">
    <mergeCell ref="A1:U1"/>
    <mergeCell ref="A14:U14"/>
    <mergeCell ref="A2:A3"/>
    <mergeCell ref="A4:A5"/>
    <mergeCell ref="A15:A16"/>
    <mergeCell ref="A17:A18"/>
    <mergeCell ref="B2:B3"/>
    <mergeCell ref="B4:B6"/>
    <mergeCell ref="B15:B16"/>
    <mergeCell ref="B17:B19"/>
    <mergeCell ref="C2:C3"/>
    <mergeCell ref="C4:C6"/>
    <mergeCell ref="C15:C16"/>
    <mergeCell ref="C17:C19"/>
    <mergeCell ref="D2:D3"/>
    <mergeCell ref="D4:D6"/>
    <mergeCell ref="D15:D16"/>
    <mergeCell ref="D17:D19"/>
    <mergeCell ref="E2:E3"/>
    <mergeCell ref="E4:E6"/>
    <mergeCell ref="E15:E16"/>
    <mergeCell ref="E17:E19"/>
    <mergeCell ref="F2:F3"/>
    <mergeCell ref="F4:F6"/>
    <mergeCell ref="F15:F16"/>
    <mergeCell ref="F17:F19"/>
    <mergeCell ref="G2:G3"/>
    <mergeCell ref="G4:G6"/>
    <mergeCell ref="G15:G16"/>
    <mergeCell ref="G17:G19"/>
    <mergeCell ref="H2:H3"/>
    <mergeCell ref="H4:H6"/>
    <mergeCell ref="H15:H16"/>
    <mergeCell ref="H17:H19"/>
    <mergeCell ref="I2:I3"/>
    <mergeCell ref="I4:I6"/>
    <mergeCell ref="I15:I16"/>
    <mergeCell ref="I17:I19"/>
    <mergeCell ref="J2:J3"/>
    <mergeCell ref="J4:J6"/>
    <mergeCell ref="K2:K3"/>
    <mergeCell ref="K4:K6"/>
    <mergeCell ref="K15:K16"/>
    <mergeCell ref="K17:K19"/>
    <mergeCell ref="L2:L3"/>
    <mergeCell ref="L4:L6"/>
    <mergeCell ref="L15:L16"/>
    <mergeCell ref="L17:L19"/>
    <mergeCell ref="M2:M3"/>
    <mergeCell ref="M4:M6"/>
    <mergeCell ref="M15:M16"/>
    <mergeCell ref="M17:M19"/>
    <mergeCell ref="N2:N3"/>
    <mergeCell ref="N4:N6"/>
    <mergeCell ref="N15:N16"/>
    <mergeCell ref="N17:N19"/>
    <mergeCell ref="O2:O3"/>
    <mergeCell ref="O4:O6"/>
    <mergeCell ref="O15:O16"/>
    <mergeCell ref="O17:O19"/>
    <mergeCell ref="P2:P3"/>
    <mergeCell ref="P4:P6"/>
    <mergeCell ref="Q2:Q3"/>
    <mergeCell ref="Q4:Q6"/>
    <mergeCell ref="R2:R3"/>
    <mergeCell ref="R4:R6"/>
    <mergeCell ref="S2:S3"/>
    <mergeCell ref="S4:S6"/>
    <mergeCell ref="T2:T3"/>
    <mergeCell ref="T4:T6"/>
    <mergeCell ref="U2:U3"/>
    <mergeCell ref="U4:U6"/>
  </mergeCells>
  <dataValidations count="1">
    <dataValidation type="list" allowBlank="1" showInputMessage="1" showErrorMessage="1" sqref="C7:C8">
      <formula1>"箱,盒,包"</formula1>
    </dataValidation>
  </dataValidations>
  <pageMargins left="0.75" right="0.75" top="1" bottom="1" header="0.5" footer="0.5"/>
  <headerFooter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4"/>
  <sheetViews>
    <sheetView workbookViewId="0">
      <selection activeCell="E5" sqref="E5"/>
    </sheetView>
  </sheetViews>
  <sheetFormatPr defaultColWidth="8.89166666666667" defaultRowHeight="13.5"/>
  <cols>
    <col min="1" max="1" width="31.4416666666667" customWidth="1"/>
    <col min="2" max="2" width="22.8916666666667" customWidth="1"/>
    <col min="8" max="8" width="20.5583333333333" customWidth="1"/>
    <col min="10" max="10" width="22.3333333333333" customWidth="1"/>
  </cols>
  <sheetData>
    <row r="1" spans="1:10">
      <c r="A1" s="51" t="s">
        <v>82</v>
      </c>
      <c r="B1" s="52" t="s">
        <v>83</v>
      </c>
      <c r="C1" s="32" t="s">
        <v>45</v>
      </c>
      <c r="D1" s="32" t="s">
        <v>16</v>
      </c>
      <c r="E1" s="32" t="s">
        <v>11</v>
      </c>
      <c r="F1" s="32" t="s">
        <v>29</v>
      </c>
      <c r="G1" s="32" t="s">
        <v>84</v>
      </c>
      <c r="H1" s="52" t="s">
        <v>85</v>
      </c>
      <c r="I1" s="53" t="s">
        <v>86</v>
      </c>
      <c r="J1" s="32" t="s">
        <v>2</v>
      </c>
    </row>
    <row r="2" spans="1:10">
      <c r="A2" s="20" t="s">
        <v>75</v>
      </c>
      <c r="B2" s="27" t="s">
        <v>87</v>
      </c>
      <c r="C2" s="27" t="s">
        <v>88</v>
      </c>
      <c r="D2" s="9" t="s">
        <v>89</v>
      </c>
      <c r="E2" s="9" t="s">
        <v>64</v>
      </c>
      <c r="F2" s="28" t="s">
        <v>18</v>
      </c>
      <c r="G2" s="20" t="s">
        <v>75</v>
      </c>
      <c r="H2" s="27" t="s">
        <v>87</v>
      </c>
      <c r="I2" s="9" t="s">
        <v>71</v>
      </c>
      <c r="J2" s="28" t="s">
        <v>90</v>
      </c>
    </row>
    <row r="3" spans="1:10">
      <c r="A3" s="20"/>
      <c r="B3" s="27"/>
      <c r="C3" s="27"/>
      <c r="D3" s="13"/>
      <c r="E3" s="13"/>
      <c r="F3" s="28"/>
      <c r="G3" s="20"/>
      <c r="H3" s="27"/>
      <c r="I3" s="13"/>
      <c r="J3" s="28"/>
    </row>
    <row r="4" ht="37" customHeight="1" spans="1:10">
      <c r="A4" s="20"/>
      <c r="B4" s="27"/>
      <c r="C4" s="27"/>
      <c r="D4" s="13"/>
      <c r="E4" s="13"/>
      <c r="F4" s="28"/>
      <c r="G4" s="20"/>
      <c r="H4" s="27"/>
      <c r="I4" s="13"/>
      <c r="J4" s="28"/>
    </row>
    <row r="14" spans="1:1">
      <c r="A14" t="s">
        <v>91</v>
      </c>
    </row>
  </sheetData>
  <mergeCells count="10">
    <mergeCell ref="A2:A4"/>
    <mergeCell ref="B2:B4"/>
    <mergeCell ref="C2:C4"/>
    <mergeCell ref="D2:D4"/>
    <mergeCell ref="E2:E4"/>
    <mergeCell ref="F2:F4"/>
    <mergeCell ref="G2:G4"/>
    <mergeCell ref="H2:H4"/>
    <mergeCell ref="I2:I4"/>
    <mergeCell ref="J2:J4"/>
  </mergeCells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B35"/>
  <sheetViews>
    <sheetView workbookViewId="0">
      <selection activeCell="C5" sqref="C5:C7"/>
    </sheetView>
  </sheetViews>
  <sheetFormatPr defaultColWidth="8.89166666666667" defaultRowHeight="13.5"/>
  <cols>
    <col min="1" max="1" width="10.775" customWidth="1"/>
    <col min="2" max="2" width="19" customWidth="1"/>
    <col min="3" max="3" width="12.875" customWidth="1"/>
  </cols>
  <sheetData>
    <row r="1" spans="1:25">
      <c r="A1" s="28" t="s">
        <v>92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  <c r="T1" s="28"/>
      <c r="U1" s="28"/>
      <c r="V1" s="28"/>
      <c r="W1" s="28"/>
      <c r="X1" s="28"/>
      <c r="Y1" s="28"/>
    </row>
    <row r="2" ht="14.4" customHeight="1" spans="1:26">
      <c r="A2" s="31" t="s">
        <v>93</v>
      </c>
      <c r="B2" s="32" t="s">
        <v>94</v>
      </c>
      <c r="C2" s="50" t="s">
        <v>95</v>
      </c>
      <c r="D2" s="33" t="s">
        <v>14</v>
      </c>
      <c r="E2" s="31" t="s">
        <v>96</v>
      </c>
      <c r="F2" s="31"/>
      <c r="G2" s="31"/>
      <c r="H2" s="34" t="s">
        <v>58</v>
      </c>
      <c r="I2" s="34"/>
      <c r="J2" s="34"/>
      <c r="K2" s="42" t="s">
        <v>97</v>
      </c>
      <c r="L2" s="42"/>
      <c r="M2" s="42"/>
      <c r="N2" s="42" t="s">
        <v>98</v>
      </c>
      <c r="O2" s="42"/>
      <c r="P2" s="42"/>
      <c r="Q2" s="31" t="s">
        <v>99</v>
      </c>
      <c r="R2" s="31"/>
      <c r="S2" s="31"/>
      <c r="T2" s="42" t="s">
        <v>100</v>
      </c>
      <c r="U2" s="42"/>
      <c r="V2" s="42"/>
      <c r="W2" s="34" t="s">
        <v>101</v>
      </c>
      <c r="X2" s="34"/>
      <c r="Y2" s="34"/>
      <c r="Z2" s="40" t="s">
        <v>102</v>
      </c>
    </row>
    <row r="3" ht="14.4" customHeight="1" spans="1:26">
      <c r="A3" s="31"/>
      <c r="B3" s="32"/>
      <c r="C3" s="50"/>
      <c r="D3" s="33"/>
      <c r="E3" s="35"/>
      <c r="F3" s="35"/>
      <c r="G3" s="35"/>
      <c r="H3" s="36"/>
      <c r="I3" s="36"/>
      <c r="J3" s="36"/>
      <c r="K3" s="44"/>
      <c r="L3" s="44"/>
      <c r="M3" s="44"/>
      <c r="N3" s="44"/>
      <c r="O3" s="44"/>
      <c r="P3" s="44"/>
      <c r="Q3" s="35"/>
      <c r="R3" s="35"/>
      <c r="S3" s="35"/>
      <c r="T3" s="44"/>
      <c r="U3" s="44"/>
      <c r="V3" s="44"/>
      <c r="W3" s="36"/>
      <c r="X3" s="36"/>
      <c r="Y3" s="36"/>
      <c r="Z3" s="42"/>
    </row>
    <row r="4" spans="1:26">
      <c r="A4" s="31"/>
      <c r="B4" s="32"/>
      <c r="C4" s="50"/>
      <c r="D4" s="33"/>
      <c r="E4" s="37" t="s">
        <v>36</v>
      </c>
      <c r="F4" s="38" t="s">
        <v>37</v>
      </c>
      <c r="G4" s="38" t="s">
        <v>38</v>
      </c>
      <c r="H4" s="39" t="s">
        <v>36</v>
      </c>
      <c r="I4" s="39" t="s">
        <v>37</v>
      </c>
      <c r="J4" s="39" t="s">
        <v>38</v>
      </c>
      <c r="K4" s="39" t="s">
        <v>36</v>
      </c>
      <c r="L4" s="39" t="s">
        <v>37</v>
      </c>
      <c r="M4" s="39" t="s">
        <v>38</v>
      </c>
      <c r="N4" s="39" t="s">
        <v>36</v>
      </c>
      <c r="O4" s="39" t="s">
        <v>37</v>
      </c>
      <c r="P4" s="39" t="s">
        <v>38</v>
      </c>
      <c r="Q4" s="38" t="s">
        <v>36</v>
      </c>
      <c r="R4" s="38" t="s">
        <v>37</v>
      </c>
      <c r="S4" s="38" t="s">
        <v>38</v>
      </c>
      <c r="T4" s="39" t="s">
        <v>36</v>
      </c>
      <c r="U4" s="39" t="s">
        <v>37</v>
      </c>
      <c r="V4" s="39" t="s">
        <v>38</v>
      </c>
      <c r="W4" s="45" t="s">
        <v>36</v>
      </c>
      <c r="X4" s="45" t="s">
        <v>37</v>
      </c>
      <c r="Y4" s="46" t="s">
        <v>38</v>
      </c>
      <c r="Z4" s="42"/>
    </row>
    <row r="5" spans="1:26">
      <c r="A5" s="9" t="s">
        <v>71</v>
      </c>
      <c r="B5" s="40" t="s">
        <v>103</v>
      </c>
      <c r="C5" s="27" t="s">
        <v>87</v>
      </c>
      <c r="D5" s="40" t="s">
        <v>104</v>
      </c>
      <c r="E5" s="41" t="s">
        <v>105</v>
      </c>
      <c r="F5" s="41"/>
      <c r="G5" s="41"/>
      <c r="H5" s="41" t="s">
        <v>106</v>
      </c>
      <c r="I5" s="41" t="s">
        <v>107</v>
      </c>
      <c r="J5" s="41" t="s">
        <v>108</v>
      </c>
      <c r="K5" s="40" t="s">
        <v>109</v>
      </c>
      <c r="L5" s="40"/>
      <c r="M5" s="40"/>
      <c r="N5" s="40" t="s">
        <v>110</v>
      </c>
      <c r="O5" s="40"/>
      <c r="P5" s="40"/>
      <c r="Q5" s="40" t="s">
        <v>111</v>
      </c>
      <c r="R5" s="40"/>
      <c r="S5" s="40"/>
      <c r="T5" s="41" t="s">
        <v>112</v>
      </c>
      <c r="U5" s="41" t="s">
        <v>113</v>
      </c>
      <c r="V5" s="41" t="s">
        <v>114</v>
      </c>
      <c r="W5" s="41" t="s">
        <v>115</v>
      </c>
      <c r="X5" s="41" t="s">
        <v>116</v>
      </c>
      <c r="Y5" s="41" t="s">
        <v>117</v>
      </c>
      <c r="Z5" s="41" t="s">
        <v>118</v>
      </c>
    </row>
    <row r="6" spans="1:26">
      <c r="A6" s="13"/>
      <c r="B6" s="42"/>
      <c r="C6" s="27"/>
      <c r="D6" s="42"/>
      <c r="E6" s="43"/>
      <c r="F6" s="43"/>
      <c r="G6" s="43"/>
      <c r="H6" s="43"/>
      <c r="I6" s="43"/>
      <c r="J6" s="43"/>
      <c r="K6" s="42"/>
      <c r="L6" s="42"/>
      <c r="M6" s="42"/>
      <c r="N6" s="42"/>
      <c r="O6" s="42"/>
      <c r="P6" s="42"/>
      <c r="Q6" s="42"/>
      <c r="R6" s="42"/>
      <c r="S6" s="42"/>
      <c r="T6" s="43"/>
      <c r="U6" s="43"/>
      <c r="V6" s="43"/>
      <c r="W6" s="43"/>
      <c r="X6" s="43"/>
      <c r="Y6" s="43"/>
      <c r="Z6" s="43"/>
    </row>
    <row r="7" ht="53" customHeight="1" spans="1:26">
      <c r="A7" s="13"/>
      <c r="B7" s="42"/>
      <c r="C7" s="27"/>
      <c r="D7" s="42"/>
      <c r="E7" s="43"/>
      <c r="F7" s="43"/>
      <c r="G7" s="43"/>
      <c r="H7" s="43"/>
      <c r="I7" s="43"/>
      <c r="J7" s="43"/>
      <c r="K7" s="42"/>
      <c r="L7" s="42"/>
      <c r="M7" s="42"/>
      <c r="N7" s="42"/>
      <c r="O7" s="42"/>
      <c r="P7" s="42"/>
      <c r="Q7" s="42"/>
      <c r="R7" s="42"/>
      <c r="S7" s="42"/>
      <c r="T7" s="43"/>
      <c r="U7" s="43"/>
      <c r="V7" s="43"/>
      <c r="W7" s="43"/>
      <c r="X7" s="43"/>
      <c r="Y7" s="43"/>
      <c r="Z7" s="43"/>
    </row>
    <row r="10" spans="5:28">
      <c r="E10" s="28" t="s">
        <v>119</v>
      </c>
      <c r="F10" s="28"/>
      <c r="G10" s="28"/>
      <c r="H10" s="28"/>
      <c r="I10" s="28"/>
      <c r="J10" s="28"/>
      <c r="K10" s="28" t="s">
        <v>119</v>
      </c>
      <c r="L10" s="28"/>
      <c r="M10" s="28"/>
      <c r="N10" s="28" t="s">
        <v>119</v>
      </c>
      <c r="O10" s="28"/>
      <c r="P10" s="28"/>
      <c r="Q10" s="28" t="s">
        <v>119</v>
      </c>
      <c r="R10" s="28"/>
      <c r="S10" s="28"/>
      <c r="T10" s="28" t="s">
        <v>119</v>
      </c>
      <c r="U10" s="28"/>
      <c r="V10" s="28"/>
      <c r="W10" s="28" t="s">
        <v>119</v>
      </c>
      <c r="X10" s="28"/>
      <c r="Y10" s="28"/>
      <c r="Z10" s="49" t="s">
        <v>119</v>
      </c>
      <c r="AA10" s="49"/>
      <c r="AB10" s="49"/>
    </row>
    <row r="13" spans="1:1">
      <c r="A13" t="s">
        <v>120</v>
      </c>
    </row>
    <row r="18" spans="1:22">
      <c r="A18" s="28" t="s">
        <v>121</v>
      </c>
      <c r="B18" s="28"/>
      <c r="C18" s="28"/>
      <c r="D18" s="28"/>
      <c r="E18" s="28"/>
      <c r="F18" s="28"/>
      <c r="G18" s="28"/>
      <c r="H18" s="28"/>
      <c r="I18" s="28"/>
      <c r="J18" s="28"/>
      <c r="K18" s="28"/>
      <c r="L18" s="28"/>
      <c r="M18" s="28"/>
      <c r="N18" s="28"/>
      <c r="O18" s="28"/>
      <c r="P18" s="28"/>
      <c r="Q18" s="28"/>
      <c r="R18" s="28"/>
      <c r="S18" s="28"/>
      <c r="T18" s="28"/>
      <c r="U18" s="28"/>
      <c r="V18" s="28"/>
    </row>
    <row r="19" spans="1:22">
      <c r="A19" s="31" t="s">
        <v>93</v>
      </c>
      <c r="B19" s="32" t="s">
        <v>122</v>
      </c>
      <c r="C19" s="50" t="s">
        <v>123</v>
      </c>
      <c r="D19" s="33" t="s">
        <v>14</v>
      </c>
      <c r="E19" s="31" t="s">
        <v>96</v>
      </c>
      <c r="F19" s="31"/>
      <c r="G19" s="31"/>
      <c r="H19" s="34" t="s">
        <v>58</v>
      </c>
      <c r="I19" s="34"/>
      <c r="J19" s="34"/>
      <c r="K19" s="42" t="s">
        <v>97</v>
      </c>
      <c r="L19" s="42"/>
      <c r="M19" s="42"/>
      <c r="N19" s="42" t="s">
        <v>98</v>
      </c>
      <c r="O19" s="42"/>
      <c r="P19" s="42"/>
      <c r="Q19" s="31" t="s">
        <v>99</v>
      </c>
      <c r="R19" s="31"/>
      <c r="S19" s="31"/>
      <c r="T19" s="42" t="s">
        <v>100</v>
      </c>
      <c r="U19" s="42"/>
      <c r="V19" s="42"/>
    </row>
    <row r="20" spans="1:22">
      <c r="A20" s="31"/>
      <c r="B20" s="32"/>
      <c r="C20" s="50"/>
      <c r="D20" s="33"/>
      <c r="E20" s="35"/>
      <c r="F20" s="35"/>
      <c r="G20" s="35"/>
      <c r="H20" s="36"/>
      <c r="I20" s="36"/>
      <c r="J20" s="36"/>
      <c r="K20" s="44"/>
      <c r="L20" s="44"/>
      <c r="M20" s="44"/>
      <c r="N20" s="44"/>
      <c r="O20" s="44"/>
      <c r="P20" s="44"/>
      <c r="Q20" s="35"/>
      <c r="R20" s="35"/>
      <c r="S20" s="35"/>
      <c r="T20" s="44"/>
      <c r="U20" s="44"/>
      <c r="V20" s="44"/>
    </row>
    <row r="21" spans="1:22">
      <c r="A21" s="31"/>
      <c r="B21" s="32"/>
      <c r="C21" s="50"/>
      <c r="D21" s="33"/>
      <c r="E21" s="37" t="s">
        <v>36</v>
      </c>
      <c r="F21" s="38" t="s">
        <v>37</v>
      </c>
      <c r="G21" s="38" t="s">
        <v>38</v>
      </c>
      <c r="H21" s="39" t="s">
        <v>36</v>
      </c>
      <c r="I21" s="39" t="s">
        <v>37</v>
      </c>
      <c r="J21" s="39" t="s">
        <v>38</v>
      </c>
      <c r="K21" s="39" t="s">
        <v>36</v>
      </c>
      <c r="L21" s="39" t="s">
        <v>37</v>
      </c>
      <c r="M21" s="39" t="s">
        <v>38</v>
      </c>
      <c r="N21" s="39" t="s">
        <v>36</v>
      </c>
      <c r="O21" s="39" t="s">
        <v>37</v>
      </c>
      <c r="P21" s="39" t="s">
        <v>38</v>
      </c>
      <c r="Q21" s="38" t="s">
        <v>36</v>
      </c>
      <c r="R21" s="38" t="s">
        <v>37</v>
      </c>
      <c r="S21" s="38" t="s">
        <v>38</v>
      </c>
      <c r="T21" s="39" t="s">
        <v>36</v>
      </c>
      <c r="U21" s="39" t="s">
        <v>37</v>
      </c>
      <c r="V21" s="39" t="s">
        <v>38</v>
      </c>
    </row>
    <row r="22" spans="1:22">
      <c r="A22" s="9" t="s">
        <v>71</v>
      </c>
      <c r="B22" s="40" t="s">
        <v>103</v>
      </c>
      <c r="C22" s="27" t="s">
        <v>87</v>
      </c>
      <c r="D22" s="40" t="s">
        <v>104</v>
      </c>
      <c r="E22" s="41" t="s">
        <v>105</v>
      </c>
      <c r="F22" s="41"/>
      <c r="G22" s="41"/>
      <c r="H22" s="41" t="s">
        <v>124</v>
      </c>
      <c r="I22" s="41" t="s">
        <v>107</v>
      </c>
      <c r="J22" s="41" t="s">
        <v>108</v>
      </c>
      <c r="K22" s="40" t="s">
        <v>109</v>
      </c>
      <c r="L22" s="40"/>
      <c r="M22" s="40"/>
      <c r="N22" s="40" t="s">
        <v>110</v>
      </c>
      <c r="O22" s="40"/>
      <c r="P22" s="40"/>
      <c r="Q22" s="40" t="s">
        <v>111</v>
      </c>
      <c r="R22" s="40"/>
      <c r="S22" s="40"/>
      <c r="T22" s="41" t="s">
        <v>112</v>
      </c>
      <c r="U22" s="41" t="s">
        <v>113</v>
      </c>
      <c r="V22" s="41" t="s">
        <v>114</v>
      </c>
    </row>
    <row r="23" spans="1:22">
      <c r="A23" s="13"/>
      <c r="B23" s="42"/>
      <c r="C23" s="27"/>
      <c r="D23" s="42"/>
      <c r="E23" s="43"/>
      <c r="F23" s="43"/>
      <c r="G23" s="43"/>
      <c r="H23" s="43"/>
      <c r="I23" s="43"/>
      <c r="J23" s="43"/>
      <c r="K23" s="42"/>
      <c r="L23" s="42"/>
      <c r="M23" s="42"/>
      <c r="N23" s="42"/>
      <c r="O23" s="42"/>
      <c r="P23" s="42"/>
      <c r="Q23" s="42"/>
      <c r="R23" s="42"/>
      <c r="S23" s="42"/>
      <c r="T23" s="43"/>
      <c r="U23" s="43"/>
      <c r="V23" s="43"/>
    </row>
    <row r="24" spans="1:22">
      <c r="A24" s="13"/>
      <c r="B24" s="42"/>
      <c r="C24" s="27"/>
      <c r="D24" s="42"/>
      <c r="E24" s="43"/>
      <c r="F24" s="43"/>
      <c r="G24" s="43"/>
      <c r="H24" s="43"/>
      <c r="I24" s="43"/>
      <c r="J24" s="43"/>
      <c r="K24" s="42"/>
      <c r="L24" s="42"/>
      <c r="M24" s="42"/>
      <c r="N24" s="42"/>
      <c r="O24" s="42"/>
      <c r="P24" s="42"/>
      <c r="Q24" s="42"/>
      <c r="R24" s="42"/>
      <c r="S24" s="42"/>
      <c r="T24" s="43"/>
      <c r="U24" s="43"/>
      <c r="V24" s="43"/>
    </row>
    <row r="27" spans="5:22">
      <c r="E27" s="28" t="s">
        <v>119</v>
      </c>
      <c r="F27" s="28"/>
      <c r="G27" s="28"/>
      <c r="H27" s="28"/>
      <c r="I27" s="28"/>
      <c r="J27" s="28"/>
      <c r="K27" s="28" t="s">
        <v>119</v>
      </c>
      <c r="L27" s="28"/>
      <c r="M27" s="28"/>
      <c r="N27" s="28" t="s">
        <v>119</v>
      </c>
      <c r="O27" s="28"/>
      <c r="P27" s="28"/>
      <c r="Q27" s="28" t="s">
        <v>119</v>
      </c>
      <c r="R27" s="28"/>
      <c r="S27" s="28"/>
      <c r="T27" s="28" t="s">
        <v>119</v>
      </c>
      <c r="U27" s="28"/>
      <c r="V27" s="28"/>
    </row>
    <row r="30" spans="1:1">
      <c r="A30" t="s">
        <v>120</v>
      </c>
    </row>
    <row r="35" spans="14:14">
      <c r="N35" t="s">
        <v>125</v>
      </c>
    </row>
  </sheetData>
  <mergeCells count="67">
    <mergeCell ref="A1:Y1"/>
    <mergeCell ref="E10:G10"/>
    <mergeCell ref="K10:M10"/>
    <mergeCell ref="N10:P10"/>
    <mergeCell ref="Q10:S10"/>
    <mergeCell ref="T10:V10"/>
    <mergeCell ref="W10:Y10"/>
    <mergeCell ref="A18:V18"/>
    <mergeCell ref="E27:G27"/>
    <mergeCell ref="K27:M27"/>
    <mergeCell ref="N27:P27"/>
    <mergeCell ref="Q27:S27"/>
    <mergeCell ref="T27:V27"/>
    <mergeCell ref="A2:A4"/>
    <mergeCell ref="A5:A7"/>
    <mergeCell ref="A19:A21"/>
    <mergeCell ref="A22:A24"/>
    <mergeCell ref="B2:B4"/>
    <mergeCell ref="B5:B7"/>
    <mergeCell ref="B19:B21"/>
    <mergeCell ref="B22:B24"/>
    <mergeCell ref="C2:C4"/>
    <mergeCell ref="C5:C7"/>
    <mergeCell ref="C19:C21"/>
    <mergeCell ref="C22:C24"/>
    <mergeCell ref="D2:D4"/>
    <mergeCell ref="D5:D7"/>
    <mergeCell ref="D19:D21"/>
    <mergeCell ref="D22:D24"/>
    <mergeCell ref="H5:H7"/>
    <mergeCell ref="H22:H24"/>
    <mergeCell ref="I5:I7"/>
    <mergeCell ref="I22:I24"/>
    <mergeCell ref="J5:J7"/>
    <mergeCell ref="J22:J24"/>
    <mergeCell ref="T5:T7"/>
    <mergeCell ref="T22:T24"/>
    <mergeCell ref="U5:U7"/>
    <mergeCell ref="U22:U24"/>
    <mergeCell ref="V5:V7"/>
    <mergeCell ref="V22:V24"/>
    <mergeCell ref="W5:W7"/>
    <mergeCell ref="X5:X7"/>
    <mergeCell ref="Y5:Y7"/>
    <mergeCell ref="Z2:Z4"/>
    <mergeCell ref="Z5:Z7"/>
    <mergeCell ref="E2:G3"/>
    <mergeCell ref="H2:J3"/>
    <mergeCell ref="K2:M3"/>
    <mergeCell ref="N2:P3"/>
    <mergeCell ref="Q2:S3"/>
    <mergeCell ref="T2:V3"/>
    <mergeCell ref="W2:Y3"/>
    <mergeCell ref="E5:G7"/>
    <mergeCell ref="K5:M7"/>
    <mergeCell ref="N5:P7"/>
    <mergeCell ref="Q5:S7"/>
    <mergeCell ref="E19:G20"/>
    <mergeCell ref="H19:J20"/>
    <mergeCell ref="K19:M20"/>
    <mergeCell ref="N19:P20"/>
    <mergeCell ref="Q19:S20"/>
    <mergeCell ref="T19:V20"/>
    <mergeCell ref="E22:G24"/>
    <mergeCell ref="K22:M24"/>
    <mergeCell ref="N22:P24"/>
    <mergeCell ref="Q22:S24"/>
  </mergeCells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A30"/>
  <sheetViews>
    <sheetView workbookViewId="0">
      <selection activeCell="J32" sqref="J32"/>
    </sheetView>
  </sheetViews>
  <sheetFormatPr defaultColWidth="8.89166666666667" defaultRowHeight="13.5"/>
  <cols>
    <col min="1" max="1" width="10.775" customWidth="1"/>
    <col min="2" max="2" width="19" customWidth="1"/>
  </cols>
  <sheetData>
    <row r="1" spans="1:25">
      <c r="A1" s="28" t="s">
        <v>92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  <c r="T1" s="28"/>
      <c r="U1" s="28"/>
      <c r="V1" s="28"/>
      <c r="W1" s="28"/>
      <c r="X1" s="28"/>
      <c r="Y1" s="28"/>
    </row>
    <row r="2" ht="14.4" customHeight="1" spans="1:25">
      <c r="A2" s="31" t="s">
        <v>93</v>
      </c>
      <c r="B2" s="32" t="s">
        <v>122</v>
      </c>
      <c r="C2" s="33" t="s">
        <v>14</v>
      </c>
      <c r="D2" s="31" t="s">
        <v>126</v>
      </c>
      <c r="E2" s="31"/>
      <c r="F2" s="31"/>
      <c r="G2" s="34" t="s">
        <v>58</v>
      </c>
      <c r="H2" s="34"/>
      <c r="I2" s="34"/>
      <c r="J2" s="42" t="s">
        <v>97</v>
      </c>
      <c r="K2" s="42"/>
      <c r="L2" s="42"/>
      <c r="M2" s="42" t="s">
        <v>98</v>
      </c>
      <c r="N2" s="42"/>
      <c r="O2" s="42"/>
      <c r="P2" s="34" t="s">
        <v>99</v>
      </c>
      <c r="Q2" s="34"/>
      <c r="R2" s="34"/>
      <c r="S2" s="42" t="s">
        <v>100</v>
      </c>
      <c r="T2" s="42"/>
      <c r="U2" s="42"/>
      <c r="V2" s="34" t="s">
        <v>101</v>
      </c>
      <c r="W2" s="34"/>
      <c r="X2" s="34"/>
      <c r="Y2" s="47"/>
    </row>
    <row r="3" ht="14.4" customHeight="1" spans="1:25">
      <c r="A3" s="31"/>
      <c r="B3" s="32"/>
      <c r="C3" s="33"/>
      <c r="D3" s="35"/>
      <c r="E3" s="35"/>
      <c r="F3" s="35"/>
      <c r="G3" s="36"/>
      <c r="H3" s="36"/>
      <c r="I3" s="36"/>
      <c r="J3" s="44"/>
      <c r="K3" s="44"/>
      <c r="L3" s="44"/>
      <c r="M3" s="44"/>
      <c r="N3" s="44"/>
      <c r="O3" s="44"/>
      <c r="P3" s="36"/>
      <c r="Q3" s="36"/>
      <c r="R3" s="36"/>
      <c r="S3" s="44"/>
      <c r="T3" s="44"/>
      <c r="U3" s="44"/>
      <c r="V3" s="36"/>
      <c r="W3" s="36"/>
      <c r="X3" s="36"/>
      <c r="Y3" s="48" t="s">
        <v>127</v>
      </c>
    </row>
    <row r="4" spans="1:25">
      <c r="A4" s="31"/>
      <c r="B4" s="32"/>
      <c r="C4" s="33"/>
      <c r="D4" s="37" t="s">
        <v>36</v>
      </c>
      <c r="E4" s="38" t="s">
        <v>37</v>
      </c>
      <c r="F4" s="38" t="s">
        <v>38</v>
      </c>
      <c r="G4" s="39" t="s">
        <v>36</v>
      </c>
      <c r="H4" s="39" t="s">
        <v>37</v>
      </c>
      <c r="I4" s="39" t="s">
        <v>38</v>
      </c>
      <c r="J4" s="39" t="s">
        <v>36</v>
      </c>
      <c r="K4" s="39" t="s">
        <v>37</v>
      </c>
      <c r="L4" s="39" t="s">
        <v>38</v>
      </c>
      <c r="M4" s="39" t="s">
        <v>36</v>
      </c>
      <c r="N4" s="39" t="s">
        <v>37</v>
      </c>
      <c r="O4" s="39" t="s">
        <v>38</v>
      </c>
      <c r="P4" s="45" t="s">
        <v>36</v>
      </c>
      <c r="Q4" s="45" t="s">
        <v>37</v>
      </c>
      <c r="R4" s="45" t="s">
        <v>38</v>
      </c>
      <c r="S4" s="39" t="s">
        <v>36</v>
      </c>
      <c r="T4" s="39" t="s">
        <v>37</v>
      </c>
      <c r="U4" s="39" t="s">
        <v>38</v>
      </c>
      <c r="V4" s="45" t="s">
        <v>36</v>
      </c>
      <c r="W4" s="45" t="s">
        <v>37</v>
      </c>
      <c r="X4" s="46" t="s">
        <v>38</v>
      </c>
      <c r="Y4" s="48"/>
    </row>
    <row r="5" spans="1:25">
      <c r="A5" s="9" t="s">
        <v>71</v>
      </c>
      <c r="B5" s="40" t="s">
        <v>103</v>
      </c>
      <c r="C5" s="40" t="s">
        <v>104</v>
      </c>
      <c r="D5" s="41" t="s">
        <v>105</v>
      </c>
      <c r="E5" s="41"/>
      <c r="F5" s="41"/>
      <c r="G5" s="41" t="s">
        <v>128</v>
      </c>
      <c r="H5" s="41" t="s">
        <v>107</v>
      </c>
      <c r="I5" s="41" t="s">
        <v>129</v>
      </c>
      <c r="J5" s="40" t="s">
        <v>130</v>
      </c>
      <c r="K5" s="40"/>
      <c r="L5" s="40"/>
      <c r="M5" s="40" t="s">
        <v>131</v>
      </c>
      <c r="N5" s="40"/>
      <c r="O5" s="40"/>
      <c r="P5" s="40" t="s">
        <v>132</v>
      </c>
      <c r="Q5" s="40"/>
      <c r="R5" s="40"/>
      <c r="S5" s="41" t="s">
        <v>133</v>
      </c>
      <c r="T5" s="41"/>
      <c r="U5" s="41"/>
      <c r="V5" s="41" t="s">
        <v>115</v>
      </c>
      <c r="W5" s="41" t="s">
        <v>116</v>
      </c>
      <c r="X5" s="41" t="s">
        <v>117</v>
      </c>
      <c r="Y5" s="41" t="s">
        <v>118</v>
      </c>
    </row>
    <row r="6" spans="1:25">
      <c r="A6" s="13"/>
      <c r="B6" s="42"/>
      <c r="C6" s="42"/>
      <c r="D6" s="43"/>
      <c r="E6" s="43"/>
      <c r="F6" s="43"/>
      <c r="G6" s="43"/>
      <c r="H6" s="43"/>
      <c r="I6" s="43"/>
      <c r="J6" s="42"/>
      <c r="K6" s="42"/>
      <c r="L6" s="42"/>
      <c r="M6" s="42"/>
      <c r="N6" s="42"/>
      <c r="O6" s="42"/>
      <c r="P6" s="42"/>
      <c r="Q6" s="42"/>
      <c r="R6" s="42"/>
      <c r="S6" s="43"/>
      <c r="T6" s="43"/>
      <c r="U6" s="43"/>
      <c r="V6" s="43"/>
      <c r="W6" s="43"/>
      <c r="X6" s="43"/>
      <c r="Y6" s="43"/>
    </row>
    <row r="7" spans="1:25">
      <c r="A7" s="13"/>
      <c r="B7" s="42"/>
      <c r="C7" s="42"/>
      <c r="D7" s="43"/>
      <c r="E7" s="43"/>
      <c r="F7" s="43"/>
      <c r="G7" s="43"/>
      <c r="H7" s="43"/>
      <c r="I7" s="43"/>
      <c r="J7" s="42"/>
      <c r="K7" s="42"/>
      <c r="L7" s="42"/>
      <c r="M7" s="42"/>
      <c r="N7" s="42"/>
      <c r="O7" s="42"/>
      <c r="P7" s="42"/>
      <c r="Q7" s="42"/>
      <c r="R7" s="42"/>
      <c r="S7" s="43"/>
      <c r="T7" s="43"/>
      <c r="U7" s="43"/>
      <c r="V7" s="43"/>
      <c r="W7" s="43"/>
      <c r="X7" s="43"/>
      <c r="Y7" s="43"/>
    </row>
    <row r="8" customFormat="1"/>
    <row r="9" customFormat="1"/>
    <row r="10" customFormat="1" spans="4:27">
      <c r="D10" s="28" t="s">
        <v>119</v>
      </c>
      <c r="E10" s="28"/>
      <c r="F10" s="28"/>
      <c r="G10" s="28"/>
      <c r="H10" s="28"/>
      <c r="I10" s="28"/>
      <c r="J10" s="28" t="s">
        <v>119</v>
      </c>
      <c r="K10" s="28"/>
      <c r="L10" s="28"/>
      <c r="M10" s="28" t="s">
        <v>119</v>
      </c>
      <c r="N10" s="28"/>
      <c r="O10" s="28"/>
      <c r="P10" s="28" t="s">
        <v>119</v>
      </c>
      <c r="Q10" s="28"/>
      <c r="R10" s="28"/>
      <c r="S10" s="28" t="s">
        <v>119</v>
      </c>
      <c r="T10" s="28"/>
      <c r="U10" s="28"/>
      <c r="V10" s="28" t="s">
        <v>119</v>
      </c>
      <c r="W10" s="28"/>
      <c r="X10" s="28"/>
      <c r="Y10" s="49" t="s">
        <v>119</v>
      </c>
      <c r="Z10" s="49"/>
      <c r="AA10" s="49"/>
    </row>
    <row r="11" customFormat="1"/>
    <row r="12" customFormat="1"/>
    <row r="13" customFormat="1" spans="1:1">
      <c r="A13" t="s">
        <v>120</v>
      </c>
    </row>
    <row r="18" spans="1:21">
      <c r="A18" s="28" t="s">
        <v>134</v>
      </c>
      <c r="B18" s="28"/>
      <c r="C18" s="28"/>
      <c r="D18" s="28"/>
      <c r="E18" s="28"/>
      <c r="F18" s="28"/>
      <c r="G18" s="28"/>
      <c r="H18" s="28"/>
      <c r="I18" s="28"/>
      <c r="J18" s="28"/>
      <c r="K18" s="28"/>
      <c r="L18" s="28"/>
      <c r="M18" s="28"/>
      <c r="N18" s="28"/>
      <c r="O18" s="28"/>
      <c r="P18" s="28"/>
      <c r="Q18" s="28"/>
      <c r="R18" s="28"/>
      <c r="S18" s="28"/>
      <c r="T18" s="28"/>
      <c r="U18" s="28"/>
    </row>
    <row r="19" spans="1:21">
      <c r="A19" s="31" t="s">
        <v>93</v>
      </c>
      <c r="B19" s="32" t="s">
        <v>122</v>
      </c>
      <c r="C19" s="33" t="s">
        <v>14</v>
      </c>
      <c r="D19" s="31" t="s">
        <v>96</v>
      </c>
      <c r="E19" s="31"/>
      <c r="F19" s="31"/>
      <c r="G19" s="34" t="s">
        <v>58</v>
      </c>
      <c r="H19" s="34"/>
      <c r="I19" s="34"/>
      <c r="J19" s="42" t="s">
        <v>97</v>
      </c>
      <c r="K19" s="42"/>
      <c r="L19" s="42"/>
      <c r="M19" s="42" t="s">
        <v>98</v>
      </c>
      <c r="N19" s="42"/>
      <c r="O19" s="42"/>
      <c r="P19" s="34" t="s">
        <v>99</v>
      </c>
      <c r="Q19" s="34"/>
      <c r="R19" s="34"/>
      <c r="S19" s="42" t="s">
        <v>100</v>
      </c>
      <c r="T19" s="42"/>
      <c r="U19" s="42"/>
    </row>
    <row r="20" spans="1:21">
      <c r="A20" s="31"/>
      <c r="B20" s="32"/>
      <c r="C20" s="33"/>
      <c r="D20" s="35"/>
      <c r="E20" s="35"/>
      <c r="F20" s="35"/>
      <c r="G20" s="36"/>
      <c r="H20" s="36"/>
      <c r="I20" s="36"/>
      <c r="J20" s="44"/>
      <c r="K20" s="44"/>
      <c r="L20" s="44"/>
      <c r="M20" s="44"/>
      <c r="N20" s="44"/>
      <c r="O20" s="44"/>
      <c r="P20" s="36"/>
      <c r="Q20" s="36"/>
      <c r="R20" s="36"/>
      <c r="S20" s="44"/>
      <c r="T20" s="44"/>
      <c r="U20" s="44"/>
    </row>
    <row r="21" spans="1:21">
      <c r="A21" s="31"/>
      <c r="B21" s="32"/>
      <c r="C21" s="33"/>
      <c r="D21" s="37" t="s">
        <v>36</v>
      </c>
      <c r="E21" s="38" t="s">
        <v>37</v>
      </c>
      <c r="F21" s="38" t="s">
        <v>38</v>
      </c>
      <c r="G21" s="39" t="s">
        <v>36</v>
      </c>
      <c r="H21" s="39" t="s">
        <v>37</v>
      </c>
      <c r="I21" s="39" t="s">
        <v>38</v>
      </c>
      <c r="J21" s="39" t="s">
        <v>36</v>
      </c>
      <c r="K21" s="39" t="s">
        <v>37</v>
      </c>
      <c r="L21" s="39" t="s">
        <v>38</v>
      </c>
      <c r="M21" s="39" t="s">
        <v>36</v>
      </c>
      <c r="N21" s="39" t="s">
        <v>37</v>
      </c>
      <c r="O21" s="39" t="s">
        <v>38</v>
      </c>
      <c r="P21" s="45" t="s">
        <v>36</v>
      </c>
      <c r="Q21" s="45" t="s">
        <v>37</v>
      </c>
      <c r="R21" s="45" t="s">
        <v>38</v>
      </c>
      <c r="S21" s="39" t="s">
        <v>36</v>
      </c>
      <c r="T21" s="39" t="s">
        <v>37</v>
      </c>
      <c r="U21" s="39" t="s">
        <v>38</v>
      </c>
    </row>
    <row r="22" spans="1:21">
      <c r="A22" s="9" t="s">
        <v>71</v>
      </c>
      <c r="B22" s="40" t="s">
        <v>103</v>
      </c>
      <c r="C22" s="40" t="s">
        <v>104</v>
      </c>
      <c r="D22" s="41" t="s">
        <v>105</v>
      </c>
      <c r="E22" s="41"/>
      <c r="F22" s="41"/>
      <c r="G22" s="41" t="s">
        <v>128</v>
      </c>
      <c r="H22" s="41" t="s">
        <v>107</v>
      </c>
      <c r="I22" s="41" t="s">
        <v>129</v>
      </c>
      <c r="J22" s="40" t="s">
        <v>130</v>
      </c>
      <c r="K22" s="40"/>
      <c r="L22" s="40"/>
      <c r="M22" s="40" t="s">
        <v>131</v>
      </c>
      <c r="N22" s="40"/>
      <c r="O22" s="40"/>
      <c r="P22" s="40" t="s">
        <v>132</v>
      </c>
      <c r="Q22" s="40"/>
      <c r="R22" s="40"/>
      <c r="S22" s="41" t="s">
        <v>133</v>
      </c>
      <c r="T22" s="41"/>
      <c r="U22" s="41"/>
    </row>
    <row r="23" spans="1:21">
      <c r="A23" s="13"/>
      <c r="B23" s="42"/>
      <c r="C23" s="42"/>
      <c r="D23" s="43"/>
      <c r="E23" s="43"/>
      <c r="F23" s="43"/>
      <c r="G23" s="43"/>
      <c r="H23" s="43"/>
      <c r="I23" s="43"/>
      <c r="J23" s="42"/>
      <c r="K23" s="42"/>
      <c r="L23" s="42"/>
      <c r="M23" s="42"/>
      <c r="N23" s="42"/>
      <c r="O23" s="42"/>
      <c r="P23" s="42"/>
      <c r="Q23" s="42"/>
      <c r="R23" s="42"/>
      <c r="S23" s="43"/>
      <c r="T23" s="43"/>
      <c r="U23" s="43"/>
    </row>
    <row r="24" spans="1:21">
      <c r="A24" s="13"/>
      <c r="B24" s="42"/>
      <c r="C24" s="42"/>
      <c r="D24" s="43"/>
      <c r="E24" s="43"/>
      <c r="F24" s="43"/>
      <c r="G24" s="43"/>
      <c r="H24" s="43"/>
      <c r="I24" s="43"/>
      <c r="J24" s="42"/>
      <c r="K24" s="42"/>
      <c r="L24" s="42"/>
      <c r="M24" s="42"/>
      <c r="N24" s="42"/>
      <c r="O24" s="42"/>
      <c r="P24" s="42"/>
      <c r="Q24" s="42"/>
      <c r="R24" s="42"/>
      <c r="S24" s="43"/>
      <c r="T24" s="43"/>
      <c r="U24" s="43"/>
    </row>
    <row r="27" spans="4:21">
      <c r="D27" s="28" t="s">
        <v>119</v>
      </c>
      <c r="E27" s="28"/>
      <c r="F27" s="28"/>
      <c r="G27" s="28"/>
      <c r="H27" s="28"/>
      <c r="I27" s="28"/>
      <c r="J27" s="28" t="s">
        <v>119</v>
      </c>
      <c r="K27" s="28"/>
      <c r="L27" s="28"/>
      <c r="M27" s="28" t="s">
        <v>119</v>
      </c>
      <c r="N27" s="28"/>
      <c r="O27" s="28"/>
      <c r="P27" s="28" t="s">
        <v>119</v>
      </c>
      <c r="Q27" s="28"/>
      <c r="R27" s="28"/>
      <c r="S27" s="28" t="s">
        <v>119</v>
      </c>
      <c r="T27" s="28"/>
      <c r="U27" s="28"/>
    </row>
    <row r="30" spans="1:1">
      <c r="A30" t="s">
        <v>120</v>
      </c>
    </row>
  </sheetData>
  <mergeCells count="58">
    <mergeCell ref="A1:Y1"/>
    <mergeCell ref="D10:F10"/>
    <mergeCell ref="J10:L10"/>
    <mergeCell ref="M10:O10"/>
    <mergeCell ref="P10:R10"/>
    <mergeCell ref="S10:U10"/>
    <mergeCell ref="V10:X10"/>
    <mergeCell ref="A18:U18"/>
    <mergeCell ref="D27:F27"/>
    <mergeCell ref="J27:L27"/>
    <mergeCell ref="M27:O27"/>
    <mergeCell ref="P27:R27"/>
    <mergeCell ref="S27:U27"/>
    <mergeCell ref="A2:A4"/>
    <mergeCell ref="A5:A7"/>
    <mergeCell ref="A19:A21"/>
    <mergeCell ref="A22:A24"/>
    <mergeCell ref="B2:B4"/>
    <mergeCell ref="B5:B7"/>
    <mergeCell ref="B19:B21"/>
    <mergeCell ref="B22:B24"/>
    <mergeCell ref="C2:C4"/>
    <mergeCell ref="C5:C7"/>
    <mergeCell ref="C19:C21"/>
    <mergeCell ref="C22:C24"/>
    <mergeCell ref="G5:G7"/>
    <mergeCell ref="G22:G24"/>
    <mergeCell ref="H5:H7"/>
    <mergeCell ref="H22:H24"/>
    <mergeCell ref="I5:I7"/>
    <mergeCell ref="I22:I24"/>
    <mergeCell ref="V5:V7"/>
    <mergeCell ref="W5:W7"/>
    <mergeCell ref="X5:X7"/>
    <mergeCell ref="Y5:Y7"/>
    <mergeCell ref="D2:F3"/>
    <mergeCell ref="G2:I3"/>
    <mergeCell ref="J2:L3"/>
    <mergeCell ref="M2:O3"/>
    <mergeCell ref="P2:R3"/>
    <mergeCell ref="S2:U3"/>
    <mergeCell ref="V2:X3"/>
    <mergeCell ref="D5:F7"/>
    <mergeCell ref="J5:L7"/>
    <mergeCell ref="M5:O7"/>
    <mergeCell ref="P5:R7"/>
    <mergeCell ref="S5:U7"/>
    <mergeCell ref="D19:F20"/>
    <mergeCell ref="G19:I20"/>
    <mergeCell ref="J19:L20"/>
    <mergeCell ref="M19:O20"/>
    <mergeCell ref="P19:R20"/>
    <mergeCell ref="S19:U20"/>
    <mergeCell ref="D22:F24"/>
    <mergeCell ref="J22:L24"/>
    <mergeCell ref="M22:O24"/>
    <mergeCell ref="P22:R24"/>
    <mergeCell ref="S22:U24"/>
  </mergeCells>
  <pageMargins left="0.75" right="0.75" top="1" bottom="1" header="0.5" footer="0.5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1"/>
  <sheetViews>
    <sheetView tabSelected="1" workbookViewId="0">
      <selection activeCell="G2" sqref="G2:G4"/>
    </sheetView>
  </sheetViews>
  <sheetFormatPr defaultColWidth="8.89166666666667" defaultRowHeight="13.5"/>
  <cols>
    <col min="2" max="2" width="27.775" customWidth="1"/>
    <col min="3" max="3" width="13.875" customWidth="1"/>
    <col min="4" max="4" width="11.375" customWidth="1"/>
    <col min="5" max="5" width="11.875" customWidth="1"/>
    <col min="6" max="6" width="16.1083333333333" customWidth="1"/>
    <col min="7" max="7" width="22.5" customWidth="1"/>
    <col min="8" max="8" width="11" customWidth="1"/>
    <col min="9" max="9" width="18.375" customWidth="1"/>
    <col min="10" max="10" width="15.875" customWidth="1"/>
  </cols>
  <sheetData>
    <row r="1" ht="16.5" spans="1:11">
      <c r="A1" s="21" t="s">
        <v>93</v>
      </c>
      <c r="B1" s="22" t="s">
        <v>7</v>
      </c>
      <c r="C1" s="22" t="s">
        <v>135</v>
      </c>
      <c r="D1" s="23" t="s">
        <v>136</v>
      </c>
      <c r="E1" s="23" t="s">
        <v>137</v>
      </c>
      <c r="F1" s="24" t="s">
        <v>138</v>
      </c>
      <c r="G1" s="25" t="s">
        <v>139</v>
      </c>
      <c r="H1" s="26" t="s">
        <v>140</v>
      </c>
      <c r="I1" s="24" t="s">
        <v>141</v>
      </c>
      <c r="J1" s="29" t="s">
        <v>142</v>
      </c>
      <c r="K1" s="30" t="s">
        <v>143</v>
      </c>
    </row>
    <row r="2" spans="1:11">
      <c r="A2" s="9" t="s">
        <v>71</v>
      </c>
      <c r="B2" s="27" t="s">
        <v>87</v>
      </c>
      <c r="C2" s="28" t="s">
        <v>18</v>
      </c>
      <c r="D2" s="28" t="s">
        <v>18</v>
      </c>
      <c r="E2" s="28" t="s">
        <v>18</v>
      </c>
      <c r="F2" s="27" t="s">
        <v>144</v>
      </c>
      <c r="G2" s="27" t="s">
        <v>145</v>
      </c>
      <c r="H2" s="28" t="s">
        <v>18</v>
      </c>
      <c r="I2" s="27" t="s">
        <v>146</v>
      </c>
      <c r="J2" s="27" t="s">
        <v>147</v>
      </c>
      <c r="K2" s="27" t="s">
        <v>148</v>
      </c>
    </row>
    <row r="3" spans="1:11">
      <c r="A3" s="13"/>
      <c r="B3" s="27"/>
      <c r="C3" s="28"/>
      <c r="D3" s="28"/>
      <c r="E3" s="28"/>
      <c r="F3" s="27"/>
      <c r="G3" s="27"/>
      <c r="H3" s="28"/>
      <c r="I3" s="27"/>
      <c r="J3" s="27"/>
      <c r="K3" s="27"/>
    </row>
    <row r="4" ht="36" customHeight="1" spans="1:11">
      <c r="A4" s="13"/>
      <c r="B4" s="27"/>
      <c r="C4" s="28"/>
      <c r="D4" s="28"/>
      <c r="E4" s="28"/>
      <c r="F4" s="27"/>
      <c r="G4" s="27"/>
      <c r="H4" s="28"/>
      <c r="I4" s="27"/>
      <c r="J4" s="27"/>
      <c r="K4" s="27"/>
    </row>
    <row r="7" spans="3:11">
      <c r="C7" t="s">
        <v>119</v>
      </c>
      <c r="D7" t="s">
        <v>119</v>
      </c>
      <c r="E7" t="s">
        <v>119</v>
      </c>
      <c r="F7" t="s">
        <v>119</v>
      </c>
      <c r="G7" t="s">
        <v>119</v>
      </c>
      <c r="H7" t="s">
        <v>119</v>
      </c>
      <c r="I7" t="s">
        <v>119</v>
      </c>
      <c r="J7" t="s">
        <v>119</v>
      </c>
      <c r="K7" t="s">
        <v>119</v>
      </c>
    </row>
    <row r="11" customFormat="1" spans="1:1">
      <c r="A11" t="s">
        <v>149</v>
      </c>
    </row>
  </sheetData>
  <mergeCells count="11">
    <mergeCell ref="A2:A4"/>
    <mergeCell ref="B2:B4"/>
    <mergeCell ref="C2:C4"/>
    <mergeCell ref="D2:D4"/>
    <mergeCell ref="E2:E4"/>
    <mergeCell ref="F2:F4"/>
    <mergeCell ref="G2:G4"/>
    <mergeCell ref="H2:H4"/>
    <mergeCell ref="I2:I4"/>
    <mergeCell ref="J2:J4"/>
    <mergeCell ref="K2:K4"/>
  </mergeCells>
  <pageMargins left="0.75" right="0.75" top="1" bottom="1" header="0.5" footer="0.5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5"/>
  <sheetViews>
    <sheetView workbookViewId="0">
      <selection activeCell="F3" sqref="F3:F5"/>
    </sheetView>
  </sheetViews>
  <sheetFormatPr defaultColWidth="9" defaultRowHeight="13.5" outlineLevelRow="4"/>
  <cols>
    <col min="8" max="8" width="18.875" customWidth="1"/>
  </cols>
  <sheetData>
    <row r="1" s="1" customFormat="1" ht="43.2" customHeight="1" spans="1:19">
      <c r="A1" s="3" t="s">
        <v>13</v>
      </c>
      <c r="B1" s="4" t="s">
        <v>45</v>
      </c>
      <c r="C1" s="4" t="s">
        <v>11</v>
      </c>
      <c r="D1" s="4" t="s">
        <v>29</v>
      </c>
      <c r="E1" s="5" t="s">
        <v>17</v>
      </c>
      <c r="F1" s="6" t="s">
        <v>46</v>
      </c>
      <c r="G1" s="7" t="s">
        <v>47</v>
      </c>
      <c r="H1" s="5" t="s">
        <v>48</v>
      </c>
      <c r="I1" s="17" t="s">
        <v>51</v>
      </c>
      <c r="J1" s="4" t="s">
        <v>52</v>
      </c>
      <c r="K1" s="4" t="s">
        <v>53</v>
      </c>
      <c r="L1" s="18" t="s">
        <v>54</v>
      </c>
      <c r="M1" s="18" t="s">
        <v>55</v>
      </c>
      <c r="N1" s="18" t="s">
        <v>56</v>
      </c>
      <c r="O1" s="17" t="s">
        <v>57</v>
      </c>
      <c r="P1" s="4" t="s">
        <v>58</v>
      </c>
      <c r="Q1" s="4" t="s">
        <v>59</v>
      </c>
      <c r="R1" s="4" t="s">
        <v>60</v>
      </c>
      <c r="S1" s="19" t="s">
        <v>61</v>
      </c>
    </row>
    <row r="2" s="1" customFormat="1" spans="1:19">
      <c r="A2" s="3"/>
      <c r="B2" s="4"/>
      <c r="C2" s="4"/>
      <c r="D2" s="4"/>
      <c r="E2" s="5"/>
      <c r="F2" s="6"/>
      <c r="G2" s="7"/>
      <c r="H2" s="5"/>
      <c r="I2" s="17"/>
      <c r="J2" s="4"/>
      <c r="K2" s="4"/>
      <c r="L2" s="18"/>
      <c r="M2" s="18"/>
      <c r="N2" s="18"/>
      <c r="O2" s="17"/>
      <c r="P2" s="4"/>
      <c r="Q2" s="4"/>
      <c r="R2" s="4"/>
      <c r="S2" s="19"/>
    </row>
    <row r="3" s="2" customFormat="1" spans="1:19">
      <c r="A3" s="8" t="s">
        <v>62</v>
      </c>
      <c r="B3" s="9" t="s">
        <v>63</v>
      </c>
      <c r="C3" s="9" t="s">
        <v>64</v>
      </c>
      <c r="D3" s="10" t="s">
        <v>18</v>
      </c>
      <c r="E3" s="10" t="s">
        <v>65</v>
      </c>
      <c r="F3" s="10" t="s">
        <v>18</v>
      </c>
      <c r="G3" s="11" t="s">
        <v>66</v>
      </c>
      <c r="H3" s="12" t="s">
        <v>150</v>
      </c>
      <c r="I3" s="12" t="s">
        <v>70</v>
      </c>
      <c r="J3" s="9" t="s">
        <v>71</v>
      </c>
      <c r="K3" s="10" t="s">
        <v>72</v>
      </c>
      <c r="L3" s="9" t="s">
        <v>73</v>
      </c>
      <c r="M3" s="9" t="s">
        <v>71</v>
      </c>
      <c r="N3" s="10" t="s">
        <v>18</v>
      </c>
      <c r="O3" s="9" t="s">
        <v>74</v>
      </c>
      <c r="P3" s="10" t="s">
        <v>18</v>
      </c>
      <c r="Q3" s="9" t="s">
        <v>71</v>
      </c>
      <c r="R3" s="20" t="s">
        <v>75</v>
      </c>
      <c r="S3" s="20" t="s">
        <v>76</v>
      </c>
    </row>
    <row r="4" s="2" customFormat="1" spans="1:19">
      <c r="A4" s="8"/>
      <c r="B4" s="13"/>
      <c r="C4" s="13"/>
      <c r="D4" s="14"/>
      <c r="E4" s="14"/>
      <c r="F4" s="14"/>
      <c r="G4" s="15"/>
      <c r="H4" s="16"/>
      <c r="I4" s="16"/>
      <c r="J4" s="13"/>
      <c r="K4" s="14"/>
      <c r="L4" s="13"/>
      <c r="M4" s="13"/>
      <c r="N4" s="14"/>
      <c r="O4" s="13"/>
      <c r="P4" s="14"/>
      <c r="Q4" s="13"/>
      <c r="R4" s="20"/>
      <c r="S4" s="20"/>
    </row>
    <row r="5" s="2" customFormat="1" ht="33" customHeight="1" spans="2:19">
      <c r="B5" s="13"/>
      <c r="C5" s="13"/>
      <c r="D5" s="14"/>
      <c r="E5" s="14"/>
      <c r="F5" s="14"/>
      <c r="G5" s="15"/>
      <c r="H5" s="16"/>
      <c r="I5" s="16"/>
      <c r="J5" s="13"/>
      <c r="K5" s="14"/>
      <c r="L5" s="13"/>
      <c r="M5" s="13"/>
      <c r="N5" s="14"/>
      <c r="O5" s="13"/>
      <c r="P5" s="14"/>
      <c r="Q5" s="13"/>
      <c r="R5" s="20"/>
      <c r="S5" s="20"/>
    </row>
  </sheetData>
  <mergeCells count="38">
    <mergeCell ref="A1:A2"/>
    <mergeCell ref="A3:A4"/>
    <mergeCell ref="B1:B2"/>
    <mergeCell ref="B3:B5"/>
    <mergeCell ref="C1:C2"/>
    <mergeCell ref="C3:C5"/>
    <mergeCell ref="D1:D2"/>
    <mergeCell ref="D3:D5"/>
    <mergeCell ref="E1:E2"/>
    <mergeCell ref="E3:E5"/>
    <mergeCell ref="F1:F2"/>
    <mergeCell ref="F3:F5"/>
    <mergeCell ref="G1:G2"/>
    <mergeCell ref="G3:G5"/>
    <mergeCell ref="H1:H2"/>
    <mergeCell ref="H3:H5"/>
    <mergeCell ref="I1:I2"/>
    <mergeCell ref="I3:I5"/>
    <mergeCell ref="J1:J2"/>
    <mergeCell ref="J3:J5"/>
    <mergeCell ref="K1:K2"/>
    <mergeCell ref="K3:K5"/>
    <mergeCell ref="L1:L2"/>
    <mergeCell ref="L3:L5"/>
    <mergeCell ref="M1:M2"/>
    <mergeCell ref="M3:M5"/>
    <mergeCell ref="N1:N2"/>
    <mergeCell ref="N3:N5"/>
    <mergeCell ref="O1:O2"/>
    <mergeCell ref="O3:O5"/>
    <mergeCell ref="P1:P2"/>
    <mergeCell ref="P3:P5"/>
    <mergeCell ref="Q1:Q2"/>
    <mergeCell ref="Q3:Q5"/>
    <mergeCell ref="R1:R2"/>
    <mergeCell ref="R3:R5"/>
    <mergeCell ref="S1:S2"/>
    <mergeCell ref="S3:S5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12</vt:i4>
      </vt:variant>
    </vt:vector>
  </HeadingPairs>
  <TitlesOfParts>
    <vt:vector size="12" baseType="lpstr">
      <vt:lpstr>直播间档案</vt:lpstr>
      <vt:lpstr>主播档案</vt:lpstr>
      <vt:lpstr>仓库管理</vt:lpstr>
      <vt:lpstr>产品单位</vt:lpstr>
      <vt:lpstr>商品（规格）</vt:lpstr>
      <vt:lpstr>供应商档案</vt:lpstr>
      <vt:lpstr>采购到货表</vt:lpstr>
      <vt:lpstr>调货</vt:lpstr>
      <vt:lpstr>直播间库存及消耗</vt:lpstr>
      <vt:lpstr>总仓公共仓的库存</vt:lpstr>
      <vt:lpstr>直播间利润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ZhuanZ（无密码）</dc:creator>
  <cp:lastModifiedBy>^笑_笑^</cp:lastModifiedBy>
  <dcterms:created xsi:type="dcterms:W3CDTF">2025-06-16T06:57:00Z</dcterms:created>
  <dcterms:modified xsi:type="dcterms:W3CDTF">2025-06-25T10:31:48Z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3410598179644067B68114B1656B5B8E_11</vt:lpwstr>
  </property>
  <property fmtid="{D5CDD505-2E9C-101B-9397-08002B2CF9AE}" pid="3" name="KSOProductBuildVer">
    <vt:lpwstr>2052-12.1.0.21541</vt:lpwstr>
  </property>
</Properties>
</file>